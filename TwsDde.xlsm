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4.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6.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7.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8.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9.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0.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3.xml" ContentType="application/vnd.openxmlformats-officedocument.spreadsheetml.comments+xml"/>
  <Override PartName="/xl/drawings/drawing11.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drawings/drawing12.xml" ContentType="application/vnd.openxmlformats-officedocument.drawing+xml"/>
  <Override PartName="/xl/ctrlProps/ctrlProp56.xml" ContentType="application/vnd.ms-excel.controlproperties+xml"/>
  <Override PartName="/xl/ctrlProps/ctrlProp57.xml" ContentType="application/vnd.ms-excel.controlproperties+xml"/>
  <Override PartName="/xl/drawings/drawing13.xml" ContentType="application/vnd.openxmlformats-officedocument.drawing+xml"/>
  <Override PartName="/xl/ctrlProps/ctrlProp58.xml" ContentType="application/vnd.ms-excel.controlproperties+xml"/>
  <Override PartName="/xl/ctrlProps/ctrlProp59.xml" ContentType="application/vnd.ms-excel.controlproperties+xml"/>
  <Override PartName="/xl/drawings/drawing14.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15.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omments4.xml" ContentType="application/vnd.openxmlformats-officedocument.spreadsheetml.comments+xml"/>
  <Override PartName="/xl/drawings/drawing16.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17.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3328" codeName="{316AF4FF-6532-DD95-964C-923D217D005E}"/>
  <workbookPr codeName="ThisWorkbook"/>
  <mc:AlternateContent xmlns:mc="http://schemas.openxmlformats.org/markup-compatibility/2006">
    <mc:Choice Requires="x15">
      <x15ac:absPath xmlns:x15ac="http://schemas.microsoft.com/office/spreadsheetml/2010/11/ac" url="C:\Users\Nipun\Dropbox\Trading\Truelancer Project\Mini Project 3\M3T2\"/>
    </mc:Choice>
  </mc:AlternateContent>
  <xr:revisionPtr revIDLastSave="0" documentId="8_{8292D2DD-C87B-40F6-A11C-388E33633CA2}" xr6:coauthVersionLast="45" xr6:coauthVersionMax="45" xr10:uidLastSave="{00000000-0000-0000-0000-000000000000}"/>
  <bookViews>
    <workbookView xWindow="-120" yWindow="-120" windowWidth="20730" windowHeight="11160" tabRatio="855"/>
  </bookViews>
  <sheets>
    <sheet name="Tickers" sheetId="5" r:id="rId1"/>
    <sheet name="Basic Orders" sheetId="2" r:id="rId2"/>
    <sheet name="Extended Order Attributes" sheetId="11" r:id="rId3"/>
    <sheet name="Conditional Orders" sheetId="9" r:id="rId4"/>
    <sheet name="Advanced Orders" sheetId="35" r:id="rId5"/>
    <sheet name="Open Orders" sheetId="25" r:id="rId6"/>
    <sheet name="Executions" sheetId="31" r:id="rId7"/>
    <sheet name="Executions Reporting" sheetId="34" r:id="rId8"/>
    <sheet name="Account" sheetId="32" r:id="rId9"/>
    <sheet name="Portfolio" sheetId="33" r:id="rId10"/>
    <sheet name="Historical Data" sheetId="16" r:id="rId11"/>
    <sheet name="Market Scanner" sheetId="24" r:id="rId12"/>
    <sheet name="Contract Details" sheetId="6" r:id="rId13"/>
    <sheet name="Bond Contract Details" sheetId="12" r:id="rId14"/>
    <sheet name="Market Depth" sheetId="8" r:id="rId15"/>
    <sheet name="Advisors" sheetId="38" r:id="rId16"/>
    <sheet name="Old Style Executions" sheetId="7" r:id="rId17"/>
    <sheet name="Old Style Account-Portfolio" sheetId="4" r:id="rId18"/>
  </sheets>
  <functionGroups builtInGroupCount="19"/>
  <externalReferences>
    <externalReference r:id="rId19"/>
    <externalReference r:id="rId20"/>
  </externalReferences>
  <definedNames>
    <definedName name="accountValues">'Old Style Account-Portfolio'!$A$8:$J$32</definedName>
    <definedName name="acctCode">'Old Style Account-Portfolio'!$I$5</definedName>
    <definedName name="acctErrorPosition">'Old Style Account-Portfolio'!$L$6</definedName>
    <definedName name="acctsCode">Account!$E$5</definedName>
    <definedName name="acctsControl">Account!$L$3</definedName>
    <definedName name="acctsErrorPosition">Account!$L$11</definedName>
    <definedName name="acctServer">'Old Style Account-Portfolio'!$D$5</definedName>
    <definedName name="acctsServer">Account!$B$5</definedName>
    <definedName name="acctsSubColumn1">Account!$A$8:$C$207</definedName>
    <definedName name="acctsSubColumn2">Account!$D$8:$F$207</definedName>
    <definedName name="acctsSubColumn3">Account!$G$8:$I$207</definedName>
    <definedName name="acctsSubColumn4">Account!$J$8:$J$207</definedName>
    <definedName name="acctsTime">Account!$H$5</definedName>
    <definedName name="acctTime">'Old Style Account-Portfolio'!$B$6</definedName>
    <definedName name="advancedOrdersCells" localSheetId="4">'Advanced Orders'!$R$10:$Y$65536</definedName>
    <definedName name="advisorsOrderCells" localSheetId="15">Advisors!$R$10:$Y$65536</definedName>
    <definedName name="BIG_LOSE">#REF!</definedName>
    <definedName name="BMW_OPT_20181221_74_C_DTB_EUR">#REF!</definedName>
    <definedName name="BMW_OPT_20181221_74_P_DTB_EUR">#REF!</definedName>
    <definedName name="BMW_OPT_20190118_68_P_DTB_EUR">#REF!</definedName>
    <definedName name="BMW_OPT_20190118_74_C_DTB_EUR">#REF!</definedName>
    <definedName name="BMW_OPT_20190118_76_C_DTB_EUR">#REF!</definedName>
    <definedName name="BMW_OPT_20190118_78_C_DTB_EUR">#REF!</definedName>
    <definedName name="bondContractDetails">'Bond Contract Details'!$F$10:$AA$213</definedName>
    <definedName name="bondErrorPosition">'Bond Contract Details'!$M$4</definedName>
    <definedName name="bondServer">'Bond Contract Details'!$D$5</definedName>
    <definedName name="bulletinCell">Tickers!$Q$4:$V$6</definedName>
    <definedName name="bulletinCtrl">Tickers!$O$4</definedName>
    <definedName name="bulletinText">Tickers!$Q$4:$V$6</definedName>
    <definedName name="bulletinTitle">Tickers!$Q$3</definedName>
    <definedName name="CAC40_TRADES">#REF!</definedName>
    <definedName name="condErrorPosition">'Conditional Orders'!$P$4</definedName>
    <definedName name="conditionalOrderCells">'Conditional Orders'!$R$10:$Y$65536</definedName>
    <definedName name="condServer">'Conditional Orders'!$D$5</definedName>
    <definedName name="contErrorPosition">'Contract Details'!$L$4</definedName>
    <definedName name="contractDetails">'Contract Details'!$K$10:$R$65536</definedName>
    <definedName name="contServer">'Contract Details'!$D$5</definedName>
    <definedName name="Currency">Account!$A$29:$D$207</definedName>
    <definedName name="DATA">#REF!</definedName>
    <definedName name="DTA_LE">#REF!</definedName>
    <definedName name="errorId">Tickers!#REF!</definedName>
    <definedName name="errorMsg">Tickers!$Q$6</definedName>
    <definedName name="ES_CONTFUT_GLOBEX_USD">#REF!</definedName>
    <definedName name="ES_FUT_201809_GLOBEX_USD">#REF!</definedName>
    <definedName name="ES_FUT_201903_GLOBEX_USD">#REF!</definedName>
    <definedName name="ESM9_FUT_GLOBEX_USD">#REF!</definedName>
    <definedName name="_ESU5">#REF!</definedName>
    <definedName name="ESZ7_FUT_GLOBEX_USD">#REF!</definedName>
    <definedName name="EUR_CASH_IDEALPRO_USD_MIDPOINT">#REF!</definedName>
    <definedName name="EUR_FUT_ASK">#REF!</definedName>
    <definedName name="EUR_USD_MIDPOINT">#REF!</definedName>
    <definedName name="exec_filter_start">'Old Style Executions'!$U$9</definedName>
    <definedName name="execErrorPosition">'Old Style Executions'!$J$4</definedName>
    <definedName name="execReportKey">'Executions Reporting'!$F$4</definedName>
    <definedName name="execReportType">'Executions Reporting'!$B$4</definedName>
    <definedName name="execReportTypes">'Executions Reporting'!$T$8:$T$11</definedName>
    <definedName name="execServer">'Old Style Executions'!$D$5</definedName>
    <definedName name="execSubContracts">Executions!$A$10:$H$199</definedName>
    <definedName name="execSubControl">Executions!$I$5</definedName>
    <definedName name="execSubDetails">Executions!$I$10:$T$199</definedName>
    <definedName name="execSubErrorPosition">Executions!$L$4</definedName>
    <definedName name="execSubServer">Executions!$D$5</definedName>
    <definedName name="executionContracts">'Old Style Executions'!$A$10:$G$65536</definedName>
    <definedName name="executionDetails">'Old Style Executions'!$H$10:$Q$65536</definedName>
    <definedName name="EXPIRED_ES_FUTURE">#REF!</definedName>
    <definedName name="F_STK_SMART_USD">#REF!</definedName>
    <definedName name="faAcctCtrl">'Old Style Account-Portfolio'!$L$3</definedName>
    <definedName name="faAcctValue">'Old Style Account-Portfolio'!$M$3</definedName>
    <definedName name="firstHistRow">'Historical Data'!$J$4</definedName>
    <definedName name="firstMonitorRow">'Conditional Orders'!$J$4</definedName>
    <definedName name="firstScanRow">'Market Scanner'!$G$4</definedName>
    <definedName name="GAIL_STK_NSE_INR">#REF!</definedName>
    <definedName name="GE_STK_SMART_USD">#REF!</definedName>
    <definedName name="GOOG_OPT_201903_900_C_SMART_USD">#REF!</definedName>
    <definedName name="GOOG_STK">#REF!</definedName>
    <definedName name="HALTED">#REF!</definedName>
    <definedName name="HIGH_IMP_VOL">#REF!</definedName>
    <definedName name="HIGH_OPEN_GAP">#REF!</definedName>
    <definedName name="HIGH_OPT_IMP_VOLAT">#REF!</definedName>
    <definedName name="HIGH_OPT_IMP_VOLAT_OVER_HIST">#REF!</definedName>
    <definedName name="HIGH_OPT_VOLUME_PUT_CALL_RATIO">#REF!</definedName>
    <definedName name="HIST_DAX">#REF!</definedName>
    <definedName name="HIST_EUR_CASH">#REF!</definedName>
    <definedName name="HIST_IBM">#REF!</definedName>
    <definedName name="HIST_MSFT">#REF!</definedName>
    <definedName name="HIST_Z">#REF!</definedName>
    <definedName name="histCtrl">'Historical Data'!$L$10:$L$65536</definedName>
    <definedName name="histErrorPosition">'Historical Data'!$M$4</definedName>
    <definedName name="histid3">#REF!</definedName>
    <definedName name="histServer">'Historical Data'!$D$5</definedName>
    <definedName name="hjkhkj">#REF!</definedName>
    <definedName name="HOT_BY_OPT_VOLUME">#REF!</definedName>
    <definedName name="HOT_BY_PRICE_RANGE">#REF!</definedName>
    <definedName name="HOT_VOLUME">#REF!</definedName>
    <definedName name="IBKR_STK">#REF!</definedName>
    <definedName name="IBKR_STK_SMART_USD">#REF!</definedName>
    <definedName name="IBM_COMBO">#REF!</definedName>
    <definedName name="IBM_OPT_201906_100_C_SMART_USD">#REF!</definedName>
    <definedName name="IBM_OPT_TRADES">#REF!</definedName>
    <definedName name="IBM_STK_SMART_USD">#REF!</definedName>
    <definedName name="lastHistRow">'Historical Data'!$J$5</definedName>
    <definedName name="lastMonitorRow">'Conditional Orders'!$J$5</definedName>
    <definedName name="lastScanRow">'Market Scanner'!$G$5</definedName>
    <definedName name="logLevel">Tickers!$J$5</definedName>
    <definedName name="logLevelResult">Tickers!$J$6</definedName>
    <definedName name="LOW_OPT_IMP_VOLAT">#REF!</definedName>
    <definedName name="LOW_OPT_IMP_VOLAT_OVER_HIST">#REF!</definedName>
    <definedName name="LOW_OPT_VOLUME_PUT_CALL_RATIO">#REF!</definedName>
    <definedName name="mktDepthAsk">'Market Depth'!$P$11:$U$65536</definedName>
    <definedName name="mktDepthBid">'Market Depth'!$J$11:$N$65536</definedName>
    <definedName name="mktdErrorPosition">'Market Depth'!$P$4</definedName>
    <definedName name="mktdRefreshLink">'Market Depth'!$K$6</definedName>
    <definedName name="mktdRefreshRate">'Market Depth'!$K$5</definedName>
    <definedName name="mktdServer">'Market Depth'!$D$5</definedName>
    <definedName name="MONTH_QQQQ">#REF!</definedName>
    <definedName name="MOST_ACTIVE_EU">#REF!</definedName>
    <definedName name="MOST_ACTIVE_LIST">#REF!</definedName>
    <definedName name="MOST_ACTIVE_STOCK_EU">#REF!</definedName>
    <definedName name="MOST_ACTIVE_STOCK_HK">#REF!</definedName>
    <definedName name="MOST_ACTIVE_US">#REF!</definedName>
    <definedName name="MSFT_FUT">#REF!</definedName>
    <definedName name="MSFT_STK_SMART_USD">#REF!</definedName>
    <definedName name="NOT_OPEN">#REF!</definedName>
    <definedName name="OLE_LINK1" localSheetId="4">'Advanced Orders'!#REF!</definedName>
    <definedName name="ONE_WEEK_MSFT">#REF!</definedName>
    <definedName name="Open_orders_can_be_downloaded_here." localSheetId="4">'Advanced Orders'!$A$82:$H$65536</definedName>
    <definedName name="Open_orders_can_be_downloaded_here." localSheetId="15">Advisors!$A$87:$H$65536</definedName>
    <definedName name="Open_orders_can_be_downloaded_here.">'Basic Orders'!$A$48:$H$65536</definedName>
    <definedName name="openOrdContracts" localSheetId="4">'Advanced Orders'!$A$69:$L$118</definedName>
    <definedName name="openOrdContracts" localSheetId="15">Advisors!$A$78:$L$126</definedName>
    <definedName name="openOrdContracts">'Basic Orders'!$A$48:$L$96</definedName>
    <definedName name="openOrdOrders" localSheetId="4">'Advanced Orders'!$M$69:$Q$118</definedName>
    <definedName name="openOrdOrders" localSheetId="15">Advisors!$M$78:$Q$126</definedName>
    <definedName name="openOrdOrders">'Basic Orders'!$M$48:$Q$96</definedName>
    <definedName name="openOrdStatuses" localSheetId="4">'Advanced Orders'!$R$69:$Y$118</definedName>
    <definedName name="openOrdStatuses" localSheetId="15">Advisors!$R$78:$Y$126</definedName>
    <definedName name="openOrdStatuses">'Basic Orders'!$R$48:$Y$96</definedName>
    <definedName name="openSubContracts">'Open Orders'!$A$10:$K$199</definedName>
    <definedName name="openSubExtended">'Open Orders'!$Y$10:$BX$199</definedName>
    <definedName name="openSubOrders">'Open Orders'!$L$10:$P$199</definedName>
    <definedName name="openSubRange">'Open Orders'!$A$10:$BX$10</definedName>
    <definedName name="openSubStatuses">'Open Orders'!$Q$10:$X$199</definedName>
    <definedName name="OPT_PC_RATIO">#REF!</definedName>
    <definedName name="OPT_VOLUME_MOST_ACTIVE">#REF!</definedName>
    <definedName name="orderCells">'Basic Orders'!$R$10:$Y$65536</definedName>
    <definedName name="orderErrorPosition" localSheetId="4">'Advanced Orders'!$H$4</definedName>
    <definedName name="orderErrorPosition" localSheetId="15">Advisors!$H$4</definedName>
    <definedName name="orderErrorPosition">'Basic Orders'!$H$4</definedName>
    <definedName name="ordersControl">'Open Orders'!$I$5</definedName>
    <definedName name="ordersErrorPosition">'Open Orders'!$L$4</definedName>
    <definedName name="orderServer" localSheetId="4">'Advanced Orders'!$D$5</definedName>
    <definedName name="orderServer" localSheetId="15">Advisors!$D$5</definedName>
    <definedName name="orderServer">'Basic Orders'!$D$5</definedName>
    <definedName name="ordersServer">'Open Orders'!$D$5</definedName>
    <definedName name="portfolioValues">'Old Style Account-Portfolio'!$A$35:$N$65536</definedName>
    <definedName name="portsCode">Portfolio!$E$5</definedName>
    <definedName name="portsControl">Portfolio!$J$3</definedName>
    <definedName name="portsErrorPosition">Portfolio!$M$2</definedName>
    <definedName name="portsServer">Portfolio!$B$5</definedName>
    <definedName name="portsSubColumn">Portfolio!$A$8:$O$199</definedName>
    <definedName name="portsTime">Portfolio!$H$5</definedName>
    <definedName name="processingRate">Tickers!$H$5</definedName>
    <definedName name="processingRateLink">Tickers!$H$6</definedName>
    <definedName name="refreshRate">Tickers!$E$5</definedName>
    <definedName name="refreshRateLink">Tickers!$E$6</definedName>
    <definedName name="scanCtrl">'Market Scanner'!$A$10:$A$65536</definedName>
    <definedName name="scanErrorPosition">'Market Scanner'!$J$4</definedName>
    <definedName name="scanServer">'Market Scanner'!$B$5</definedName>
    <definedName name="subFAAcctCtrl">Account!$L$9</definedName>
    <definedName name="subFAAcctValue">Account!$M$9</definedName>
    <definedName name="tickerCells">Tickers!$P$10:$BG$153</definedName>
    <definedName name="tickerErrorPosition">Tickers!$Q$4</definedName>
    <definedName name="tickerServer">Tickers!$B$5</definedName>
    <definedName name="TOP_FUT_GAIN">#REF!</definedName>
    <definedName name="TOP_GAIN">#REF!</definedName>
    <definedName name="TOP_IND_GAIN">#REF!</definedName>
    <definedName name="TOP_LOSERS">#REF!</definedName>
    <definedName name="TOP_OPEN_PERC_GAIN">#REF!</definedName>
    <definedName name="TOP_OPEN_PERC_LOSE">#REF!</definedName>
    <definedName name="TOP_OPT_IMP_VOLAT_GAIN">#REF!</definedName>
    <definedName name="TOP_OPT_IMP_VOLAT_LOSE">#REF!</definedName>
    <definedName name="TOP_OPT_IMP_VOLAT_OVER_HIST">#REF!</definedName>
    <definedName name="TOP_PRICE_RANGE">#REF!</definedName>
    <definedName name="TOP_TRADE_COUNT">#REF!</definedName>
    <definedName name="TOP_TRADE_RATE">#REF!</definedName>
    <definedName name="TOP_VOLUME_RAT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14" i="5" l="1"/>
  <c r="AF14" i="5"/>
  <c r="AE14" i="5"/>
  <c r="AD14" i="5"/>
  <c r="AA14" i="5"/>
  <c r="Z14" i="5"/>
  <c r="W14" i="5"/>
  <c r="V14" i="5"/>
  <c r="U14" i="5"/>
  <c r="T14" i="5"/>
  <c r="P14" i="5"/>
  <c r="S6" i="5"/>
  <c r="R6" i="5"/>
  <c r="Q6" i="5"/>
  <c r="W20" i="8"/>
  <c r="V20" i="8"/>
  <c r="W19" i="8"/>
  <c r="V19" i="8"/>
  <c r="W11" i="8"/>
  <c r="W12" i="8"/>
  <c r="W13" i="8"/>
  <c r="W14" i="8"/>
  <c r="W15" i="8"/>
  <c r="W16" i="8"/>
  <c r="W17" i="8"/>
  <c r="W18" i="8"/>
  <c r="V11" i="8"/>
  <c r="V12" i="8"/>
  <c r="V13" i="8"/>
  <c r="V14" i="8"/>
  <c r="V15" i="8"/>
  <c r="V16" i="8"/>
  <c r="V17" i="8"/>
  <c r="V18" i="8"/>
  <c r="W36" i="8"/>
  <c r="V36" i="8"/>
  <c r="W35" i="8"/>
  <c r="V35" i="8"/>
  <c r="W34" i="8"/>
  <c r="V34" i="8"/>
  <c r="W33" i="8"/>
  <c r="V33" i="8"/>
  <c r="W32" i="8"/>
  <c r="V32" i="8"/>
  <c r="W31" i="8"/>
  <c r="V31" i="8"/>
  <c r="W30" i="8"/>
  <c r="V30" i="8"/>
  <c r="W29" i="8"/>
  <c r="V29" i="8"/>
  <c r="W28" i="8"/>
  <c r="V28" i="8"/>
  <c r="W27" i="8"/>
  <c r="V27" i="8"/>
  <c r="W51" i="8"/>
  <c r="V51" i="8"/>
  <c r="W50" i="8"/>
  <c r="V50" i="8"/>
  <c r="W49" i="8"/>
  <c r="V49" i="8"/>
  <c r="W48" i="8"/>
  <c r="V48" i="8"/>
  <c r="W47" i="8"/>
  <c r="V47" i="8"/>
  <c r="W46" i="8"/>
  <c r="V46" i="8"/>
  <c r="W45" i="8"/>
  <c r="V45" i="8"/>
  <c r="W44" i="8"/>
  <c r="V44" i="8"/>
  <c r="W43" i="8"/>
  <c r="V43" i="8"/>
  <c r="W42" i="8"/>
  <c r="V42" i="8"/>
</calcChain>
</file>

<file path=xl/comments1.xml><?xml version="1.0" encoding="utf-8"?>
<comments xmlns="http://schemas.openxmlformats.org/spreadsheetml/2006/main">
  <authors>
    <author>Xavier Arriada-Mendicoa</author>
  </authors>
  <commentList>
    <comment ref="A13" authorId="0" shapeId="0">
      <text>
        <r>
          <rPr>
            <b/>
            <sz val="9"/>
            <color indexed="81"/>
            <rFont val="Tahoma"/>
            <family val="2"/>
          </rPr>
          <t>Requires: Symbol, SecType: STK, Exchange and currency</t>
        </r>
      </text>
    </comment>
    <comment ref="A22" authorId="0" shapeId="0">
      <text>
        <r>
          <rPr>
            <b/>
            <sz val="9"/>
            <color indexed="81"/>
            <rFont val="Tahoma"/>
            <family val="2"/>
          </rPr>
          <t>Requires: Future's local symbol (see TWS' contract's description's Symbol attribute), FUT, Exchange and Currency</t>
        </r>
        <r>
          <rPr>
            <sz val="9"/>
            <color indexed="81"/>
            <rFont val="Tahoma"/>
            <family val="2"/>
          </rPr>
          <t xml:space="preserve">
</t>
        </r>
      </text>
    </comment>
    <comment ref="A23" authorId="0" shapeId="0">
      <text>
        <r>
          <rPr>
            <b/>
            <sz val="9"/>
            <color indexed="81"/>
            <rFont val="Tahoma"/>
            <family val="2"/>
          </rPr>
          <t>E-mini S&amp;P Future expiring in June 2019</t>
        </r>
      </text>
    </comment>
    <comment ref="A24" authorId="0" shapeId="0">
      <text>
        <r>
          <rPr>
            <b/>
            <sz val="9"/>
            <color indexed="81"/>
            <rFont val="Tahoma"/>
            <family val="2"/>
          </rPr>
          <t>S&amp;P 500 Stock Index for June 2019</t>
        </r>
        <r>
          <rPr>
            <sz val="9"/>
            <color indexed="81"/>
            <rFont val="Tahoma"/>
            <family val="2"/>
          </rPr>
          <t xml:space="preserve">
</t>
        </r>
      </text>
    </comment>
    <comment ref="A25" authorId="0" shapeId="0">
      <text>
        <r>
          <rPr>
            <b/>
            <sz val="9"/>
            <color indexed="81"/>
            <rFont val="Tahoma"/>
            <family val="2"/>
          </rPr>
          <t>Euro Bund (10 Year Bond) Futures expiring June 2019</t>
        </r>
      </text>
    </comment>
    <comment ref="A26" authorId="0" shapeId="0">
      <text>
        <r>
          <rPr>
            <b/>
            <sz val="9"/>
            <color indexed="81"/>
            <rFont val="Tahoma"/>
            <family val="2"/>
          </rPr>
          <t>Swiss Market Index Futures expiring June 2019</t>
        </r>
      </text>
    </comment>
    <comment ref="A29" authorId="0" shapeId="0">
      <text>
        <r>
          <rPr>
            <b/>
            <sz val="9"/>
            <color indexed="81"/>
            <rFont val="Tahoma"/>
            <family val="2"/>
          </rPr>
          <t>Requires: Underlying's symbol, SecType: OPT, Expiration date (yyyymmdd), Strike, P/C (for PUT or CALL), Exchange and currency.</t>
        </r>
      </text>
    </comment>
    <comment ref="A36" authorId="0" shapeId="0">
      <text>
        <r>
          <rPr>
            <b/>
            <sz val="9"/>
            <color indexed="81"/>
            <rFont val="Calibri"/>
            <family val="2"/>
          </rPr>
          <t xml:space="preserve">Requires Symbol (see TWS' contract's details' "Product"), SecType: FOP, Expiration date (yyyymmdd), Strike, Side (P/C), Multiplier, Trading class (optional, in case of ambiguity), exchange and currency.
</t>
        </r>
      </text>
    </comment>
    <comment ref="A40" authorId="0" shapeId="0">
      <text>
        <r>
          <rPr>
            <b/>
            <sz val="9"/>
            <color indexed="81"/>
            <rFont val="Tahoma"/>
            <family val="2"/>
          </rPr>
          <t>Requires: Symbol, SecType: IND, Currency and Exchange</t>
        </r>
      </text>
    </comment>
    <comment ref="A44" authorId="0" shapeId="0">
      <text>
        <r>
          <rPr>
            <b/>
            <sz val="9"/>
            <color indexed="81"/>
            <rFont val="Tahoma"/>
            <family val="2"/>
          </rPr>
          <t>Requires: Symbol (use the underlyings' currency), SecType: BAG, Exchange: SMART, Currency and legs' string made up with: number of legs each leg having ConId, ratio, side, exchange, open/close.</t>
        </r>
        <r>
          <rPr>
            <sz val="9"/>
            <color indexed="81"/>
            <rFont val="Tahoma"/>
            <family val="2"/>
          </rPr>
          <t xml:space="preserve">
</t>
        </r>
      </text>
    </comment>
  </commentList>
</comments>
</file>

<file path=xl/comments2.xml><?xml version="1.0" encoding="utf-8"?>
<comments xmlns="http://schemas.openxmlformats.org/spreadsheetml/2006/main">
  <authors>
    <author>Michael Cohen</author>
  </authors>
  <commentList>
    <comment ref="A12" authorId="0" shapeId="0">
      <text>
        <r>
          <rPr>
            <sz val="10"/>
            <color indexed="81"/>
            <rFont val="Arial"/>
            <family val="2"/>
          </rPr>
          <t>Bracket orders require you to enter all the orders first, then set the first order as the parent order. First, set the Transmit value to 0 on the Extended Order Attributes page, then place the first order in the bracket. You will see an order ID, even though the order hasn't been transmitted. Copy the Order Id from the first order to the Parent Order Id Value cell on the Extended Order Attributes page, then place the second order. Finally, set Transmit = 1 on the Extended Order Attributes page, then place the third order. All orders in the bracket will be submitted and associated with the Parent Order (the first order in the bracket). Use the Aux Price cell for the stop price. Don't forget to delete the Parent Order ID value from the Extended Order Attributes page or it will be applied to all subsequent orders placed from the spreadsheet.</t>
        </r>
      </text>
    </comment>
    <comment ref="A18" authorId="0" shapeId="0">
      <text>
        <r>
          <rPr>
            <sz val="10"/>
            <color indexed="81"/>
            <rFont val="Arial"/>
            <family val="2"/>
          </rPr>
          <t xml:space="preserve">For VOL orders, enter the contract information in the Contract Description cells, then enter the order information in the Order Description cells. Enter values for the Volatility, Volatility Type (1=daily, 2=annual), Reference Price Type (1=average, 2 = BidOrAsk), Continuous Update (0=false, 1= true), Stock Range Lower, and Stock Range Upper, and if applicable, Hedge Delta Order Type and Hedge Delta Aux Price, on the Extended Order Attributes page, then highlight the order row here and click the Apply Extended Template button to apply the VOL order attribute values to the order. Finally, place the order. </t>
        </r>
      </text>
    </comment>
    <comment ref="A23" authorId="0" shapeId="0">
      <text>
        <r>
          <rPr>
            <sz val="10"/>
            <color indexed="81"/>
            <rFont val="Arial"/>
            <family val="2"/>
          </rPr>
          <t>For Trailing Stop Limit orders, enter the contract information in the Contract Description cells, then enter the order information in the Order Description cells, using TRAILLIMIT as the Order Type, and entering the limit price in the Lmt Price cell and the trailing amount in the Aux Price cell. Then enter the following for the Trail Stop Price attribute on the Extended Order Attributes page: Trail Stop Price = Limit Price - Trailing Amount - Limit Offset Amount. Next, highlight the order row here, then click the Apply Extended Template button to apply the Trail Stop Price attribute value to the order. Finally, place the order. Note: For Trailing Stop Limit BUY orders, the Trail Stop Price extended order attribute = Limit Price + Trailing Amount + Limit Offset Amount.</t>
        </r>
      </text>
    </comment>
    <comment ref="A28" authorId="0" shapeId="0">
      <text>
        <r>
          <rPr>
            <sz val="10"/>
            <color indexed="81"/>
            <rFont val="Arial"/>
            <family val="2"/>
          </rPr>
          <t>For Scale orders, enter the contract information in the Contract Description cells, then enter the order information in the Order Description cells, specifying LMT or REL as the Order Type. Next, enter a value for the Scale Component Size and Scale Price Increment attributes on the Extended Order Attributes page. Next, highlight the order row here, then click the Apply Extended Template button to apply the scale order attribute values to the order. Finally, place the order.</t>
        </r>
      </text>
    </comment>
    <comment ref="A33" authorId="0" shapeId="0">
      <text>
        <r>
          <rPr>
            <sz val="10"/>
            <color indexed="81"/>
            <rFont val="Arial"/>
            <family val="2"/>
          </rPr>
          <t>For Relative orders, enter the contract information in the Contract Description cells, then enter the order information in the Order Description cells, specifying REL as the Order Type and the price cap in the Lmt Price cell. Next, enter a percentage in decimal form as the value for the Percent Offset attributes on the Extended Order Attributes page. Next, highlight the order row here, then click the Apply Extended Template button to apply the Percent Offset attribute value to the order. Finally, place the order.</t>
        </r>
      </text>
    </comment>
  </commentList>
</comments>
</file>

<file path=xl/comments3.xml><?xml version="1.0" encoding="utf-8"?>
<comments xmlns="http://schemas.openxmlformats.org/spreadsheetml/2006/main">
  <authors>
    <author>Xavier Arriada-Mendicoa</author>
  </authors>
  <commentList>
    <comment ref="Q12" authorId="0" shapeId="0">
      <text>
        <r>
          <rPr>
            <b/>
            <sz val="9"/>
            <color indexed="81"/>
            <rFont val="Tahoma"/>
            <family val="2"/>
          </rPr>
          <t>0 - return also data generated outside trading hours</t>
        </r>
        <r>
          <rPr>
            <sz val="9"/>
            <color indexed="81"/>
            <rFont val="Tahoma"/>
            <family val="2"/>
          </rPr>
          <t xml:space="preserve">
</t>
        </r>
      </text>
    </comment>
    <comment ref="R12" authorId="0" shapeId="0">
      <text>
        <r>
          <rPr>
            <b/>
            <sz val="9"/>
            <color indexed="81"/>
            <rFont val="Tahoma"/>
            <family val="2"/>
          </rPr>
          <t>1 - bars' date is given as yyyymmdd hh:mm:ss</t>
        </r>
      </text>
    </comment>
    <comment ref="R13" authorId="0" shapeId="0">
      <text>
        <r>
          <rPr>
            <b/>
            <sz val="9"/>
            <color indexed="81"/>
            <rFont val="Tahoma"/>
            <family val="2"/>
          </rPr>
          <t>Bars' date is given as milliseconds</t>
        </r>
      </text>
    </comment>
    <comment ref="Q22" authorId="0" shapeId="0">
      <text>
        <r>
          <rPr>
            <b/>
            <sz val="9"/>
            <color indexed="81"/>
            <rFont val="Tahoma"/>
            <family val="2"/>
          </rPr>
          <t>1 - Only return data withing the regular trading hours</t>
        </r>
        <r>
          <rPr>
            <sz val="9"/>
            <color indexed="81"/>
            <rFont val="Tahoma"/>
            <family val="2"/>
          </rPr>
          <t xml:space="preserve">
</t>
        </r>
      </text>
    </comment>
  </commentList>
</comments>
</file>

<file path=xl/comments4.xml><?xml version="1.0" encoding="utf-8"?>
<comments xmlns="http://schemas.openxmlformats.org/spreadsheetml/2006/main">
  <authors>
    <author>Michael Cohen</author>
  </authors>
  <commentList>
    <comment ref="A12" authorId="0" shapeId="0">
      <text>
        <r>
          <rPr>
            <sz val="10"/>
            <color indexed="81"/>
            <rFont val="Arial"/>
            <family val="2"/>
          </rPr>
          <t>To set up an order and allocate all shares in the order to a single account, first make sure you have created an account group in TWS. On this page of the spreadsheet, enter the contract information in the Contract Description cells, then enter the order information in the Order Description cells. Next, enter the account code in the Value cell for the Account (Institutional only) attribute on the Extended Order Attributes page. Next, highlight the order row here, then click the Apply Extended Template button to apply the Account order attribute value to the order. Finally, place the order. Don't forget to delete the Account value from the Extended Order Attributes page when you have finished ordering.</t>
        </r>
      </text>
    </comment>
    <comment ref="A22" authorId="0" shapeId="0">
      <text>
        <r>
          <rPr>
            <sz val="10"/>
            <color indexed="81"/>
            <rFont val="Arial"/>
            <family val="2"/>
          </rPr>
          <t>To set up an order and allocate shares in the order to an FA Account Group, first make sure you have set up the Account Group with a default allocation method in TWS. On this page of the spreadsheet, enter the contract information in the Contract Description cells, then enter the order information in the Order Description cells. Next, enter the Account Group name and method in the Value cells for the FA Group and FA Method attributes on the Extended Order Attributes page. Next, highlight the order row here, then click the Apply Extended Template button to apply the order attribute values to the order. Finally, place the order. Don't forget to delete the values from the Extended Order Attributes page when you have finished ordering using the Account Group.</t>
        </r>
      </text>
    </comment>
    <comment ref="A30" authorId="0" shapeId="0">
      <text>
        <r>
          <rPr>
            <sz val="10"/>
            <color indexed="81"/>
            <rFont val="Arial"/>
            <family val="2"/>
          </rPr>
          <t>To set up an order and allocate shares in the order to an FA Account Group using the PctChange allocation method, first make sure you have set up the Account Group with the PctChange method in TWS. On this page of the spreadsheet, enter the contract information in the Contract Description cells, then enter the order information in the Order Description cells. Next, enter the Account Group name and method in the Value cells for the FA Group, FA Method, and FA Percentage  attributes on the Extended Order Attributes page. Next, highlight the order row here, then click the Apply Extended Template button to apply the order attribute values to the order. Finally, place the order. Don't forget to delete the values from the Extended Order Attributes page when you have finished ordering using the Account Group.</t>
        </r>
      </text>
    </comment>
    <comment ref="A38" authorId="0" shapeId="0">
      <text>
        <r>
          <rPr>
            <sz val="10"/>
            <color indexed="81"/>
            <rFont val="Arial"/>
            <family val="2"/>
          </rPr>
          <t>To set up an order using an Allocation Profile, first make sure you have created the Allocation Profile in TWS. On this page of thet spreadsheet, enter the contract information in the Contract Description cells, then enter the order information in the Order Description cells. Next, enter the Allocation Profile name in the Value cell for the FA Profile attribute on the Extended Order Attributes page. Next, highlight the order row here, then click the Apply Extended Template button to apply the Account order attribute value to the order. Finally, place the order. Don't forget to delete the FA Profile value from the Extended Order Attributes page when you have finished ordering using the Allocation Profile.</t>
        </r>
      </text>
    </comment>
  </commentList>
</comments>
</file>

<file path=xl/sharedStrings.xml><?xml version="1.0" encoding="utf-8"?>
<sst xmlns="http://schemas.openxmlformats.org/spreadsheetml/2006/main" count="2225" uniqueCount="692">
  <si>
    <t>FUT.GLOBEX,FUT.ECBOT</t>
  </si>
  <si>
    <t>STK.NASDAQ,STK.NYSE,STK.AMEX</t>
  </si>
  <si>
    <t>MOST ACTIVE LIST</t>
  </si>
  <si>
    <t>MOST ACTIVE US</t>
  </si>
  <si>
    <t>IND.US</t>
  </si>
  <si>
    <t>TOP_IND_GAIN</t>
  </si>
  <si>
    <t>TOP_FUT_GAIN</t>
  </si>
  <si>
    <t>FUT.US</t>
  </si>
  <si>
    <t>Execution Details</t>
  </si>
  <si>
    <t>Symbol</t>
  </si>
  <si>
    <t>Strike</t>
  </si>
  <si>
    <t>STK</t>
  </si>
  <si>
    <t>Exchange</t>
  </si>
  <si>
    <t>Action</t>
  </si>
  <si>
    <t>Quantity</t>
  </si>
  <si>
    <t>Order Type</t>
  </si>
  <si>
    <t>Lmt Price</t>
  </si>
  <si>
    <t>Aux Price</t>
  </si>
  <si>
    <t>Status</t>
  </si>
  <si>
    <t>Filled</t>
  </si>
  <si>
    <t>Remaining</t>
  </si>
  <si>
    <t>Type</t>
  </si>
  <si>
    <t>Ctrl</t>
  </si>
  <si>
    <t>P/C</t>
  </si>
  <si>
    <t>Id</t>
  </si>
  <si>
    <t>IBM</t>
  </si>
  <si>
    <t>P</t>
  </si>
  <si>
    <t>Contract Description</t>
  </si>
  <si>
    <t>Order Description</t>
  </si>
  <si>
    <t>Order Status</t>
  </si>
  <si>
    <t>OPT</t>
  </si>
  <si>
    <t>FUT</t>
  </si>
  <si>
    <t>Stocks</t>
  </si>
  <si>
    <t>Options</t>
  </si>
  <si>
    <t>Price</t>
  </si>
  <si>
    <t>C</t>
  </si>
  <si>
    <t>Indexes</t>
  </si>
  <si>
    <t>SPX</t>
  </si>
  <si>
    <t>IND</t>
  </si>
  <si>
    <t>CBOE</t>
  </si>
  <si>
    <t>Currency</t>
  </si>
  <si>
    <t>EUR</t>
  </si>
  <si>
    <t>CASH</t>
  </si>
  <si>
    <t>USD</t>
  </si>
  <si>
    <t>NDX</t>
  </si>
  <si>
    <t>NASDAQ</t>
  </si>
  <si>
    <t>HKD</t>
  </si>
  <si>
    <t>Toolbar</t>
  </si>
  <si>
    <t>IB Trader Workstation - Orders</t>
  </si>
  <si>
    <t>IB Trader Workstation - Tickers</t>
  </si>
  <si>
    <t>Market Data</t>
  </si>
  <si>
    <t>Which Trader Workstation?</t>
  </si>
  <si>
    <t>Bid Size</t>
  </si>
  <si>
    <t>Bid Price</t>
  </si>
  <si>
    <t>Ask Price</t>
  </si>
  <si>
    <t>Last Price</t>
  </si>
  <si>
    <t>Last Size</t>
  </si>
  <si>
    <t>Ask Size</t>
  </si>
  <si>
    <t>User Name</t>
  </si>
  <si>
    <t>IB Trader Workstation - Account Values</t>
  </si>
  <si>
    <t>Time:</t>
  </si>
  <si>
    <t>IB Trader Workstation - Account Portfolio</t>
  </si>
  <si>
    <t>Key</t>
  </si>
  <si>
    <t>Value</t>
  </si>
  <si>
    <t>SecType</t>
  </si>
  <si>
    <t>Right</t>
  </si>
  <si>
    <t>Position</t>
  </si>
  <si>
    <t>SMART</t>
  </si>
  <si>
    <t>MSFT</t>
  </si>
  <si>
    <t>Extended Order Attributes</t>
  </si>
  <si>
    <t>Attributes</t>
  </si>
  <si>
    <t>OCA Group</t>
  </si>
  <si>
    <t>Account</t>
  </si>
  <si>
    <t>Order Ref</t>
  </si>
  <si>
    <t>Transmit (0=false, 1=true)</t>
  </si>
  <si>
    <t>Note</t>
  </si>
  <si>
    <t>Time in Force(DAY, GTC, ect.)</t>
  </si>
  <si>
    <t>Market Price</t>
  </si>
  <si>
    <t>Low</t>
  </si>
  <si>
    <t>High</t>
  </si>
  <si>
    <t>Volume</t>
  </si>
  <si>
    <t>Close</t>
  </si>
  <si>
    <t>Parent Order Id</t>
  </si>
  <si>
    <t>Parent Id</t>
  </si>
  <si>
    <t>Market Name</t>
  </si>
  <si>
    <t>Trading Class</t>
  </si>
  <si>
    <t>Multiplier</t>
  </si>
  <si>
    <t>GE</t>
  </si>
  <si>
    <t>ConId</t>
  </si>
  <si>
    <t>Min Tick</t>
  </si>
  <si>
    <t>Exchanges</t>
  </si>
  <si>
    <t>Order Types</t>
  </si>
  <si>
    <t>IB Trader Workstation - Contract Details</t>
  </si>
  <si>
    <t>Contract Summary Description</t>
  </si>
  <si>
    <t>Contract Details</t>
  </si>
  <si>
    <t>Block Order (0=false, 1=true)</t>
  </si>
  <si>
    <t>Display Size</t>
  </si>
  <si>
    <t>Trigger Method</t>
  </si>
  <si>
    <t>Sweep To Fill (0=false, 1=true)</t>
  </si>
  <si>
    <t>Order Id</t>
  </si>
  <si>
    <t>Execution Id</t>
  </si>
  <si>
    <t>Time</t>
  </si>
  <si>
    <t>Side</t>
  </si>
  <si>
    <t>IB Trader Workstation - Market Depth</t>
  </si>
  <si>
    <t>Market Depth</t>
  </si>
  <si>
    <t>MM</t>
  </si>
  <si>
    <t>Size</t>
  </si>
  <si>
    <t>Bid</t>
  </si>
  <si>
    <t>Ask</t>
  </si>
  <si>
    <t>Cum Size</t>
  </si>
  <si>
    <t>Avg Price</t>
  </si>
  <si>
    <t>Cum size</t>
  </si>
  <si>
    <t>Hidden (0=false, 1= true)</t>
  </si>
  <si>
    <t>Refresh Rate</t>
  </si>
  <si>
    <t>Avg Fill Price</t>
  </si>
  <si>
    <t>Last Fill Price</t>
  </si>
  <si>
    <t>PermId</t>
  </si>
  <si>
    <t>Comb Legs</t>
  </si>
  <si>
    <t>O</t>
  </si>
  <si>
    <t>FOP</t>
  </si>
  <si>
    <t>Future Options</t>
  </si>
  <si>
    <t>Realized PNL</t>
  </si>
  <si>
    <t>UnrealizedPNL</t>
  </si>
  <si>
    <t>Avg Cost</t>
  </si>
  <si>
    <t xml:space="preserve">Acct Code: </t>
  </si>
  <si>
    <t>FA Managed Accounts</t>
  </si>
  <si>
    <t>Accounts</t>
  </si>
  <si>
    <t>Acct Code</t>
  </si>
  <si>
    <t>Execution Filter Criteria</t>
  </si>
  <si>
    <t>Date</t>
  </si>
  <si>
    <t>LocalSymbol</t>
  </si>
  <si>
    <t>Market Value</t>
  </si>
  <si>
    <t>Client Id</t>
  </si>
  <si>
    <t>yyyy\mm\dd</t>
  </si>
  <si>
    <t>hh.mm.ss</t>
  </si>
  <si>
    <t>Good After Time</t>
  </si>
  <si>
    <t>Good Till Date</t>
  </si>
  <si>
    <t>FA Group</t>
  </si>
  <si>
    <t>FA Method</t>
  </si>
  <si>
    <t>FA Percentage</t>
  </si>
  <si>
    <t>FA Profile</t>
  </si>
  <si>
    <t>Leave this empty</t>
  </si>
  <si>
    <t>Short Sale Slot (institutional only)</t>
  </si>
  <si>
    <t>Primary Exchange</t>
  </si>
  <si>
    <t>IB Trader Workstation - Conditional Orders</t>
  </si>
  <si>
    <t>Condition Statements</t>
  </si>
  <si>
    <t>ParentId</t>
  </si>
  <si>
    <t>Statement</t>
  </si>
  <si>
    <t>ADD/MOD</t>
  </si>
  <si>
    <t>BUY</t>
  </si>
  <si>
    <t>MKT</t>
  </si>
  <si>
    <t>SELL</t>
  </si>
  <si>
    <t>First Monitor Row</t>
  </si>
  <si>
    <t>Last Monitor Row</t>
  </si>
  <si>
    <t>Short Sale Location (institutional only)</t>
  </si>
  <si>
    <t>1 if you hold the shares, 2 if they will be delivered from elsewhere.  Only for Action="SSHORT"</t>
  </si>
  <si>
    <t>OCA Type</t>
  </si>
  <si>
    <t xml:space="preserve">Rule 80A </t>
  </si>
  <si>
    <t>Settling Firm</t>
  </si>
  <si>
    <t>Percent Offset</t>
  </si>
  <si>
    <t xml:space="preserve">NBBO Price Cap </t>
  </si>
  <si>
    <t xml:space="preserve">Auction Strategy </t>
  </si>
  <si>
    <t>Starting Price</t>
  </si>
  <si>
    <t>Stock Ref Price</t>
  </si>
  <si>
    <t>Delta</t>
  </si>
  <si>
    <t>Stock Range Lower</t>
  </si>
  <si>
    <t>Stock Range Upper</t>
  </si>
  <si>
    <t xml:space="preserve">Minimum Qty </t>
  </si>
  <si>
    <t>All Or None (0=false, 1=true)</t>
  </si>
  <si>
    <t>1=Cancel on Fill with Block, 2=Reduce on Fill with Block, 3=Reduce on Fill without Block</t>
  </si>
  <si>
    <t>Relative orders only</t>
  </si>
  <si>
    <t>BOX Exchange: 1 = match, 2 = improvement, 3 = transparent</t>
  </si>
  <si>
    <t>BOX Exchange:</t>
  </si>
  <si>
    <t>Individual = 'I', Agency = 'A', AgentOtherMember = 'W', IndividualPTIA = 'J', AgencyPTIA = 'U', AgentOtherMemberPTIA = 'M', IndividualPT = 'K', AgencyPT = 'Y', AgentOtherMemberPT = 'N'</t>
  </si>
  <si>
    <t>If shares will be delivered from elsewhere, specify where (can be comma-delimitted list, no spaces)</t>
  </si>
  <si>
    <t>CUSIP / ISIN</t>
  </si>
  <si>
    <t>Coupon</t>
  </si>
  <si>
    <t>Maturity</t>
  </si>
  <si>
    <t>Issue Date</t>
  </si>
  <si>
    <t>Ratings</t>
  </si>
  <si>
    <t>Bond Type</t>
  </si>
  <si>
    <t>Coupon Type</t>
  </si>
  <si>
    <t>Convertible</t>
  </si>
  <si>
    <t>Callable</t>
  </si>
  <si>
    <t>Putable</t>
  </si>
  <si>
    <t>Desc Append</t>
  </si>
  <si>
    <t>Bond Contract Details</t>
  </si>
  <si>
    <t>BOND</t>
  </si>
  <si>
    <t>QM</t>
  </si>
  <si>
    <t>NYMEX</t>
  </si>
  <si>
    <t>Z</t>
  </si>
  <si>
    <t>GBP</t>
  </si>
  <si>
    <t>ZB</t>
  </si>
  <si>
    <t>ECBOT</t>
  </si>
  <si>
    <t>GOOG</t>
  </si>
  <si>
    <t>Bid Imp Vol</t>
  </si>
  <si>
    <t>Ask Imp Vol</t>
  </si>
  <si>
    <t>Last Imp Vol</t>
  </si>
  <si>
    <t>Last Delta</t>
  </si>
  <si>
    <t>Bid Delta</t>
  </si>
  <si>
    <t>Ask Delta</t>
  </si>
  <si>
    <t>Relative to Stock or VOL orders</t>
  </si>
  <si>
    <t>Volatility</t>
  </si>
  <si>
    <t>VOL orders</t>
  </si>
  <si>
    <t>Continuous Update (0=false, 1= true)</t>
  </si>
  <si>
    <t>Volatility Type (1=daily, 2=annual)</t>
  </si>
  <si>
    <t>Reference Price Type (1=average, 2 = BidOrAsk)</t>
  </si>
  <si>
    <t>PHLX</t>
  </si>
  <si>
    <t>VOL orders: Note that this should be sent as a percentage (ie 17.12 instead of .1712 as the market data is displayed).</t>
  </si>
  <si>
    <t>Hedge Delta Order Type</t>
  </si>
  <si>
    <t>Hedge Delta Aux Price</t>
  </si>
  <si>
    <t>VOL orders: specify only if delta hedge order type needs it</t>
  </si>
  <si>
    <t>VOL orders: NONE if no delta hedging is desired.  Typical possibilities include MKT, LMT, REL.  Send 1 for MKT or 0 for NONE to TWS prior to Version 859.</t>
  </si>
  <si>
    <t>IB Trader Workstation - Historical Data</t>
  </si>
  <si>
    <t>Query Specification</t>
  </si>
  <si>
    <t>Duration</t>
  </si>
  <si>
    <t>Bar Size</t>
  </si>
  <si>
    <t>What to Show</t>
  </si>
  <si>
    <t>Date Format Style</t>
  </si>
  <si>
    <t>Page Name</t>
  </si>
  <si>
    <t>RTH Only</t>
  </si>
  <si>
    <t>End Date/Time</t>
  </si>
  <si>
    <t>IB Trader Workstation - Market Scanner</t>
  </si>
  <si>
    <t>Scan Code</t>
  </si>
  <si>
    <t>Instrument</t>
  </si>
  <si>
    <t>Location Code</t>
  </si>
  <si>
    <t>Average Option</t>
  </si>
  <si>
    <t xml:space="preserve"> Volume Above</t>
  </si>
  <si>
    <t>Market Cap</t>
  </si>
  <si>
    <t xml:space="preserve"> Above</t>
  </si>
  <si>
    <t>Below</t>
  </si>
  <si>
    <t>Moody Rating</t>
  </si>
  <si>
    <t>Above</t>
  </si>
  <si>
    <t>S &amp; P Rating</t>
  </si>
  <si>
    <t>Maturity Date</t>
  </si>
  <si>
    <t>Coupon Rate</t>
  </si>
  <si>
    <t>Exclude</t>
  </si>
  <si>
    <t>Scanner</t>
  </si>
  <si>
    <t>Setting Pairs</t>
  </si>
  <si>
    <t>Stock Type</t>
  </si>
  <si>
    <t>Filter</t>
  </si>
  <si>
    <t>Which Trader Workstation</t>
  </si>
  <si>
    <t>ALL</t>
  </si>
  <si>
    <t>Number</t>
  </si>
  <si>
    <t>of Rows</t>
  </si>
  <si>
    <t>Average Volume</t>
  </si>
  <si>
    <t>Stock</t>
  </si>
  <si>
    <t>ETF</t>
  </si>
  <si>
    <t>TOP GAIN</t>
  </si>
  <si>
    <t>STOCK.EU</t>
  </si>
  <si>
    <t>STK.NASDAQ.NMS</t>
  </si>
  <si>
    <t>HOT VOLUME</t>
  </si>
  <si>
    <t>HIGH IMP VOL</t>
  </si>
  <si>
    <t>Activate Page</t>
  </si>
  <si>
    <t>PV Dividend</t>
  </si>
  <si>
    <t>Option Model</t>
  </si>
  <si>
    <t>(Enter SUPERSOES exchange for Level II Quotes)</t>
  </si>
  <si>
    <t>LOW_OPT_VOLUME_PUT_CALL_RATIO</t>
  </si>
  <si>
    <t>HIGH_OPT_IMP_VOLAT</t>
  </si>
  <si>
    <t>TOP_OPT_IMP_VOLAT_GAIN</t>
  </si>
  <si>
    <t>TOP_OPT_IMP_VOLAT_LOSE</t>
  </si>
  <si>
    <t>HIGH_OPT_VOLUME_PUT_CALL_RATIO</t>
  </si>
  <si>
    <t>OPT_VOLUME_MOST_ACTIVE</t>
  </si>
  <si>
    <t>HOT_BY_OPT_VOLUME</t>
  </si>
  <si>
    <t>Trail Stop Price</t>
  </si>
  <si>
    <t>TRAILLIMIT</t>
  </si>
  <si>
    <t>Time in Force</t>
  </si>
  <si>
    <t>Open/Close(O/C)</t>
  </si>
  <si>
    <t>Origin (0/1)</t>
  </si>
  <si>
    <t>Transmit (0/1)</t>
  </si>
  <si>
    <t>Block Order (0/1)</t>
  </si>
  <si>
    <t>Sweep To Fill (0/1)</t>
  </si>
  <si>
    <t>Hidden (0/1)</t>
  </si>
  <si>
    <t>Discretionary Amt</t>
  </si>
  <si>
    <t>Inst Short Sale Slot</t>
  </si>
  <si>
    <t>Inst Short Sale Loc</t>
  </si>
  <si>
    <t>All Or None (0/1)</t>
  </si>
  <si>
    <t>Electronic Trade Only (0/1)</t>
  </si>
  <si>
    <t>Firm Quote Only (0/1)</t>
  </si>
  <si>
    <t>Financial Advisors</t>
  </si>
  <si>
    <t>Institutional</t>
  </si>
  <si>
    <t>BOX Exchange</t>
  </si>
  <si>
    <t>Volatility Trading</t>
  </si>
  <si>
    <t>SMART Routing</t>
  </si>
  <si>
    <t>REL ords</t>
  </si>
  <si>
    <t>Account (Institutional only)</t>
  </si>
  <si>
    <t>Open/Close(O=Open, C=Close) (Institutional only)</t>
  </si>
  <si>
    <t>Origin (0=Customer, 1=Firm) (Institutional only)</t>
  </si>
  <si>
    <t>Discretionary Amount (SMART Routing)</t>
  </si>
  <si>
    <t>FA Group (Financial Advisors only)</t>
  </si>
  <si>
    <t>FA Method (Financial Advisors only)</t>
  </si>
  <si>
    <t>FA Percentage (Financial Advisors only)</t>
  </si>
  <si>
    <t>FA Profile (Financial Advisors only)</t>
  </si>
  <si>
    <t>Settling Firm (Institutional only)</t>
  </si>
  <si>
    <t>NBBO Price Cap (SMART Routing)</t>
  </si>
  <si>
    <t>Pegged to Stock / VOL</t>
  </si>
  <si>
    <t>Hint: To subscribe to market data, select a symbol and press Ctrl+SHIFT+R or click on the "Request Market Data" button</t>
  </si>
  <si>
    <r>
      <t>Hint:</t>
    </r>
    <r>
      <rPr>
        <sz val="10"/>
        <rFont val="Arial"/>
      </rPr>
      <t xml:space="preserve"> To extract historical data into a new worksheet, select a symbol, specify your query, and then either press Ctrl+SHIFT+H or click the Request Historical Data button</t>
    </r>
  </si>
  <si>
    <r>
      <t>Hint:</t>
    </r>
    <r>
      <rPr>
        <sz val="10"/>
        <rFont val="Arial"/>
      </rPr>
      <t xml:space="preserve"> To start a market scanner subscription in a new worksheet, first select a row, and then either press Ctrl+SHIFT+S or click the Start Scanner Subscription button.</t>
    </r>
  </si>
  <si>
    <t>Hint: To request bond contract details, select a CUSIP / ISIN and press Ctrl+SHIFT+B or click the Request Bond Contract Details button.</t>
  </si>
  <si>
    <t>0=Default, 1=Double_Bid_Ask, 2=Last, 3=Double_Last, 4=Bid_Ask, 7=Last_or_Bid_Ask, 8=Mid-point</t>
  </si>
  <si>
    <t>"One Cancels All" Group name</t>
  </si>
  <si>
    <t>BOX/VOL</t>
  </si>
  <si>
    <t>FORMAT: 20060505 08:00:00 {time zone}</t>
  </si>
  <si>
    <t>Subscription Control</t>
  </si>
  <si>
    <t>Processing Rate</t>
  </si>
  <si>
    <t>A</t>
  </si>
  <si>
    <t>IB Trader Workstation - Open Order Subscription</t>
  </si>
  <si>
    <t>IB Trader Workstation - Executions Subscription</t>
  </si>
  <si>
    <t>IB Trader Workstation - Executions Filtering</t>
  </si>
  <si>
    <t>OCA Orders</t>
  </si>
  <si>
    <t>Continuous Update</t>
  </si>
  <si>
    <t>Firm Quote Only</t>
  </si>
  <si>
    <t>All Or None</t>
  </si>
  <si>
    <t>Sweep To Fill</t>
  </si>
  <si>
    <t>Block Order</t>
  </si>
  <si>
    <t>Hidden</t>
  </si>
  <si>
    <t>Last Update Time:</t>
  </si>
  <si>
    <t>GLOBEX</t>
  </si>
  <si>
    <t>Log Level</t>
  </si>
  <si>
    <t>IB Trader Workstation - Portfolio</t>
  </si>
  <si>
    <t>Acct</t>
  </si>
  <si>
    <t>Execution Description</t>
  </si>
  <si>
    <t>Liquidation</t>
  </si>
  <si>
    <t>PermID</t>
  </si>
  <si>
    <t>Notes</t>
  </si>
  <si>
    <t>Next Option Date</t>
  </si>
  <si>
    <t>Next Option Type</t>
  </si>
  <si>
    <t>Next Option Partial</t>
  </si>
  <si>
    <t>IB Trader Workstation - Executions Reporting</t>
  </si>
  <si>
    <t>Report Specification</t>
  </si>
  <si>
    <t>Order ID</t>
  </si>
  <si>
    <t>VOL Order</t>
  </si>
  <si>
    <t>Exec Report Types:</t>
  </si>
  <si>
    <t>Strategy</t>
  </si>
  <si>
    <t>Expired</t>
  </si>
  <si>
    <t>Energy Futures</t>
  </si>
  <si>
    <t>QG</t>
  </si>
  <si>
    <t>Index Futures</t>
  </si>
  <si>
    <t>Interest Rate Futures</t>
  </si>
  <si>
    <t>HIGH_OPT_OPEN_INTEREST_PUT_CALL_RATIO</t>
  </si>
  <si>
    <t>LOW_OPT_OPEN_INTEREST_PUT_CALL_RATIO</t>
  </si>
  <si>
    <t>Basis Points</t>
  </si>
  <si>
    <t>Quote Form</t>
  </si>
  <si>
    <t>Hold Days</t>
  </si>
  <si>
    <t>Dividend Impact</t>
  </si>
  <si>
    <t>Implied Future</t>
  </si>
  <si>
    <t>Future Expiration</t>
  </si>
  <si>
    <t>Dividends To Expiry</t>
  </si>
  <si>
    <t>EFP -- Bid</t>
  </si>
  <si>
    <t>EFP -- Exchange Future for Physical</t>
  </si>
  <si>
    <t>EFP -- Ask</t>
  </si>
  <si>
    <t>EFP -- Last</t>
  </si>
  <si>
    <t>Combo Description</t>
  </si>
  <si>
    <t>EFP -- Exchange For Physical</t>
  </si>
  <si>
    <t>Basis Points Type</t>
  </si>
  <si>
    <t>SCALE</t>
  </si>
  <si>
    <t>Scale Component Size</t>
  </si>
  <si>
    <t>Scale Price Increment</t>
  </si>
  <si>
    <t>Number of compsonents</t>
  </si>
  <si>
    <t>Component size</t>
  </si>
  <si>
    <t>Price Increment</t>
  </si>
  <si>
    <t>SCALE orders</t>
  </si>
  <si>
    <t>Outside RTH (0=false, 1=true)</t>
  </si>
  <si>
    <t>Outside RTH (0/1)</t>
  </si>
  <si>
    <t>Outside Rth</t>
  </si>
  <si>
    <t>Ignore Rth (Deprecated)</t>
  </si>
  <si>
    <t>RTH Only (Deprecated)</t>
  </si>
  <si>
    <t>MOT</t>
  </si>
  <si>
    <t>ES</t>
  </si>
  <si>
    <t>NOTE: This page has been replaced by the newer Account and Portfolio pages.</t>
  </si>
  <si>
    <t>NOTE: This page has been replaced by the newer Executions page.</t>
  </si>
  <si>
    <t>LMT</t>
  </si>
  <si>
    <t>STP</t>
  </si>
  <si>
    <r>
      <rPr>
        <b/>
        <sz val="10"/>
        <rFont val="Arial"/>
        <family val="2"/>
      </rPr>
      <t>Hint:</t>
    </r>
    <r>
      <rPr>
        <sz val="10"/>
        <rFont val="Arial"/>
      </rPr>
      <t xml:space="preserve"> To place or modify one or more orders, select a cell or range that overlaps the orders and press Ctrl+SHIFT+P or click on the "Place / Modify Order" button.</t>
    </r>
  </si>
  <si>
    <r>
      <rPr>
        <b/>
        <sz val="10"/>
        <rFont val="Arial"/>
        <family val="2"/>
      </rPr>
      <t>Note:</t>
    </r>
    <r>
      <rPr>
        <sz val="10"/>
        <rFont val="Arial"/>
      </rPr>
      <t xml:space="preserve"> Each order can have its own extended order attributes.  If no "Time in Force" is specified on this page, the default values will be used from the Extended Order Attribute Template.</t>
    </r>
  </si>
  <si>
    <r>
      <rPr>
        <b/>
        <sz val="10"/>
        <rFont val="Arial"/>
        <family val="2"/>
      </rPr>
      <t>Note:</t>
    </r>
    <r>
      <rPr>
        <sz val="10"/>
        <rFont val="Arial"/>
        <family val="2"/>
      </rPr>
      <t xml:space="preserve"> To request contract details, select a ticker row and press Ctrl+SHIFT+C or click the Request Contract Details button.</t>
    </r>
  </si>
  <si>
    <t>Bracket Order - BUY LIMIT Order Example</t>
  </si>
  <si>
    <t>Trailing Stop Limit Order - SELL Order Example</t>
  </si>
  <si>
    <t>VOL</t>
  </si>
  <si>
    <r>
      <rPr>
        <b/>
        <sz val="10"/>
        <rFont val="Arial"/>
        <family val="2"/>
      </rPr>
      <t>Note:</t>
    </r>
    <r>
      <rPr>
        <sz val="10"/>
        <rFont val="Arial"/>
      </rPr>
      <t xml:space="preserve"> Order types described on this page require the use of the Extended Order Attributes page. Click the Apply Extended Template button to quickly apply extended attribute values to an order.</t>
    </r>
  </si>
  <si>
    <t>Scale Order - BUY LIMIT Order Example</t>
  </si>
  <si>
    <t xml:space="preserve">VOL Orders </t>
  </si>
  <si>
    <t>Allocating All Shares to a Single Account</t>
  </si>
  <si>
    <t>Order using Account Group and Method</t>
  </si>
  <si>
    <t>Order using Account Group and PercentChange Method</t>
  </si>
  <si>
    <t>Order using Allocation Profile</t>
  </si>
  <si>
    <r>
      <rPr>
        <b/>
        <sz val="10"/>
        <rFont val="Arial"/>
        <family val="2"/>
      </rPr>
      <t>Note:</t>
    </r>
    <r>
      <rPr>
        <sz val="10"/>
        <rFont val="Arial"/>
      </rPr>
      <t xml:space="preserve"> FA order require the use of the Extended Order Attributes page. Click the Apply Extended Template button to quickly apply extended attribute values to an order.</t>
    </r>
  </si>
  <si>
    <t>Move your mouse over the red corner for help.</t>
  </si>
  <si>
    <t>HOT_BY_PRICE</t>
  </si>
  <si>
    <t>TOP_TRADE_COUNT</t>
  </si>
  <si>
    <t>TOP_TRADE_RATE</t>
  </si>
  <si>
    <t>TOP_PRICE_RANGE</t>
  </si>
  <si>
    <t>HOT_BY_PRICE_RANGE</t>
  </si>
  <si>
    <t>TOP_VOLUME_RATE</t>
  </si>
  <si>
    <t>LOW_OPT_IMP_VOLAT</t>
  </si>
  <si>
    <t>HALTED</t>
  </si>
  <si>
    <t>TOP_OPEN_PERC_GAIN</t>
  </si>
  <si>
    <t>TOP_OPEN_PERC_LOSE</t>
  </si>
  <si>
    <t>HIGH_OPEN_GAP</t>
  </si>
  <si>
    <t>LOW_OPEN_GAP</t>
  </si>
  <si>
    <t>Sets the default to be opening a new position or closing a position.</t>
  </si>
  <si>
    <t>FINANCIAL ADVISORS ONLY - The name of the allocation profile to use for an order.</t>
  </si>
  <si>
    <t>FINANCIAL ADVISORS ONLY - The percentage used by the PctChange allocation method for an order. Appies only to FA groups that use this method.</t>
  </si>
  <si>
    <t>FINANCIAL ADVISORS ONLY - The name of the account group to use for an order.</t>
  </si>
  <si>
    <t>FINANCIAL ADVISORS ONLY - The code of a single account to which all shares of an order are allocated.</t>
  </si>
  <si>
    <t>Identifies an order as hidden.</t>
  </si>
  <si>
    <t>Identifies an order as a Sweep to Fill order.</t>
  </si>
  <si>
    <t>Publicly disclosed order size.</t>
  </si>
  <si>
    <t>When set to 1 (true), all placed orders are transmitted immediately. When set to 0 (false), orders are not transmitted.</t>
  </si>
  <si>
    <t>The length of time over which an order will continue working before it is canceled</t>
  </si>
  <si>
    <t>The origin of your order in relation to the market.</t>
  </si>
  <si>
    <t>Identifies a high-volume limit order as a block order.</t>
  </si>
  <si>
    <t>The ID of the parent or primary order. Use for bracket orders and auto trailing stop orders.</t>
  </si>
  <si>
    <t>Use with a limit order to give the order a greater price range over which to execute.</t>
  </si>
  <si>
    <t>FINANCIAL ADVISORS ONLY - The name of the default share allocation method for the account group (EqualQuantity, NetLiq, AvailableEquity, or PctChange).</t>
  </si>
  <si>
    <t>Identifies an order as an All or None order.</t>
  </si>
  <si>
    <t>Identifies an order as a Minimum Quantity order.</t>
  </si>
  <si>
    <t>Maximum SMART order distance from the NBBO.</t>
  </si>
  <si>
    <t>Electronic Trade Only</t>
  </si>
  <si>
    <t>(0=false, 1=true) (SMART Routing)</t>
  </si>
  <si>
    <t>Allows an order to be triggered or filled outside of regular trading hours.</t>
  </si>
  <si>
    <t>For Institutional only.</t>
  </si>
  <si>
    <t>Underlying Range (Low)</t>
  </si>
  <si>
    <t>Underlying Range (High)</t>
  </si>
  <si>
    <t>An unique identifier you create to track your order. Can be a number or a name.</t>
  </si>
  <si>
    <t>Note: placing the first order below will trigger a round trip if this is the contents of cells Y11 through AC11: "=(M10=T10), ADD, SELL, 10, MKT"</t>
  </si>
  <si>
    <r>
      <rPr>
        <b/>
        <sz val="10"/>
        <rFont val="Arial"/>
        <family val="2"/>
      </rPr>
      <t>Note:</t>
    </r>
    <r>
      <rPr>
        <sz val="10"/>
        <rFont val="Arial"/>
      </rPr>
      <t xml:space="preserve"> This page is a template that can be applied to any order or group of orders on the Basic Orders, Conditional Orders, Advanced Orders or Advisor pages.  This allows groups of DDE orders to be quickly placed with each one having unique extended order attributes.</t>
    </r>
  </si>
  <si>
    <t>REL</t>
  </si>
  <si>
    <t>Relative Order - BUY Order Example</t>
  </si>
  <si>
    <t>DRYS</t>
  </si>
  <si>
    <t>For sell orders, Trail Stop Price = Limit Price - Trailing Amount - Limit Offset. For buy orders, Trail Stop Price = Limit Price + Trailing Amount + Limit Offset. For trailing stop limit (TRAILLIMIT) orders only.</t>
  </si>
  <si>
    <t>Hint: Enter your condition as an Excel formula in the Statement cell, then enter the information for the order that must be placed if the condition is met in the Order cells in the Condition Statement section. When the condition is met, the Statement cell displays TRUE.</t>
  </si>
  <si>
    <t>Clearing Account</t>
  </si>
  <si>
    <t>Clearing Account (Institutional only)</t>
  </si>
  <si>
    <t>OptPrice</t>
  </si>
  <si>
    <t>UnderPrice</t>
  </si>
  <si>
    <t>Custom Impl Vol</t>
  </si>
  <si>
    <t>VOD</t>
  </si>
  <si>
    <t>LSE</t>
  </si>
  <si>
    <t>Gamma</t>
  </si>
  <si>
    <t>Vega</t>
  </si>
  <si>
    <t>Theta</t>
  </si>
  <si>
    <t>Und Price</t>
  </si>
  <si>
    <t>Opt Price</t>
  </si>
  <si>
    <t>Calc Impl Vol / Calc Opt Price</t>
  </si>
  <si>
    <t>Hint: To Calculate Implied Volatility, select a symbol or group of symbols, specify "Opt Price" and "Under Price" and click "Calc Impl Volatility" button.  To Calculate Option Price, select a symbol or group of symbols, specify "Volatility" and "Under Price" and click "Calc Opt Price &amp; Greks" button.</t>
  </si>
  <si>
    <t>Custom Opt Price</t>
  </si>
  <si>
    <t>XDA</t>
  </si>
  <si>
    <t>XNG</t>
  </si>
  <si>
    <t>PSE</t>
  </si>
  <si>
    <t>DJX</t>
  </si>
  <si>
    <t>SMI</t>
  </si>
  <si>
    <t>SOFFEX</t>
  </si>
  <si>
    <t>CHF</t>
  </si>
  <si>
    <t>WAR</t>
  </si>
  <si>
    <t>IOPT</t>
  </si>
  <si>
    <t>Warrants</t>
  </si>
  <si>
    <t>Issued Options</t>
  </si>
  <si>
    <t>Clearing Intent (Institutional only)</t>
  </si>
  <si>
    <t>Clearing Intent</t>
  </si>
  <si>
    <t>FWB</t>
  </si>
  <si>
    <t>STK.US.MAJOR</t>
  </si>
  <si>
    <t>Last RTH Trade</t>
  </si>
  <si>
    <t>Generic Ticks</t>
  </si>
  <si>
    <t>Ctrl2</t>
  </si>
  <si>
    <t>Opting out of SMART routing</t>
  </si>
  <si>
    <t>Opting  out of SMART routing</t>
  </si>
  <si>
    <t>IDEALPRO</t>
  </si>
  <si>
    <t>AAPL</t>
  </si>
  <si>
    <t>SPY</t>
  </si>
  <si>
    <t>DAY</t>
  </si>
  <si>
    <t>DU86536</t>
  </si>
  <si>
    <t>SIE</t>
  </si>
  <si>
    <t>WhatIfPMEnabled</t>
  </si>
  <si>
    <t>Futures</t>
  </si>
  <si>
    <t>ISLAND</t>
  </si>
  <si>
    <t>Currencies</t>
  </si>
  <si>
    <t>NYSE</t>
  </si>
  <si>
    <t>IBKR</t>
  </si>
  <si>
    <t>Combinations</t>
  </si>
  <si>
    <t>BAG</t>
  </si>
  <si>
    <t>STPLMT</t>
  </si>
  <si>
    <t>MIDPOINT</t>
  </si>
  <si>
    <t>BID_ASK</t>
  </si>
  <si>
    <t>TRADES</t>
  </si>
  <si>
    <t>BID</t>
  </si>
  <si>
    <t>ASK</t>
  </si>
  <si>
    <t>1 D</t>
  </si>
  <si>
    <t>1 W</t>
  </si>
  <si>
    <t>GOOG_STK</t>
  </si>
  <si>
    <t>Solicited Order</t>
  </si>
  <si>
    <t>Solicited</t>
  </si>
  <si>
    <t>(0=false, 1=true) Order is considered solicited when it is a instigated wholly by the broker through their own research and design</t>
  </si>
  <si>
    <t>Randomize size</t>
  </si>
  <si>
    <t>Randomize price</t>
  </si>
  <si>
    <t xml:space="preserve">(0=false, 1=true) </t>
  </si>
  <si>
    <t>Last trade date</t>
  </si>
  <si>
    <t>twsserver</t>
  </si>
  <si>
    <t>BMW</t>
  </si>
  <si>
    <t>DTB</t>
  </si>
  <si>
    <t>CMBLGS_2_9599491_1_BUY_SMART_0_8314_1_SELL_SMART_0_CMBLGS</t>
  </si>
  <si>
    <t>IBIS</t>
  </si>
  <si>
    <t>DU111519</t>
  </si>
  <si>
    <t>AccountOrGroup</t>
  </si>
  <si>
    <t>AccruedCash</t>
  </si>
  <si>
    <t>CashBalance</t>
  </si>
  <si>
    <t>CorporateBondValue</t>
  </si>
  <si>
    <t>ExchangeRate</t>
  </si>
  <si>
    <t>FundValue</t>
  </si>
  <si>
    <t>FutureOptionValue</t>
  </si>
  <si>
    <t>FuturesPNL</t>
  </si>
  <si>
    <t>FxCashBalance</t>
  </si>
  <si>
    <t>IssuerOptionValue</t>
  </si>
  <si>
    <t>MoneyMarketFundValue</t>
  </si>
  <si>
    <t>MutualFundValue</t>
  </si>
  <si>
    <t>NetDividend</t>
  </si>
  <si>
    <t>NetLiquidationByCurrency</t>
  </si>
  <si>
    <t>OptionMarketValue</t>
  </si>
  <si>
    <t>RealCurrency</t>
  </si>
  <si>
    <t>RealizedPnL</t>
  </si>
  <si>
    <t>StockMarketValue</t>
  </si>
  <si>
    <t>TBillValue</t>
  </si>
  <si>
    <t>TBondValue</t>
  </si>
  <si>
    <t>TotalCashBalance</t>
  </si>
  <si>
    <t>UnrealizedPnL</t>
  </si>
  <si>
    <t>WarrantValue</t>
  </si>
  <si>
    <t>AccruedCash-C</t>
  </si>
  <si>
    <t>AccruedCash-S</t>
  </si>
  <si>
    <t>AccruedDividend</t>
  </si>
  <si>
    <t>AccruedDividend-C</t>
  </si>
  <si>
    <t>AccruedDividend-S</t>
  </si>
  <si>
    <t>AvailableFunds</t>
  </si>
  <si>
    <t>AvailableFunds-C</t>
  </si>
  <si>
    <t>AvailableFunds-S</t>
  </si>
  <si>
    <t>Billable</t>
  </si>
  <si>
    <t>Billable-C</t>
  </si>
  <si>
    <t>Billable-S</t>
  </si>
  <si>
    <t>BuyingPower</t>
  </si>
  <si>
    <t>EquityWithLoanValue</t>
  </si>
  <si>
    <t>EquityWithLoanValue-C</t>
  </si>
  <si>
    <t>EquityWithLoanValue-S</t>
  </si>
  <si>
    <t>ExcessLiquidity</t>
  </si>
  <si>
    <t>ExcessLiquidity-C</t>
  </si>
  <si>
    <t>ExcessLiquidity-S</t>
  </si>
  <si>
    <t>FullAvailableFunds</t>
  </si>
  <si>
    <t>FullAvailableFunds-C</t>
  </si>
  <si>
    <t>FullAvailableFunds-S</t>
  </si>
  <si>
    <t>FullExcessLiquidity</t>
  </si>
  <si>
    <t>FullExcessLiquidity-C</t>
  </si>
  <si>
    <t>FullExcessLiquidity-S</t>
  </si>
  <si>
    <t>FullInitMarginReq</t>
  </si>
  <si>
    <t>FullInitMarginReq-C</t>
  </si>
  <si>
    <t>FullInitMarginReq-S</t>
  </si>
  <si>
    <t>FullMaintMarginReq</t>
  </si>
  <si>
    <t>FullMaintMarginReq-C</t>
  </si>
  <si>
    <t>FullMaintMarginReq-S</t>
  </si>
  <si>
    <t>GrossPositionValue</t>
  </si>
  <si>
    <t>GrossPositionValue-S</t>
  </si>
  <si>
    <t>Guarantee</t>
  </si>
  <si>
    <t>Guarantee-C</t>
  </si>
  <si>
    <t>Guarantee-S</t>
  </si>
  <si>
    <t>IndianStockHaircut</t>
  </si>
  <si>
    <t>IndianStockHaircut-C</t>
  </si>
  <si>
    <t>IndianStockHaircut-S</t>
  </si>
  <si>
    <t>InitMarginReq</t>
  </si>
  <si>
    <t>InitMarginReq-C</t>
  </si>
  <si>
    <t>InitMarginReq-S</t>
  </si>
  <si>
    <t>LookAheadAvailableFunds</t>
  </si>
  <si>
    <t>LookAheadAvailableFunds-C</t>
  </si>
  <si>
    <t>LookAheadAvailableFunds-S</t>
  </si>
  <si>
    <t>LookAheadExcessLiquidity</t>
  </si>
  <si>
    <t>LookAheadExcessLiquidity-C</t>
  </si>
  <si>
    <t>LookAheadExcessLiquidity-S</t>
  </si>
  <si>
    <t>LookAheadInitMarginReq</t>
  </si>
  <si>
    <t>LookAheadInitMarginReq-C</t>
  </si>
  <si>
    <t>LookAheadInitMarginReq-S</t>
  </si>
  <si>
    <t>LookAheadMaintMarginReq</t>
  </si>
  <si>
    <t>LookAheadMaintMarginReq-C</t>
  </si>
  <si>
    <t>LookAheadMaintMarginReq-S</t>
  </si>
  <si>
    <t>MaintMarginReq</t>
  </si>
  <si>
    <t>MaintMarginReq-C</t>
  </si>
  <si>
    <t>MaintMarginReq-S</t>
  </si>
  <si>
    <t>NetLiquidation</t>
  </si>
  <si>
    <t>NetLiquidation-C</t>
  </si>
  <si>
    <t>NetLiquidation-S</t>
  </si>
  <si>
    <t>NetLiquidationUncertainty</t>
  </si>
  <si>
    <t>PASharesValue</t>
  </si>
  <si>
    <t>PASharesValue-C</t>
  </si>
  <si>
    <t>PASharesValue-S</t>
  </si>
  <si>
    <t>PostExpirationExcess</t>
  </si>
  <si>
    <t>PostExpirationExcess-C</t>
  </si>
  <si>
    <t>PostExpirationExcess-S</t>
  </si>
  <si>
    <t>PostExpirationMargin</t>
  </si>
  <si>
    <t>PostExpirationMargin-C</t>
  </si>
  <si>
    <t>PostExpirationMargin-S</t>
  </si>
  <si>
    <t>PreviousDayEquityWithLoanValue</t>
  </si>
  <si>
    <t>PreviousDayEquityWithLoanValue-S</t>
  </si>
  <si>
    <t>RegTEquity</t>
  </si>
  <si>
    <t>RegTEquity-S</t>
  </si>
  <si>
    <t>RegTMargin</t>
  </si>
  <si>
    <t>RegTMargin-S</t>
  </si>
  <si>
    <t>SMA</t>
  </si>
  <si>
    <t>SMA-S</t>
  </si>
  <si>
    <t>TotalCashValue</t>
  </si>
  <si>
    <t>TotalCashValue-C</t>
  </si>
  <si>
    <t>TotalCashValue-S</t>
  </si>
  <si>
    <t>TotalDebitCardPendingCharges</t>
  </si>
  <si>
    <t>TotalDebitCardPendingCharges-C</t>
  </si>
  <si>
    <t>TotalDebitCardPendingCharges-S</t>
  </si>
  <si>
    <t>AccountCode</t>
  </si>
  <si>
    <t>AccountReady</t>
  </si>
  <si>
    <t>AccountType</t>
  </si>
  <si>
    <t>Cushion</t>
  </si>
  <si>
    <t>DayTradesRemaining</t>
  </si>
  <si>
    <t>DayTradesRemainingT+1</t>
  </si>
  <si>
    <t>DayTradesRemainingT+2</t>
  </si>
  <si>
    <t>DayTradesRemainingT+3</t>
  </si>
  <si>
    <t>DayTradesRemainingT+4</t>
  </si>
  <si>
    <t>Leverage-S</t>
  </si>
  <si>
    <t>LookAheadNextChange</t>
  </si>
  <si>
    <t>NLVAndMarginInReview</t>
  </si>
  <si>
    <t>SegmentTitle-C</t>
  </si>
  <si>
    <t>SegmentTitle-S</t>
  </si>
  <si>
    <t>TradingType-S</t>
  </si>
  <si>
    <t>JPY</t>
  </si>
  <si>
    <t>LLC</t>
  </si>
  <si>
    <t>US Commodities</t>
  </si>
  <si>
    <t>US Securities</t>
  </si>
  <si>
    <t>STKNOPT</t>
  </si>
  <si>
    <t>NOKIA</t>
  </si>
  <si>
    <t>MOST_ACTIVE</t>
  </si>
  <si>
    <t>TOP_PERC_GAIN</t>
  </si>
  <si>
    <t>HOT_BY_VOLUME</t>
  </si>
  <si>
    <t>459200HX2</t>
  </si>
  <si>
    <t>STK.EU.IBIS</t>
  </si>
  <si>
    <t>STOCK.HK</t>
  </si>
  <si>
    <t>STK.HK.NSE</t>
  </si>
  <si>
    <t>MOST_ACTIVE_STOCK_HK</t>
  </si>
  <si>
    <t>MOST_ACTIVE_STOCK_EU</t>
  </si>
  <si>
    <t>20181001 23:59:59</t>
  </si>
  <si>
    <t>1 M</t>
  </si>
  <si>
    <t>1 day</t>
  </si>
  <si>
    <t>F</t>
  </si>
  <si>
    <t>HUI</t>
  </si>
  <si>
    <t>ICEEU</t>
  </si>
  <si>
    <t>CONTFUT</t>
  </si>
  <si>
    <t>NOEXP</t>
  </si>
  <si>
    <t>BONDLARGE</t>
  </si>
  <si>
    <t>MOST ACTIVE EU</t>
  </si>
  <si>
    <t>HIGH_OPT_OPEN_INT_P_C_RATIO</t>
  </si>
  <si>
    <t>LOW_OPT_OPEN_INT_P_C_RATIO</t>
  </si>
  <si>
    <t>ESM9</t>
  </si>
  <si>
    <t/>
  </si>
  <si>
    <t>GAIL</t>
  </si>
  <si>
    <t>NSE</t>
  </si>
  <si>
    <t>INR</t>
  </si>
  <si>
    <t>1 hour</t>
  </si>
  <si>
    <t>IBKR_STK_SMART_USD</t>
  </si>
  <si>
    <t>GE_STK_SMART_USD</t>
  </si>
  <si>
    <t>20181101 23:59:59</t>
  </si>
  <si>
    <t>3 M</t>
  </si>
  <si>
    <t>4 hours</t>
  </si>
  <si>
    <t>GAIL_STK_NSE_INR</t>
  </si>
  <si>
    <t>6 M</t>
  </si>
  <si>
    <t>IBM_STK_SMART_USD</t>
  </si>
  <si>
    <t>15 mins</t>
  </si>
  <si>
    <t>3 D</t>
  </si>
  <si>
    <t>20181020 23:59:59</t>
  </si>
  <si>
    <t>ES_FUT_201903_GLOBEX_USD</t>
  </si>
  <si>
    <t>ES_CONTFUT_GLOBEX_USD</t>
  </si>
  <si>
    <t>20180909 23:59:59</t>
  </si>
  <si>
    <t>ES_FUT_201809_GLOBEX_USD</t>
  </si>
  <si>
    <t>20180820 23:59:59</t>
  </si>
  <si>
    <t>30 S</t>
  </si>
  <si>
    <t>5 secs</t>
  </si>
  <si>
    <t>EUR_CASH_IDEALPRO_USD_MIDPOINT</t>
  </si>
  <si>
    <t>F_STK_SMART_USD</t>
  </si>
  <si>
    <t>20181115 23:59:59</t>
  </si>
  <si>
    <t>BMW_OPT_20190118_76_C_DTB_EUR</t>
  </si>
  <si>
    <t>BMW_OPT_20190118_74_C_DTB_EUR</t>
  </si>
  <si>
    <t>BMW_OPT_20190118_78_C_DTB_EUR</t>
  </si>
  <si>
    <t>ESM9_FUT_GLOBEX_USD</t>
  </si>
  <si>
    <t>IBM_COMBO</t>
  </si>
  <si>
    <t>CMBLGS_2_338029888_1_SELL_DTB_0_237168863_1_BUY_DTB_0_CMBLGS</t>
  </si>
  <si>
    <t>912833LP3</t>
  </si>
  <si>
    <t>9128285S5</t>
  </si>
  <si>
    <t>BMW_OPT_20190118_68_P_DTB_EUR</t>
  </si>
  <si>
    <t>name8891</t>
  </si>
  <si>
    <t>Last Error</t>
  </si>
  <si>
    <t>Code</t>
  </si>
  <si>
    <t>Message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</si>
</sst>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204" formatCode="0.000000"/>
    <numFmt numFmtId="205" formatCode="[$-F400]h:mm:ss\ AM/PM"/>
  </numFmts>
  <fonts count="27" x14ac:knownFonts="1">
    <font>
      <sz val="10"/>
      <name val="Arial"/>
    </font>
    <font>
      <sz val="11"/>
      <color indexed="8"/>
      <name val="Calibri"/>
      <family val="2"/>
    </font>
    <font>
      <b/>
      <sz val="10"/>
      <color indexed="9"/>
      <name val="Arial"/>
      <family val="2"/>
    </font>
    <font>
      <sz val="10"/>
      <name val="Arial"/>
      <family val="2"/>
    </font>
    <font>
      <sz val="10"/>
      <color indexed="13"/>
      <name val="Arial"/>
      <family val="2"/>
    </font>
    <font>
      <b/>
      <sz val="10"/>
      <name val="Arial"/>
      <family val="2"/>
    </font>
    <font>
      <b/>
      <sz val="10"/>
      <color indexed="37"/>
      <name val="Arial"/>
      <family val="2"/>
    </font>
    <font>
      <u/>
      <sz val="10"/>
      <name val="Arial"/>
      <family val="2"/>
    </font>
    <font>
      <b/>
      <sz val="10"/>
      <color indexed="9"/>
      <name val="Arial"/>
      <family val="2"/>
    </font>
    <font>
      <b/>
      <sz val="10"/>
      <name val="Arial"/>
      <family val="2"/>
    </font>
    <font>
      <sz val="10"/>
      <color indexed="16"/>
      <name val="Arial"/>
      <family val="2"/>
    </font>
    <font>
      <sz val="8"/>
      <name val="Arial"/>
      <family val="2"/>
    </font>
    <font>
      <sz val="10"/>
      <color indexed="12"/>
      <name val="Arial"/>
      <family val="2"/>
    </font>
    <font>
      <sz val="10"/>
      <color indexed="13"/>
      <name val="Arial"/>
      <family val="2"/>
    </font>
    <font>
      <b/>
      <sz val="8"/>
      <color indexed="9"/>
      <name val="Arial"/>
      <family val="2"/>
    </font>
    <font>
      <sz val="8"/>
      <name val="Arial"/>
      <family val="2"/>
    </font>
    <font>
      <b/>
      <sz val="8"/>
      <name val="Arial"/>
      <family val="2"/>
    </font>
    <font>
      <sz val="10"/>
      <color indexed="81"/>
      <name val="Arial"/>
      <family val="2"/>
    </font>
    <font>
      <sz val="10"/>
      <color indexed="16"/>
      <name val="Arial"/>
      <family val="2"/>
    </font>
    <font>
      <sz val="10"/>
      <color indexed="37"/>
      <name val="Arial"/>
      <family val="2"/>
    </font>
    <font>
      <sz val="11"/>
      <color indexed="8"/>
      <name val="Calibri"/>
      <family val="2"/>
    </font>
    <font>
      <sz val="8"/>
      <name val="Arial"/>
      <family val="2"/>
    </font>
    <font>
      <sz val="10"/>
      <color indexed="13"/>
      <name val="Arial"/>
      <family val="2"/>
    </font>
    <font>
      <sz val="9"/>
      <color indexed="81"/>
      <name val="Tahoma"/>
      <family val="2"/>
    </font>
    <font>
      <b/>
      <sz val="9"/>
      <color indexed="81"/>
      <name val="Tahoma"/>
      <family val="2"/>
    </font>
    <font>
      <b/>
      <sz val="9"/>
      <color indexed="81"/>
      <name val="Calibri"/>
      <family val="2"/>
    </font>
    <font>
      <sz val="10"/>
      <color indexed="13"/>
      <name val="Arial"/>
      <family val="2"/>
    </font>
  </fonts>
  <fills count="10">
    <fill>
      <patternFill patternType="none"/>
    </fill>
    <fill>
      <patternFill patternType="gray125"/>
    </fill>
    <fill>
      <patternFill patternType="solid">
        <fgColor indexed="55"/>
        <bgColor indexed="64"/>
      </patternFill>
    </fill>
    <fill>
      <patternFill patternType="solid">
        <fgColor indexed="43"/>
        <bgColor indexed="64"/>
      </patternFill>
    </fill>
    <fill>
      <patternFill patternType="solid">
        <fgColor indexed="22"/>
        <bgColor indexed="64"/>
      </patternFill>
    </fill>
    <fill>
      <patternFill patternType="solid">
        <fgColor indexed="18"/>
        <bgColor indexed="64"/>
      </patternFill>
    </fill>
    <fill>
      <patternFill patternType="solid">
        <fgColor indexed="9"/>
        <bgColor indexed="64"/>
      </patternFill>
    </fill>
    <fill>
      <patternFill patternType="solid">
        <fgColor indexed="42"/>
        <bgColor indexed="64"/>
      </patternFill>
    </fill>
    <fill>
      <patternFill patternType="solid">
        <fgColor indexed="20"/>
        <bgColor indexed="64"/>
      </patternFill>
    </fill>
    <fill>
      <patternFill patternType="solid">
        <fgColor indexed="3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2"/>
      </bottom>
      <diagonal/>
    </border>
    <border>
      <left style="thin">
        <color indexed="64"/>
      </left>
      <right style="thin">
        <color indexed="64"/>
      </right>
      <top/>
      <bottom/>
      <diagonal/>
    </border>
  </borders>
  <cellStyleXfs count="1">
    <xf numFmtId="0" fontId="0" fillId="0" borderId="0"/>
  </cellStyleXfs>
  <cellXfs count="501">
    <xf numFmtId="0" fontId="0" fillId="0" borderId="0" xfId="0"/>
    <xf numFmtId="0" fontId="3" fillId="2" borderId="1" xfId="0" applyFont="1" applyFill="1" applyBorder="1"/>
    <xf numFmtId="2" fontId="3" fillId="2" borderId="1" xfId="0" applyNumberFormat="1" applyFont="1" applyFill="1" applyBorder="1"/>
    <xf numFmtId="0" fontId="3" fillId="3" borderId="1" xfId="0" applyFont="1" applyFill="1" applyBorder="1"/>
    <xf numFmtId="2" fontId="4" fillId="4" borderId="1" xfId="0" applyNumberFormat="1" applyFont="1" applyFill="1" applyBorder="1"/>
    <xf numFmtId="0" fontId="0" fillId="3" borderId="1" xfId="0" applyFill="1" applyBorder="1"/>
    <xf numFmtId="0" fontId="4" fillId="4" borderId="1" xfId="0" applyFont="1" applyFill="1" applyBorder="1"/>
    <xf numFmtId="0" fontId="0" fillId="0" borderId="0" xfId="0" applyBorder="1"/>
    <xf numFmtId="0" fontId="5" fillId="3" borderId="1" xfId="0" applyFont="1" applyFill="1" applyBorder="1"/>
    <xf numFmtId="0" fontId="3" fillId="2" borderId="1" xfId="0" applyFont="1" applyFill="1" applyBorder="1" applyProtection="1">
      <protection locked="0"/>
    </xf>
    <xf numFmtId="0" fontId="0" fillId="3" borderId="2" xfId="0" applyFill="1" applyBorder="1" applyAlignment="1" applyProtection="1">
      <protection locked="0"/>
    </xf>
    <xf numFmtId="0" fontId="0" fillId="3" borderId="3" xfId="0" applyFill="1" applyBorder="1" applyAlignment="1" applyProtection="1">
      <protection locked="0"/>
    </xf>
    <xf numFmtId="0" fontId="5" fillId="3" borderId="1" xfId="0" applyFont="1" applyFill="1" applyBorder="1" applyProtection="1">
      <protection locked="0"/>
    </xf>
    <xf numFmtId="0" fontId="0" fillId="3" borderId="1" xfId="0" applyFill="1" applyBorder="1" applyProtection="1">
      <protection locked="0"/>
    </xf>
    <xf numFmtId="0" fontId="3" fillId="3" borderId="1" xfId="0" applyFont="1" applyFill="1" applyBorder="1" applyProtection="1">
      <protection locked="0"/>
    </xf>
    <xf numFmtId="2" fontId="4" fillId="4" borderId="1" xfId="0" applyNumberFormat="1" applyFont="1" applyFill="1" applyBorder="1" applyProtection="1"/>
    <xf numFmtId="2" fontId="3" fillId="2" borderId="1" xfId="0" applyNumberFormat="1" applyFont="1" applyFill="1" applyBorder="1" applyAlignment="1">
      <alignment horizontal="center"/>
    </xf>
    <xf numFmtId="0" fontId="0" fillId="2" borderId="3" xfId="0" applyFill="1" applyBorder="1" applyAlignment="1" applyProtection="1">
      <alignment horizontal="center"/>
      <protection locked="0"/>
    </xf>
    <xf numFmtId="0" fontId="0" fillId="2" borderId="4" xfId="0" applyFill="1" applyBorder="1" applyAlignment="1" applyProtection="1">
      <alignment horizontal="center"/>
      <protection locked="0"/>
    </xf>
    <xf numFmtId="0" fontId="0" fillId="0" borderId="0" xfId="0" applyBorder="1" applyAlignment="1" applyProtection="1">
      <alignment horizontal="center"/>
      <protection locked="0"/>
    </xf>
    <xf numFmtId="0" fontId="0" fillId="0" borderId="0" xfId="0" applyNumberFormat="1"/>
    <xf numFmtId="0" fontId="2" fillId="5" borderId="2" xfId="0" applyFont="1" applyFill="1" applyBorder="1" applyAlignment="1">
      <alignment horizontal="center"/>
    </xf>
    <xf numFmtId="0" fontId="0" fillId="6" borderId="5" xfId="0" applyFill="1" applyBorder="1" applyAlignment="1" applyProtection="1">
      <alignment horizontal="center"/>
      <protection locked="0"/>
    </xf>
    <xf numFmtId="0" fontId="0" fillId="0" borderId="0" xfId="0" applyBorder="1" applyAlignment="1">
      <alignment horizontal="center"/>
    </xf>
    <xf numFmtId="0" fontId="0" fillId="0" borderId="6" xfId="0" applyBorder="1" applyAlignment="1">
      <alignment horizontal="center"/>
    </xf>
    <xf numFmtId="0" fontId="0" fillId="0" borderId="0" xfId="0" applyAlignment="1"/>
    <xf numFmtId="2" fontId="0" fillId="0" borderId="0" xfId="0" applyNumberFormat="1"/>
    <xf numFmtId="204" fontId="4" fillId="4" borderId="1" xfId="0" applyNumberFormat="1" applyFont="1" applyFill="1" applyBorder="1" applyProtection="1"/>
    <xf numFmtId="1" fontId="0" fillId="0" borderId="0" xfId="0" applyNumberFormat="1"/>
    <xf numFmtId="0" fontId="5" fillId="0" borderId="0" xfId="0" applyFont="1"/>
    <xf numFmtId="0" fontId="0" fillId="0" borderId="0" xfId="0" applyProtection="1">
      <protection hidden="1"/>
    </xf>
    <xf numFmtId="0" fontId="0" fillId="0" borderId="0" xfId="0" applyAlignment="1" applyProtection="1">
      <protection hidden="1"/>
    </xf>
    <xf numFmtId="0" fontId="7" fillId="0" borderId="0" xfId="0" applyFont="1"/>
    <xf numFmtId="0" fontId="0" fillId="2" borderId="5" xfId="0" applyFill="1" applyBorder="1" applyAlignment="1" applyProtection="1">
      <alignment horizontal="center"/>
      <protection locked="0"/>
    </xf>
    <xf numFmtId="0" fontId="0" fillId="6" borderId="3" xfId="0" applyFill="1" applyBorder="1"/>
    <xf numFmtId="0" fontId="0" fillId="3" borderId="2" xfId="0" applyFill="1" applyBorder="1"/>
    <xf numFmtId="0" fontId="0" fillId="6" borderId="5" xfId="0" applyFill="1" applyBorder="1" applyAlignment="1">
      <alignment horizontal="center"/>
    </xf>
    <xf numFmtId="0" fontId="0" fillId="7" borderId="1" xfId="0" applyFill="1" applyBorder="1" applyAlignment="1">
      <alignment horizontal="left"/>
    </xf>
    <xf numFmtId="0" fontId="0" fillId="6" borderId="5" xfId="0" applyFill="1" applyBorder="1"/>
    <xf numFmtId="0" fontId="3" fillId="2" borderId="7" xfId="0" applyNumberFormat="1" applyFont="1" applyFill="1" applyBorder="1" applyProtection="1">
      <protection locked="0"/>
    </xf>
    <xf numFmtId="0" fontId="0" fillId="2" borderId="8" xfId="0" applyFill="1" applyBorder="1"/>
    <xf numFmtId="0" fontId="0" fillId="2" borderId="2" xfId="0" applyFill="1" applyBorder="1"/>
    <xf numFmtId="0" fontId="0" fillId="2" borderId="3" xfId="0" applyFill="1" applyBorder="1"/>
    <xf numFmtId="0" fontId="0" fillId="2" borderId="4" xfId="0" applyFill="1" applyBorder="1"/>
    <xf numFmtId="0" fontId="0" fillId="2" borderId="4" xfId="0" applyFill="1" applyBorder="1" applyAlignment="1">
      <alignment shrinkToFit="1"/>
    </xf>
    <xf numFmtId="21" fontId="0" fillId="6" borderId="3" xfId="0" applyNumberFormat="1" applyFill="1" applyBorder="1"/>
    <xf numFmtId="0" fontId="3" fillId="2" borderId="1" xfId="0" applyFont="1" applyFill="1" applyBorder="1" applyAlignment="1" applyProtection="1">
      <alignment horizontal="center"/>
      <protection locked="0"/>
    </xf>
    <xf numFmtId="0" fontId="0" fillId="0" borderId="0" xfId="0" applyBorder="1" applyAlignment="1"/>
    <xf numFmtId="0" fontId="0" fillId="2" borderId="3" xfId="0" applyFill="1" applyBorder="1" applyAlignment="1"/>
    <xf numFmtId="0" fontId="3" fillId="2" borderId="1" xfId="0" applyFont="1" applyFill="1" applyBorder="1" applyAlignment="1">
      <alignment horizontal="center"/>
    </xf>
    <xf numFmtId="0" fontId="0" fillId="4" borderId="1" xfId="0" applyFill="1" applyBorder="1"/>
    <xf numFmtId="0" fontId="5" fillId="2" borderId="2" xfId="0" applyFont="1" applyFill="1" applyBorder="1" applyAlignment="1" applyProtection="1">
      <alignment horizontal="center"/>
      <protection locked="0"/>
    </xf>
    <xf numFmtId="0" fontId="12" fillId="0" borderId="0" xfId="0" applyFont="1" applyAlignment="1">
      <alignment horizontal="left" indent="8"/>
    </xf>
    <xf numFmtId="0" fontId="0" fillId="3" borderId="3" xfId="0" applyFill="1" applyBorder="1" applyProtection="1">
      <protection locked="0"/>
    </xf>
    <xf numFmtId="0" fontId="0" fillId="0" borderId="0" xfId="0" applyAlignment="1">
      <alignment horizontal="center"/>
    </xf>
    <xf numFmtId="2" fontId="3" fillId="2" borderId="1" xfId="0" applyNumberFormat="1" applyFont="1" applyFill="1" applyBorder="1" applyAlignment="1" applyProtection="1">
      <alignment horizontal="center"/>
      <protection locked="0"/>
    </xf>
    <xf numFmtId="2" fontId="3" fillId="2" borderId="2" xfId="0" applyNumberFormat="1" applyFont="1" applyFill="1" applyBorder="1" applyAlignment="1" applyProtection="1">
      <alignment horizontal="center"/>
      <protection locked="0"/>
    </xf>
    <xf numFmtId="204" fontId="0" fillId="0" borderId="0" xfId="0" applyNumberFormat="1"/>
    <xf numFmtId="1" fontId="4" fillId="4" borderId="1" xfId="0" applyNumberFormat="1" applyFont="1" applyFill="1" applyBorder="1" applyProtection="1"/>
    <xf numFmtId="0" fontId="0" fillId="3" borderId="1" xfId="0" applyFill="1" applyBorder="1" applyAlignment="1" applyProtection="1">
      <alignment horizontal="center"/>
      <protection locked="0"/>
    </xf>
    <xf numFmtId="0" fontId="0" fillId="3" borderId="1" xfId="0" applyFill="1" applyBorder="1" applyAlignment="1">
      <alignment horizontal="center"/>
    </xf>
    <xf numFmtId="0" fontId="0" fillId="3" borderId="3" xfId="0" applyFill="1" applyBorder="1" applyAlignment="1" applyProtection="1">
      <alignment horizontal="center"/>
      <protection locked="0"/>
    </xf>
    <xf numFmtId="1" fontId="0" fillId="0" borderId="0" xfId="0" applyNumberFormat="1" applyBorder="1" applyAlignment="1" applyProtection="1">
      <alignment horizontal="center"/>
      <protection locked="0"/>
    </xf>
    <xf numFmtId="1" fontId="3" fillId="2" borderId="1" xfId="0" applyNumberFormat="1" applyFont="1" applyFill="1" applyBorder="1" applyAlignment="1" applyProtection="1">
      <alignment horizontal="center"/>
      <protection locked="0"/>
    </xf>
    <xf numFmtId="1" fontId="0" fillId="0" borderId="0" xfId="0" applyNumberFormat="1" applyAlignment="1">
      <alignment horizontal="center"/>
    </xf>
    <xf numFmtId="1" fontId="4" fillId="4" borderId="1" xfId="0" applyNumberFormat="1" applyFont="1" applyFill="1" applyBorder="1" applyAlignment="1" applyProtection="1">
      <alignment horizontal="center"/>
    </xf>
    <xf numFmtId="2" fontId="4" fillId="4" borderId="1" xfId="0" applyNumberFormat="1" applyFont="1" applyFill="1" applyBorder="1" applyAlignment="1" applyProtection="1">
      <alignment horizontal="center"/>
    </xf>
    <xf numFmtId="204" fontId="4" fillId="4" borderId="1" xfId="0" applyNumberFormat="1" applyFont="1" applyFill="1" applyBorder="1" applyAlignment="1" applyProtection="1">
      <alignment horizontal="center"/>
    </xf>
    <xf numFmtId="204" fontId="0" fillId="0" borderId="0" xfId="0" applyNumberFormat="1" applyAlignment="1">
      <alignment horizontal="center"/>
    </xf>
    <xf numFmtId="0" fontId="0" fillId="0" borderId="9" xfId="0" applyBorder="1" applyAlignment="1"/>
    <xf numFmtId="0" fontId="0" fillId="2" borderId="2" xfId="0" applyFill="1" applyBorder="1" applyAlignment="1" applyProtection="1">
      <alignment horizontal="left"/>
      <protection locked="0"/>
    </xf>
    <xf numFmtId="0" fontId="0" fillId="2" borderId="7" xfId="0" applyFill="1" applyBorder="1" applyAlignment="1" applyProtection="1">
      <alignment horizontal="left"/>
      <protection locked="0"/>
    </xf>
    <xf numFmtId="0" fontId="0" fillId="2" borderId="5" xfId="0" applyFill="1" applyBorder="1" applyAlignment="1"/>
    <xf numFmtId="0" fontId="0" fillId="6" borderId="3" xfId="0" applyFill="1" applyBorder="1" applyAlignment="1" applyProtection="1">
      <alignment horizontal="center"/>
      <protection locked="0"/>
    </xf>
    <xf numFmtId="0" fontId="5" fillId="2" borderId="7" xfId="0" applyFont="1" applyFill="1" applyBorder="1" applyAlignment="1">
      <alignment horizontal="center"/>
    </xf>
    <xf numFmtId="0" fontId="5" fillId="2" borderId="5" xfId="0" applyFont="1" applyFill="1" applyBorder="1" applyAlignment="1">
      <alignment horizontal="center"/>
    </xf>
    <xf numFmtId="0" fontId="5" fillId="2" borderId="8" xfId="0" applyFont="1" applyFill="1" applyBorder="1" applyAlignment="1">
      <alignment horizontal="center"/>
    </xf>
    <xf numFmtId="0" fontId="0" fillId="0" borderId="0" xfId="0" applyAlignment="1">
      <alignment wrapText="1"/>
    </xf>
    <xf numFmtId="0" fontId="0" fillId="6" borderId="0" xfId="0" applyFill="1" applyBorder="1" applyAlignment="1" applyProtection="1">
      <alignment horizontal="center"/>
      <protection locked="0"/>
    </xf>
    <xf numFmtId="0" fontId="0" fillId="6" borderId="0" xfId="0" applyFill="1" applyBorder="1" applyAlignment="1" applyProtection="1">
      <alignment horizontal="left"/>
      <protection locked="0"/>
    </xf>
    <xf numFmtId="0" fontId="0" fillId="6" borderId="0" xfId="0" applyFill="1" applyBorder="1" applyAlignment="1"/>
    <xf numFmtId="1" fontId="0" fillId="0" borderId="0" xfId="0" applyNumberFormat="1" applyBorder="1" applyAlignment="1">
      <alignment horizontal="center"/>
    </xf>
    <xf numFmtId="0" fontId="2" fillId="5" borderId="10" xfId="0" applyFont="1" applyFill="1" applyBorder="1" applyAlignment="1" applyProtection="1">
      <alignment horizontal="left"/>
      <protection locked="0"/>
    </xf>
    <xf numFmtId="0" fontId="2" fillId="5" borderId="9" xfId="0" applyFont="1" applyFill="1" applyBorder="1" applyAlignment="1" applyProtection="1">
      <alignment horizontal="left"/>
      <protection locked="0"/>
    </xf>
    <xf numFmtId="0" fontId="2" fillId="5" borderId="11" xfId="0" applyFont="1" applyFill="1" applyBorder="1" applyAlignment="1" applyProtection="1">
      <alignment horizontal="left"/>
      <protection locked="0"/>
    </xf>
    <xf numFmtId="0" fontId="0" fillId="2" borderId="8" xfId="0" applyFill="1" applyBorder="1" applyAlignment="1" applyProtection="1">
      <alignment horizontal="center"/>
      <protection locked="0"/>
    </xf>
    <xf numFmtId="0" fontId="3" fillId="2" borderId="8" xfId="0" applyFont="1" applyFill="1" applyBorder="1" applyAlignment="1" applyProtection="1">
      <alignment horizontal="center"/>
      <protection locked="0"/>
    </xf>
    <xf numFmtId="0" fontId="0" fillId="3" borderId="12" xfId="0" applyFill="1" applyBorder="1" applyProtection="1">
      <protection locked="0"/>
    </xf>
    <xf numFmtId="0" fontId="0" fillId="3" borderId="12" xfId="0" applyFill="1" applyBorder="1" applyAlignment="1" applyProtection="1">
      <alignment horizontal="center"/>
      <protection locked="0"/>
    </xf>
    <xf numFmtId="0" fontId="3" fillId="2" borderId="13" xfId="0" applyFont="1" applyFill="1" applyBorder="1" applyAlignment="1" applyProtection="1">
      <alignment horizontal="center"/>
      <protection locked="0"/>
    </xf>
    <xf numFmtId="0" fontId="3" fillId="2" borderId="13" xfId="0" applyFont="1" applyFill="1" applyBorder="1" applyProtection="1">
      <protection locked="0"/>
    </xf>
    <xf numFmtId="0" fontId="0" fillId="2" borderId="8" xfId="0" applyFill="1" applyBorder="1" applyAlignment="1"/>
    <xf numFmtId="0" fontId="2" fillId="5" borderId="9" xfId="0" applyFont="1" applyFill="1" applyBorder="1" applyAlignment="1"/>
    <xf numFmtId="0" fontId="2" fillId="5" borderId="11" xfId="0" applyFont="1" applyFill="1" applyBorder="1" applyAlignment="1"/>
    <xf numFmtId="0" fontId="0" fillId="6" borderId="8" xfId="0" applyFill="1" applyBorder="1" applyAlignment="1">
      <alignment horizontal="center"/>
    </xf>
    <xf numFmtId="0" fontId="0" fillId="2" borderId="5" xfId="0" applyFill="1" applyBorder="1" applyAlignment="1">
      <alignment horizontal="right"/>
    </xf>
    <xf numFmtId="0" fontId="0" fillId="0" borderId="9" xfId="0" applyBorder="1" applyAlignment="1" applyProtection="1">
      <alignment horizontal="center"/>
      <protection locked="0"/>
    </xf>
    <xf numFmtId="0" fontId="0" fillId="3" borderId="2" xfId="0" applyFill="1" applyBorder="1" applyProtection="1">
      <protection locked="0"/>
    </xf>
    <xf numFmtId="0" fontId="3" fillId="2" borderId="14" xfId="0" applyFont="1" applyFill="1" applyBorder="1" applyProtection="1">
      <protection locked="0"/>
    </xf>
    <xf numFmtId="0" fontId="2" fillId="5" borderId="9" xfId="0" applyFont="1" applyFill="1" applyBorder="1" applyAlignment="1" applyProtection="1">
      <alignment horizontal="center"/>
      <protection locked="0"/>
    </xf>
    <xf numFmtId="0" fontId="3" fillId="2" borderId="14" xfId="0" applyFont="1" applyFill="1" applyBorder="1" applyAlignment="1" applyProtection="1">
      <alignment horizontal="center"/>
      <protection locked="0"/>
    </xf>
    <xf numFmtId="205" fontId="0" fillId="6" borderId="3" xfId="0" applyNumberFormat="1" applyFill="1" applyBorder="1" applyAlignment="1">
      <alignment horizontal="center"/>
    </xf>
    <xf numFmtId="0" fontId="0" fillId="2" borderId="0" xfId="0" applyFill="1" applyBorder="1" applyAlignment="1" applyProtection="1">
      <alignment horizontal="center"/>
      <protection locked="0"/>
    </xf>
    <xf numFmtId="0" fontId="13" fillId="4" borderId="1" xfId="0" applyFont="1" applyFill="1" applyBorder="1"/>
    <xf numFmtId="0" fontId="0" fillId="7" borderId="1" xfId="0" applyFill="1" applyBorder="1"/>
    <xf numFmtId="0" fontId="0" fillId="3" borderId="14" xfId="0" applyFill="1" applyBorder="1"/>
    <xf numFmtId="0" fontId="0" fillId="4" borderId="14" xfId="0" applyFill="1" applyBorder="1"/>
    <xf numFmtId="0" fontId="0" fillId="0" borderId="0" xfId="0" applyFill="1" applyBorder="1" applyProtection="1">
      <protection locked="0"/>
    </xf>
    <xf numFmtId="0" fontId="4" fillId="4" borderId="2" xfId="0" applyFont="1" applyFill="1" applyBorder="1"/>
    <xf numFmtId="2" fontId="4" fillId="4" borderId="2" xfId="0" applyNumberFormat="1" applyFont="1" applyFill="1" applyBorder="1"/>
    <xf numFmtId="0" fontId="0" fillId="4" borderId="2" xfId="0" applyFill="1" applyBorder="1"/>
    <xf numFmtId="0" fontId="0" fillId="4" borderId="10" xfId="0" applyFill="1" applyBorder="1"/>
    <xf numFmtId="0" fontId="0" fillId="2" borderId="0" xfId="0" applyFill="1" applyBorder="1" applyAlignment="1"/>
    <xf numFmtId="0" fontId="0" fillId="2" borderId="13" xfId="0" applyFill="1" applyBorder="1" applyAlignment="1"/>
    <xf numFmtId="0" fontId="0" fillId="0" borderId="0" xfId="0" applyBorder="1" applyAlignment="1">
      <alignment horizontal="left" indent="15"/>
    </xf>
    <xf numFmtId="0" fontId="2" fillId="8" borderId="2" xfId="0" applyFont="1" applyFill="1" applyBorder="1" applyAlignment="1">
      <alignment horizontal="center"/>
    </xf>
    <xf numFmtId="0" fontId="2" fillId="8" borderId="1" xfId="0" applyFont="1" applyFill="1" applyBorder="1" applyAlignment="1">
      <alignment horizontal="center"/>
    </xf>
    <xf numFmtId="0" fontId="0" fillId="5" borderId="5" xfId="0" applyFill="1" applyBorder="1" applyAlignment="1">
      <alignment horizontal="center"/>
    </xf>
    <xf numFmtId="0" fontId="0" fillId="5" borderId="0" xfId="0" applyFill="1" applyAlignment="1">
      <alignment horizontal="left"/>
    </xf>
    <xf numFmtId="0" fontId="3" fillId="0" borderId="0" xfId="0" applyFont="1" applyBorder="1" applyAlignment="1">
      <alignment wrapText="1"/>
    </xf>
    <xf numFmtId="0" fontId="15" fillId="0" borderId="0" xfId="0" applyFont="1"/>
    <xf numFmtId="0" fontId="15" fillId="0" borderId="0" xfId="0" applyFont="1" applyAlignment="1"/>
    <xf numFmtId="0" fontId="15" fillId="0" borderId="0" xfId="0" applyFont="1" applyBorder="1" applyAlignment="1"/>
    <xf numFmtId="0" fontId="15" fillId="2" borderId="3" xfId="0" applyFont="1" applyFill="1" applyBorder="1" applyAlignment="1" applyProtection="1">
      <alignment horizontal="center"/>
      <protection locked="0"/>
    </xf>
    <xf numFmtId="0" fontId="15" fillId="2" borderId="4" xfId="0" applyFont="1" applyFill="1" applyBorder="1" applyAlignment="1" applyProtection="1">
      <alignment horizontal="center"/>
      <protection locked="0"/>
    </xf>
    <xf numFmtId="0" fontId="15" fillId="0" borderId="1" xfId="0" applyFont="1" applyBorder="1"/>
    <xf numFmtId="0" fontId="15" fillId="0" borderId="0" xfId="0" applyFont="1" applyBorder="1"/>
    <xf numFmtId="0" fontId="15" fillId="2" borderId="1" xfId="0" applyFont="1" applyFill="1" applyBorder="1" applyAlignment="1" applyProtection="1">
      <alignment horizontal="center"/>
      <protection locked="0"/>
    </xf>
    <xf numFmtId="0" fontId="0" fillId="2" borderId="2" xfId="0" applyFill="1" applyBorder="1" applyAlignment="1"/>
    <xf numFmtId="0" fontId="0" fillId="6" borderId="4" xfId="0" applyFill="1" applyBorder="1" applyAlignment="1">
      <alignment horizontal="center"/>
    </xf>
    <xf numFmtId="205" fontId="0" fillId="0" borderId="4" xfId="0" applyNumberFormat="1" applyBorder="1"/>
    <xf numFmtId="0" fontId="9" fillId="2" borderId="12" xfId="0" applyFont="1" applyFill="1" applyBorder="1"/>
    <xf numFmtId="0" fontId="9" fillId="2" borderId="12" xfId="0" applyFont="1" applyFill="1" applyBorder="1" applyAlignment="1"/>
    <xf numFmtId="0" fontId="3" fillId="6" borderId="12" xfId="0" applyFont="1" applyFill="1" applyBorder="1"/>
    <xf numFmtId="0" fontId="3" fillId="6" borderId="12" xfId="0" applyFont="1" applyFill="1" applyBorder="1" applyAlignment="1"/>
    <xf numFmtId="0" fontId="0" fillId="9" borderId="9" xfId="0" applyFill="1" applyBorder="1" applyAlignment="1"/>
    <xf numFmtId="0" fontId="2" fillId="9" borderId="10" xfId="0" applyFont="1" applyFill="1" applyBorder="1" applyAlignment="1" applyProtection="1">
      <alignment horizontal="left"/>
      <protection locked="0"/>
    </xf>
    <xf numFmtId="0" fontId="2" fillId="9" borderId="9" xfId="0" applyFont="1" applyFill="1" applyBorder="1" applyAlignment="1" applyProtection="1">
      <alignment horizontal="left"/>
      <protection locked="0"/>
    </xf>
    <xf numFmtId="0" fontId="0" fillId="6" borderId="1" xfId="0" applyFill="1" applyBorder="1" applyAlignment="1">
      <alignment horizontal="center"/>
    </xf>
    <xf numFmtId="205" fontId="0" fillId="0" borderId="1" xfId="0" applyNumberFormat="1" applyBorder="1"/>
    <xf numFmtId="0" fontId="16" fillId="5" borderId="5" xfId="0" applyFont="1" applyFill="1" applyBorder="1" applyAlignment="1">
      <alignment horizontal="center"/>
    </xf>
    <xf numFmtId="0" fontId="16" fillId="5" borderId="0" xfId="0" applyFont="1" applyFill="1" applyAlignment="1">
      <alignment horizontal="left"/>
    </xf>
    <xf numFmtId="0" fontId="14" fillId="8" borderId="1" xfId="0" applyFont="1" applyFill="1" applyBorder="1" applyAlignment="1">
      <alignment horizontal="center"/>
    </xf>
    <xf numFmtId="0" fontId="14" fillId="8" borderId="2" xfId="0" applyFont="1" applyFill="1" applyBorder="1" applyAlignment="1">
      <alignment horizontal="center"/>
    </xf>
    <xf numFmtId="0" fontId="16" fillId="0" borderId="0" xfId="0" applyFont="1" applyBorder="1" applyAlignment="1">
      <alignment horizontal="left" indent="15"/>
    </xf>
    <xf numFmtId="0" fontId="3" fillId="2" borderId="2" xfId="0" applyNumberFormat="1" applyFont="1" applyFill="1" applyBorder="1" applyAlignment="1" applyProtection="1">
      <alignment horizontal="center"/>
      <protection locked="0"/>
    </xf>
    <xf numFmtId="2" fontId="3" fillId="2" borderId="4" xfId="0" applyNumberFormat="1" applyFont="1" applyFill="1" applyBorder="1" applyAlignment="1" applyProtection="1">
      <alignment horizontal="center"/>
      <protection locked="0"/>
    </xf>
    <xf numFmtId="0" fontId="0" fillId="0" borderId="5" xfId="0" applyBorder="1" applyAlignment="1"/>
    <xf numFmtId="0" fontId="0" fillId="2" borderId="1" xfId="0" applyFill="1" applyBorder="1" applyAlignment="1" applyProtection="1">
      <alignment horizontal="left"/>
      <protection locked="0"/>
    </xf>
    <xf numFmtId="0" fontId="2" fillId="5" borderId="0" xfId="0" applyFont="1" applyFill="1" applyBorder="1" applyAlignment="1"/>
    <xf numFmtId="0" fontId="13" fillId="4" borderId="4" xfId="0" applyFont="1" applyFill="1" applyBorder="1"/>
    <xf numFmtId="0" fontId="3" fillId="2" borderId="14" xfId="0" applyFont="1" applyFill="1" applyBorder="1"/>
    <xf numFmtId="2" fontId="3" fillId="2" borderId="6" xfId="0" applyNumberFormat="1" applyFont="1" applyFill="1" applyBorder="1" applyProtection="1">
      <protection locked="0"/>
    </xf>
    <xf numFmtId="0" fontId="3" fillId="0" borderId="0" xfId="0" applyFont="1"/>
    <xf numFmtId="0" fontId="3" fillId="0" borderId="0" xfId="0" applyFont="1" applyFill="1" applyBorder="1" applyAlignment="1" applyProtection="1">
      <alignment vertical="top" wrapText="1"/>
      <protection locked="0"/>
    </xf>
    <xf numFmtId="0" fontId="0" fillId="0" borderId="15" xfId="0" applyBorder="1" applyAlignment="1"/>
    <xf numFmtId="0" fontId="3" fillId="6" borderId="5" xfId="0" applyFont="1" applyFill="1" applyBorder="1" applyAlignment="1" applyProtection="1">
      <alignment horizontal="center"/>
      <protection locked="0"/>
    </xf>
    <xf numFmtId="0" fontId="3" fillId="3" borderId="2" xfId="0" applyFont="1" applyFill="1" applyBorder="1" applyProtection="1">
      <protection locked="0"/>
    </xf>
    <xf numFmtId="0" fontId="3" fillId="3" borderId="1" xfId="0" applyFont="1" applyFill="1" applyBorder="1" applyAlignment="1" applyProtection="1">
      <alignment horizontal="center"/>
      <protection locked="0"/>
    </xf>
    <xf numFmtId="0" fontId="0" fillId="0" borderId="0" xfId="0" applyFill="1" applyBorder="1" applyAlignment="1">
      <alignment horizontal="left" wrapText="1"/>
    </xf>
    <xf numFmtId="0" fontId="0" fillId="3" borderId="1" xfId="0" applyFill="1" applyBorder="1" applyAlignment="1" applyProtection="1">
      <alignment horizontal="left"/>
      <protection locked="0"/>
    </xf>
    <xf numFmtId="0" fontId="19" fillId="2" borderId="6" xfId="0" applyFont="1" applyFill="1" applyBorder="1" applyAlignment="1">
      <alignment horizontal="left" indent="1"/>
    </xf>
    <xf numFmtId="0" fontId="19" fillId="2" borderId="0" xfId="0" applyFont="1" applyFill="1" applyBorder="1" applyAlignment="1">
      <alignment horizontal="left"/>
    </xf>
    <xf numFmtId="0" fontId="19" fillId="2" borderId="13" xfId="0" applyFont="1" applyFill="1" applyBorder="1" applyAlignment="1">
      <alignment horizontal="left"/>
    </xf>
    <xf numFmtId="0" fontId="3" fillId="2" borderId="0" xfId="0" applyFont="1" applyFill="1" applyBorder="1" applyAlignment="1"/>
    <xf numFmtId="0" fontId="3" fillId="2" borderId="0" xfId="0" applyFont="1" applyFill="1" applyAlignment="1"/>
    <xf numFmtId="0" fontId="3" fillId="2" borderId="13" xfId="0" applyFont="1" applyFill="1" applyBorder="1" applyAlignment="1"/>
    <xf numFmtId="0" fontId="4" fillId="4" borderId="4" xfId="0" applyFont="1" applyFill="1" applyBorder="1"/>
    <xf numFmtId="0" fontId="0" fillId="3" borderId="10" xfId="0" applyFill="1" applyBorder="1" applyProtection="1">
      <protection locked="0"/>
    </xf>
    <xf numFmtId="0" fontId="3" fillId="6" borderId="4" xfId="0" applyFont="1" applyFill="1" applyBorder="1" applyAlignment="1" applyProtection="1">
      <alignment horizontal="center"/>
      <protection locked="0"/>
    </xf>
    <xf numFmtId="0" fontId="5" fillId="0" borderId="0" xfId="0" applyFont="1" applyFill="1" applyBorder="1" applyAlignment="1" applyProtection="1">
      <alignment vertical="top" wrapText="1"/>
      <protection locked="0"/>
    </xf>
    <xf numFmtId="0" fontId="20" fillId="0" borderId="1" xfId="0" applyFont="1" applyBorder="1" applyAlignment="1" applyProtection="1">
      <alignment horizontal="center"/>
      <protection locked="0"/>
    </xf>
    <xf numFmtId="0" fontId="3" fillId="0" borderId="1" xfId="0" applyFont="1" applyBorder="1" applyAlignment="1" applyProtection="1">
      <alignment horizontal="center"/>
      <protection locked="0"/>
    </xf>
    <xf numFmtId="0" fontId="10" fillId="2" borderId="13" xfId="0" applyFont="1" applyFill="1" applyBorder="1" applyAlignment="1" applyProtection="1">
      <alignment horizontal="left" indent="1"/>
      <protection locked="0"/>
    </xf>
    <xf numFmtId="0" fontId="0" fillId="2" borderId="3" xfId="0" applyFill="1" applyBorder="1" applyAlignment="1" applyProtection="1">
      <alignment horizontal="left"/>
      <protection locked="0"/>
    </xf>
    <xf numFmtId="0" fontId="10" fillId="2" borderId="6" xfId="0" applyFont="1" applyFill="1" applyBorder="1" applyAlignment="1" applyProtection="1">
      <alignment horizontal="left" indent="1"/>
      <protection locked="0"/>
    </xf>
    <xf numFmtId="0" fontId="0" fillId="0" borderId="4" xfId="0" applyBorder="1" applyAlignment="1">
      <alignment horizontal="left"/>
    </xf>
    <xf numFmtId="0" fontId="10" fillId="2" borderId="0" xfId="0" applyFont="1" applyFill="1" applyBorder="1" applyAlignment="1" applyProtection="1">
      <alignment horizontal="left" indent="1"/>
      <protection locked="0"/>
    </xf>
    <xf numFmtId="0" fontId="0" fillId="2" borderId="14" xfId="0" applyFill="1" applyBorder="1" applyAlignment="1" applyProtection="1">
      <alignment horizontal="left" vertical="top" wrapText="1"/>
      <protection locked="0"/>
    </xf>
    <xf numFmtId="0" fontId="0" fillId="2" borderId="12" xfId="0" applyFill="1" applyBorder="1" applyAlignment="1" applyProtection="1">
      <alignment horizontal="left" vertical="top" wrapText="1"/>
      <protection locked="0"/>
    </xf>
    <xf numFmtId="0" fontId="0" fillId="2" borderId="4" xfId="0" applyFill="1" applyBorder="1" applyAlignment="1" applyProtection="1">
      <alignment horizontal="left"/>
      <protection locked="0"/>
    </xf>
    <xf numFmtId="0" fontId="10" fillId="0" borderId="0" xfId="0" applyFont="1" applyBorder="1" applyAlignment="1">
      <alignment horizontal="left" indent="1"/>
    </xf>
    <xf numFmtId="0" fontId="10" fillId="0" borderId="13" xfId="0" applyFont="1" applyBorder="1" applyAlignment="1">
      <alignment horizontal="left" indent="1"/>
    </xf>
    <xf numFmtId="0" fontId="0" fillId="0" borderId="3" xfId="0" applyBorder="1" applyAlignment="1">
      <alignment horizontal="left"/>
    </xf>
    <xf numFmtId="0" fontId="19" fillId="2" borderId="0" xfId="0" applyFont="1" applyFill="1" applyBorder="1" applyAlignment="1">
      <alignment horizontal="left" indent="1"/>
    </xf>
    <xf numFmtId="0" fontId="19" fillId="2" borderId="13" xfId="0" applyFont="1" applyFill="1" applyBorder="1" applyAlignment="1">
      <alignment horizontal="left" indent="1"/>
    </xf>
    <xf numFmtId="0" fontId="3" fillId="2" borderId="14" xfId="0" applyFont="1" applyFill="1" applyBorder="1" applyAlignment="1" applyProtection="1">
      <protection locked="0"/>
    </xf>
    <xf numFmtId="49" fontId="3" fillId="3" borderId="1" xfId="0" applyNumberFormat="1" applyFont="1" applyFill="1" applyBorder="1"/>
    <xf numFmtId="49" fontId="5" fillId="3" borderId="1" xfId="0" applyNumberFormat="1" applyFont="1" applyFill="1" applyBorder="1"/>
    <xf numFmtId="0" fontId="20" fillId="0" borderId="2" xfId="0" applyFont="1" applyBorder="1" applyAlignment="1" applyProtection="1">
      <alignment horizontal="center"/>
      <protection locked="0"/>
    </xf>
    <xf numFmtId="0" fontId="1" fillId="0" borderId="1"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5" fillId="2" borderId="6" xfId="0" applyNumberFormat="1" applyFont="1" applyFill="1" applyBorder="1" applyAlignment="1" applyProtection="1">
      <alignment horizontal="center"/>
      <protection locked="0"/>
    </xf>
    <xf numFmtId="0" fontId="3" fillId="3" borderId="3" xfId="0" applyFont="1" applyFill="1" applyBorder="1" applyProtection="1">
      <protection locked="0"/>
    </xf>
    <xf numFmtId="0" fontId="3" fillId="3" borderId="4" xfId="0" applyFont="1" applyFill="1" applyBorder="1" applyProtection="1">
      <protection locked="0"/>
    </xf>
    <xf numFmtId="0" fontId="5" fillId="3" borderId="4" xfId="0" applyFont="1" applyFill="1" applyBorder="1"/>
    <xf numFmtId="0" fontId="5" fillId="3" borderId="4" xfId="0" applyFont="1" applyFill="1" applyBorder="1" applyAlignment="1"/>
    <xf numFmtId="0" fontId="3" fillId="3" borderId="2" xfId="0" applyFont="1" applyFill="1" applyBorder="1"/>
    <xf numFmtId="0" fontId="3" fillId="6" borderId="1" xfId="0" applyFont="1" applyFill="1" applyBorder="1" applyAlignment="1" applyProtection="1">
      <alignment horizontal="center"/>
      <protection locked="0"/>
    </xf>
    <xf numFmtId="0" fontId="5" fillId="2" borderId="1" xfId="0" applyFont="1" applyFill="1" applyBorder="1"/>
    <xf numFmtId="0" fontId="13" fillId="4" borderId="2" xfId="0" applyFont="1" applyFill="1" applyBorder="1"/>
    <xf numFmtId="0" fontId="3" fillId="3" borderId="1" xfId="0" applyFont="1" applyFill="1" applyBorder="1" applyAlignment="1">
      <alignment horizontal="center"/>
    </xf>
    <xf numFmtId="0" fontId="0" fillId="3" borderId="14" xfId="0" applyFill="1" applyBorder="1" applyProtection="1">
      <protection locked="0"/>
    </xf>
    <xf numFmtId="0" fontId="0" fillId="3" borderId="14" xfId="0" applyFill="1" applyBorder="1" applyAlignment="1" applyProtection="1">
      <alignment horizontal="center"/>
      <protection locked="0"/>
    </xf>
    <xf numFmtId="0" fontId="4" fillId="4" borderId="14" xfId="0" applyFont="1" applyFill="1" applyBorder="1"/>
    <xf numFmtId="49" fontId="0" fillId="3" borderId="2" xfId="0" applyNumberFormat="1" applyFill="1" applyBorder="1" applyProtection="1">
      <protection locked="0"/>
    </xf>
    <xf numFmtId="49" fontId="3" fillId="3" borderId="2" xfId="0" applyNumberFormat="1" applyFont="1" applyFill="1" applyBorder="1" applyProtection="1">
      <protection locked="0"/>
    </xf>
    <xf numFmtId="2" fontId="3" fillId="2" borderId="14" xfId="0" applyNumberFormat="1" applyFont="1" applyFill="1" applyBorder="1" applyAlignment="1" applyProtection="1">
      <alignment horizontal="center"/>
      <protection locked="0"/>
    </xf>
    <xf numFmtId="2" fontId="3" fillId="2" borderId="10" xfId="0" applyNumberFormat="1" applyFont="1" applyFill="1" applyBorder="1" applyAlignment="1" applyProtection="1">
      <alignment horizontal="center"/>
      <protection locked="0"/>
    </xf>
    <xf numFmtId="0" fontId="3" fillId="2" borderId="10" xfId="0" applyNumberFormat="1" applyFont="1" applyFill="1" applyBorder="1" applyAlignment="1" applyProtection="1">
      <alignment horizontal="center"/>
      <protection locked="0"/>
    </xf>
    <xf numFmtId="0" fontId="3" fillId="2" borderId="14" xfId="0" applyNumberFormat="1" applyFont="1" applyFill="1" applyBorder="1" applyAlignment="1" applyProtection="1">
      <alignment horizontal="center"/>
      <protection locked="0"/>
    </xf>
    <xf numFmtId="0" fontId="3" fillId="2" borderId="6" xfId="0" applyNumberFormat="1" applyFont="1" applyFill="1" applyBorder="1" applyAlignment="1" applyProtection="1">
      <alignment horizontal="center"/>
      <protection locked="0"/>
    </xf>
    <xf numFmtId="0" fontId="3" fillId="2" borderId="16" xfId="0" applyNumberFormat="1" applyFont="1" applyFill="1" applyBorder="1" applyAlignment="1" applyProtection="1">
      <alignment horizontal="center"/>
      <protection locked="0"/>
    </xf>
    <xf numFmtId="0" fontId="26" fillId="4" borderId="1" xfId="0" applyFont="1" applyFill="1" applyBorder="1"/>
    <xf numFmtId="0" fontId="4" fillId="4" borderId="10" xfId="0" applyFont="1" applyFill="1" applyBorder="1"/>
    <xf numFmtId="0" fontId="0" fillId="3" borderId="4" xfId="0" applyFill="1" applyBorder="1"/>
    <xf numFmtId="0" fontId="0" fillId="3" borderId="11" xfId="0" applyFill="1" applyBorder="1"/>
    <xf numFmtId="0" fontId="6" fillId="2" borderId="14" xfId="0" applyFont="1" applyFill="1" applyBorder="1" applyAlignment="1"/>
    <xf numFmtId="0" fontId="6" fillId="2" borderId="14" xfId="0" applyFont="1" applyFill="1" applyBorder="1"/>
    <xf numFmtId="0" fontId="6" fillId="2" borderId="16" xfId="0" applyFont="1" applyFill="1" applyBorder="1"/>
    <xf numFmtId="2" fontId="3" fillId="2" borderId="14" xfId="0" applyNumberFormat="1" applyFont="1" applyFill="1" applyBorder="1" applyProtection="1">
      <protection locked="0"/>
    </xf>
    <xf numFmtId="0" fontId="3" fillId="2" borderId="10" xfId="0" applyNumberFormat="1" applyFont="1" applyFill="1" applyBorder="1" applyProtection="1">
      <protection locked="0"/>
    </xf>
    <xf numFmtId="2" fontId="3" fillId="2" borderId="10" xfId="0" applyNumberFormat="1" applyFont="1" applyFill="1" applyBorder="1" applyProtection="1">
      <protection locked="0"/>
    </xf>
    <xf numFmtId="0" fontId="3" fillId="2" borderId="14" xfId="0" applyNumberFormat="1" applyFont="1" applyFill="1" applyBorder="1" applyProtection="1">
      <protection locked="0"/>
    </xf>
    <xf numFmtId="0" fontId="0" fillId="3" borderId="6" xfId="0" applyFill="1" applyBorder="1"/>
    <xf numFmtId="0" fontId="22" fillId="4" borderId="3" xfId="0" applyFont="1" applyFill="1" applyBorder="1"/>
    <xf numFmtId="1" fontId="3" fillId="2" borderId="6" xfId="0" applyNumberFormat="1" applyFont="1" applyFill="1" applyBorder="1" applyProtection="1">
      <protection locked="0"/>
    </xf>
    <xf numFmtId="204" fontId="4" fillId="4" borderId="4" xfId="0" applyNumberFormat="1" applyFont="1" applyFill="1" applyBorder="1" applyAlignment="1" applyProtection="1">
      <alignment horizontal="center"/>
    </xf>
    <xf numFmtId="0" fontId="4" fillId="4" borderId="4" xfId="0" applyNumberFormat="1" applyFont="1" applyFill="1" applyBorder="1" applyProtection="1"/>
    <xf numFmtId="0" fontId="4" fillId="4" borderId="8" xfId="0" applyNumberFormat="1" applyFont="1" applyFill="1" applyBorder="1" applyProtection="1"/>
    <xf numFmtId="0" fontId="4" fillId="4" borderId="4" xfId="0" applyNumberFormat="1" applyFont="1" applyFill="1" applyBorder="1" applyAlignment="1" applyProtection="1">
      <alignment wrapText="1"/>
    </xf>
    <xf numFmtId="0" fontId="3" fillId="2" borderId="14" xfId="0" applyFont="1" applyFill="1" applyBorder="1" applyAlignment="1">
      <alignment horizontal="center"/>
    </xf>
    <xf numFmtId="2" fontId="3" fillId="2" borderId="14" xfId="0" applyNumberFormat="1" applyFont="1" applyFill="1" applyBorder="1"/>
    <xf numFmtId="2" fontId="3" fillId="2" borderId="14" xfId="0" applyNumberFormat="1" applyFont="1" applyFill="1" applyBorder="1" applyAlignment="1">
      <alignment horizontal="center"/>
    </xf>
    <xf numFmtId="0" fontId="0" fillId="3" borderId="12" xfId="0" applyFill="1" applyBorder="1"/>
    <xf numFmtId="2" fontId="3" fillId="2" borderId="11" xfId="0" applyNumberFormat="1" applyFont="1" applyFill="1" applyBorder="1" applyAlignment="1" applyProtection="1">
      <alignment horizontal="center"/>
      <protection locked="0"/>
    </xf>
    <xf numFmtId="0" fontId="13" fillId="4" borderId="12" xfId="0" applyFont="1" applyFill="1" applyBorder="1"/>
    <xf numFmtId="0" fontId="6" fillId="2" borderId="14" xfId="0" applyFont="1" applyFill="1" applyBorder="1" applyAlignment="1">
      <alignment horizontal="center"/>
    </xf>
    <xf numFmtId="0" fontId="0" fillId="3" borderId="3" xfId="0" applyFill="1" applyBorder="1"/>
    <xf numFmtId="0" fontId="0" fillId="7" borderId="12" xfId="0" applyFill="1" applyBorder="1"/>
    <xf numFmtId="0" fontId="0" fillId="3" borderId="1" xfId="0" applyNumberFormat="1" applyFill="1" applyBorder="1" applyAlignment="1" applyProtection="1">
      <alignment horizontal="center"/>
      <protection locked="0"/>
    </xf>
    <xf numFmtId="0" fontId="0" fillId="0" borderId="6" xfId="0" applyNumberFormat="1" applyBorder="1"/>
    <xf numFmtId="0" fontId="0" fillId="3" borderId="1" xfId="0" applyFill="1" applyBorder="1" applyAlignment="1" applyProtection="1">
      <alignment wrapText="1"/>
      <protection locked="0"/>
    </xf>
    <xf numFmtId="0" fontId="3" fillId="3" borderId="1" xfId="0" applyFont="1" applyFill="1" applyBorder="1" applyAlignment="1" applyProtection="1">
      <alignment wrapText="1"/>
      <protection locked="0"/>
    </xf>
    <xf numFmtId="49" fontId="0" fillId="3" borderId="1" xfId="0" applyNumberFormat="1" applyFill="1" applyBorder="1" applyProtection="1">
      <protection locked="0"/>
    </xf>
    <xf numFmtId="49" fontId="0" fillId="3" borderId="1" xfId="0" applyNumberFormat="1" applyFill="1" applyBorder="1" applyAlignment="1" applyProtection="1">
      <alignment horizontal="center"/>
      <protection locked="0"/>
    </xf>
    <xf numFmtId="49" fontId="0" fillId="3" borderId="1" xfId="0" applyNumberFormat="1" applyFill="1" applyBorder="1"/>
    <xf numFmtId="49" fontId="0" fillId="3" borderId="1" xfId="0" applyNumberFormat="1" applyFill="1" applyBorder="1" applyAlignment="1">
      <alignment horizontal="center"/>
    </xf>
    <xf numFmtId="49" fontId="0" fillId="3" borderId="2" xfId="0" applyNumberFormat="1" applyFill="1" applyBorder="1"/>
    <xf numFmtId="49" fontId="3" fillId="3" borderId="2" xfId="0" applyNumberFormat="1" applyFont="1" applyFill="1" applyBorder="1"/>
    <xf numFmtId="0" fontId="0" fillId="3" borderId="1" xfId="0" applyNumberFormat="1" applyFill="1" applyBorder="1" applyProtection="1">
      <protection locked="0"/>
    </xf>
    <xf numFmtId="0" fontId="26" fillId="4" borderId="4" xfId="0" applyFont="1" applyFill="1" applyBorder="1"/>
    <xf numFmtId="49" fontId="4" fillId="4" borderId="4" xfId="0" applyNumberFormat="1" applyFont="1" applyFill="1" applyBorder="1" applyProtection="1"/>
    <xf numFmtId="0" fontId="0" fillId="0" borderId="5" xfId="0" applyBorder="1"/>
    <xf numFmtId="0" fontId="0" fillId="0" borderId="8" xfId="0" applyBorder="1"/>
    <xf numFmtId="0" fontId="5" fillId="2" borderId="7" xfId="0" applyFont="1" applyFill="1" applyBorder="1" applyAlignment="1" applyProtection="1">
      <alignment horizontal="center"/>
      <protection locked="0"/>
    </xf>
    <xf numFmtId="0" fontId="0" fillId="0" borderId="5" xfId="0" applyBorder="1" applyAlignment="1">
      <alignment horizontal="center"/>
    </xf>
    <xf numFmtId="0" fontId="0" fillId="0" borderId="0" xfId="0" applyBorder="1" applyAlignment="1" applyProtection="1">
      <alignment horizontal="center"/>
      <protection locked="0"/>
    </xf>
    <xf numFmtId="0" fontId="5" fillId="2" borderId="7" xfId="0" applyFont="1" applyFill="1" applyBorder="1" applyAlignment="1">
      <alignment horizontal="center"/>
    </xf>
    <xf numFmtId="0" fontId="5" fillId="2" borderId="5" xfId="0" applyFont="1" applyFill="1" applyBorder="1" applyAlignment="1">
      <alignment horizontal="center"/>
    </xf>
    <xf numFmtId="0" fontId="5" fillId="2" borderId="8" xfId="0" applyFont="1" applyFill="1" applyBorder="1" applyAlignment="1">
      <alignment horizontal="center"/>
    </xf>
    <xf numFmtId="0" fontId="5" fillId="2" borderId="5" xfId="0" applyFont="1" applyFill="1" applyBorder="1" applyAlignment="1" applyProtection="1">
      <alignment horizontal="center"/>
      <protection locked="0"/>
    </xf>
    <xf numFmtId="0" fontId="5" fillId="2" borderId="16" xfId="0" applyFont="1" applyFill="1" applyBorder="1" applyAlignment="1">
      <alignment horizontal="center" wrapText="1"/>
    </xf>
    <xf numFmtId="0" fontId="5" fillId="2" borderId="12" xfId="0" applyFont="1" applyFill="1" applyBorder="1" applyAlignment="1">
      <alignment horizontal="center" wrapText="1"/>
    </xf>
    <xf numFmtId="0" fontId="2" fillId="5" borderId="0" xfId="0" applyFont="1" applyFill="1" applyBorder="1" applyAlignment="1" applyProtection="1">
      <alignment horizontal="center"/>
      <protection locked="0"/>
    </xf>
    <xf numFmtId="0" fontId="0" fillId="0" borderId="8" xfId="0" applyBorder="1" applyAlignment="1">
      <alignment horizontal="center"/>
    </xf>
    <xf numFmtId="0" fontId="2" fillId="5" borderId="6" xfId="0" applyFont="1" applyFill="1" applyBorder="1" applyAlignment="1" applyProtection="1">
      <alignment horizontal="left"/>
      <protection locked="0"/>
    </xf>
    <xf numFmtId="0" fontId="0" fillId="0" borderId="0" xfId="0" applyBorder="1" applyAlignment="1"/>
    <xf numFmtId="0" fontId="0" fillId="0" borderId="0" xfId="0" applyAlignment="1"/>
    <xf numFmtId="0" fontId="0" fillId="2" borderId="6" xfId="0" applyFill="1" applyBorder="1" applyAlignment="1" applyProtection="1">
      <alignment horizontal="center"/>
      <protection locked="0"/>
    </xf>
    <xf numFmtId="0" fontId="3" fillId="2" borderId="16" xfId="0" applyFont="1" applyFill="1" applyBorder="1" applyAlignment="1" applyProtection="1">
      <alignment horizontal="center" wrapText="1"/>
      <protection locked="0"/>
    </xf>
    <xf numFmtId="0" fontId="0" fillId="2" borderId="5" xfId="0" applyFill="1" applyBorder="1" applyAlignment="1" applyProtection="1">
      <alignment horizontal="right"/>
      <protection locked="0"/>
    </xf>
    <xf numFmtId="0" fontId="3" fillId="3" borderId="2" xfId="0" applyFont="1" applyFill="1" applyBorder="1" applyAlignment="1">
      <alignment horizontal="left" wrapText="1"/>
    </xf>
    <xf numFmtId="0" fontId="0" fillId="0" borderId="3" xfId="0" applyBorder="1" applyAlignment="1">
      <alignment horizontal="left" wrapText="1"/>
    </xf>
    <xf numFmtId="0" fontId="0" fillId="0" borderId="4" xfId="0" applyBorder="1" applyAlignment="1">
      <alignment horizontal="left" wrapText="1"/>
    </xf>
    <xf numFmtId="0" fontId="3" fillId="3" borderId="10" xfId="0" applyFont="1" applyFill="1" applyBorder="1" applyAlignment="1">
      <alignment horizontal="left" wrapText="1"/>
    </xf>
    <xf numFmtId="0" fontId="0" fillId="0" borderId="9" xfId="0" applyBorder="1" applyAlignment="1"/>
    <xf numFmtId="0" fontId="0" fillId="0" borderId="11" xfId="0" applyBorder="1" applyAlignment="1"/>
    <xf numFmtId="0" fontId="0" fillId="0" borderId="7" xfId="0" applyBorder="1" applyAlignment="1"/>
    <xf numFmtId="0" fontId="0" fillId="0" borderId="5" xfId="0" applyBorder="1" applyAlignment="1"/>
    <xf numFmtId="0" fontId="0" fillId="0" borderId="8" xfId="0" applyBorder="1" applyAlignment="1"/>
    <xf numFmtId="0" fontId="5" fillId="2" borderId="8" xfId="0" applyFont="1" applyFill="1" applyBorder="1" applyAlignment="1" applyProtection="1">
      <alignment horizontal="center"/>
      <protection locked="0"/>
    </xf>
    <xf numFmtId="0" fontId="0" fillId="2" borderId="14" xfId="0" applyFill="1" applyBorder="1" applyAlignment="1" applyProtection="1">
      <alignment horizontal="left" vertical="top" wrapText="1"/>
      <protection locked="0"/>
    </xf>
    <xf numFmtId="0" fontId="0" fillId="2" borderId="12" xfId="0" applyFill="1" applyBorder="1" applyAlignment="1" applyProtection="1">
      <alignment horizontal="left" vertical="top" wrapText="1"/>
      <protection locked="0"/>
    </xf>
    <xf numFmtId="0" fontId="2" fillId="8" borderId="2" xfId="0" applyFont="1" applyFill="1" applyBorder="1" applyAlignment="1">
      <alignment horizontal="center"/>
    </xf>
    <xf numFmtId="0" fontId="0" fillId="0" borderId="4" xfId="0" applyBorder="1" applyAlignment="1">
      <alignment horizontal="center"/>
    </xf>
    <xf numFmtId="0" fontId="3" fillId="2" borderId="14" xfId="0" applyFont="1" applyFill="1" applyBorder="1" applyAlignment="1" applyProtection="1">
      <alignment horizontal="left" vertical="top" wrapText="1"/>
      <protection locked="0"/>
    </xf>
    <xf numFmtId="0" fontId="0" fillId="0" borderId="12" xfId="0" applyBorder="1" applyAlignment="1">
      <alignment horizontal="left" vertical="top" wrapText="1"/>
    </xf>
    <xf numFmtId="0" fontId="2" fillId="5" borderId="0" xfId="0" applyFont="1" applyFill="1" applyBorder="1" applyAlignment="1">
      <alignment horizontal="center"/>
    </xf>
    <xf numFmtId="0" fontId="0" fillId="8" borderId="3" xfId="0" applyFill="1" applyBorder="1" applyAlignment="1">
      <alignment horizontal="center"/>
    </xf>
    <xf numFmtId="0" fontId="0" fillId="8" borderId="4" xfId="0" applyFill="1" applyBorder="1" applyAlignment="1">
      <alignment horizontal="center"/>
    </xf>
    <xf numFmtId="0" fontId="2" fillId="8" borderId="3" xfId="0" applyFont="1" applyFill="1" applyBorder="1" applyAlignment="1">
      <alignment horizontal="center"/>
    </xf>
    <xf numFmtId="0" fontId="2" fillId="8" borderId="4" xfId="0" applyFont="1" applyFill="1" applyBorder="1" applyAlignment="1">
      <alignment horizontal="center"/>
    </xf>
    <xf numFmtId="0" fontId="2" fillId="5" borderId="2" xfId="0" applyFont="1" applyFill="1" applyBorder="1" applyAlignment="1">
      <alignment horizontal="left"/>
    </xf>
    <xf numFmtId="0" fontId="2" fillId="5" borderId="3" xfId="0" applyFont="1" applyFill="1" applyBorder="1" applyAlignment="1">
      <alignment horizontal="left"/>
    </xf>
    <xf numFmtId="0" fontId="3" fillId="3" borderId="3" xfId="0" applyFont="1" applyFill="1" applyBorder="1" applyAlignment="1">
      <alignment horizontal="left" wrapText="1"/>
    </xf>
    <xf numFmtId="0" fontId="3" fillId="3" borderId="4" xfId="0" applyFont="1" applyFill="1" applyBorder="1" applyAlignment="1">
      <alignment horizontal="left" wrapText="1"/>
    </xf>
    <xf numFmtId="0" fontId="3" fillId="3" borderId="9" xfId="0" applyFont="1" applyFill="1" applyBorder="1" applyAlignment="1">
      <alignment horizontal="left" wrapText="1"/>
    </xf>
    <xf numFmtId="0" fontId="3" fillId="3" borderId="11" xfId="0" applyFont="1" applyFill="1" applyBorder="1" applyAlignment="1">
      <alignment horizontal="left" wrapText="1"/>
    </xf>
    <xf numFmtId="0" fontId="3" fillId="3" borderId="7" xfId="0" applyFont="1" applyFill="1" applyBorder="1" applyAlignment="1">
      <alignment horizontal="left" wrapText="1"/>
    </xf>
    <xf numFmtId="0" fontId="3" fillId="3" borderId="5" xfId="0" applyFont="1" applyFill="1" applyBorder="1" applyAlignment="1">
      <alignment horizontal="left" wrapText="1"/>
    </xf>
    <xf numFmtId="0" fontId="3" fillId="3" borderId="8" xfId="0" applyFont="1" applyFill="1" applyBorder="1" applyAlignment="1">
      <alignment horizontal="left" wrapText="1"/>
    </xf>
    <xf numFmtId="0" fontId="3" fillId="6" borderId="5" xfId="0" applyFont="1" applyFill="1" applyBorder="1" applyAlignment="1" applyProtection="1">
      <alignment horizontal="left"/>
      <protection locked="0"/>
    </xf>
    <xf numFmtId="0" fontId="0" fillId="2" borderId="2" xfId="0" applyFill="1" applyBorder="1" applyAlignment="1">
      <alignment horizontal="center"/>
    </xf>
    <xf numFmtId="0" fontId="0" fillId="2" borderId="3" xfId="0" applyFill="1" applyBorder="1" applyAlignment="1">
      <alignment horizontal="center"/>
    </xf>
    <xf numFmtId="0" fontId="0" fillId="0" borderId="3" xfId="0" applyBorder="1" applyAlignment="1">
      <alignment horizontal="center"/>
    </xf>
    <xf numFmtId="0" fontId="2" fillId="5" borderId="0" xfId="0" applyFont="1" applyFill="1" applyBorder="1" applyAlignment="1">
      <alignment horizontal="left" indent="15"/>
    </xf>
    <xf numFmtId="0" fontId="0" fillId="0" borderId="0" xfId="0" applyAlignment="1">
      <alignment horizontal="left" indent="15"/>
    </xf>
    <xf numFmtId="0" fontId="0" fillId="2" borderId="2" xfId="0" applyFill="1" applyBorder="1" applyAlignment="1" applyProtection="1">
      <alignment horizontal="left"/>
      <protection locked="0"/>
    </xf>
    <xf numFmtId="0" fontId="0" fillId="2" borderId="3" xfId="0" applyFill="1" applyBorder="1" applyAlignment="1" applyProtection="1">
      <alignment horizontal="left"/>
      <protection locked="0"/>
    </xf>
    <xf numFmtId="0" fontId="0" fillId="2" borderId="4" xfId="0" applyFill="1" applyBorder="1" applyAlignment="1" applyProtection="1">
      <alignment horizontal="left"/>
      <protection locked="0"/>
    </xf>
    <xf numFmtId="0" fontId="18" fillId="2" borderId="6" xfId="0" applyFont="1" applyFill="1" applyBorder="1" applyAlignment="1">
      <alignment horizontal="left" indent="1"/>
    </xf>
    <xf numFmtId="0" fontId="18" fillId="2" borderId="0" xfId="0" applyFont="1" applyFill="1" applyBorder="1" applyAlignment="1">
      <alignment horizontal="left" indent="1"/>
    </xf>
    <xf numFmtId="0" fontId="18" fillId="2" borderId="13" xfId="0" applyFont="1" applyFill="1" applyBorder="1" applyAlignment="1">
      <alignment horizontal="left" indent="1"/>
    </xf>
    <xf numFmtId="0" fontId="10" fillId="2" borderId="6" xfId="0" applyFont="1" applyFill="1" applyBorder="1" applyAlignment="1" applyProtection="1">
      <alignment horizontal="left" indent="1"/>
      <protection locked="0"/>
    </xf>
    <xf numFmtId="0" fontId="10" fillId="2" borderId="0" xfId="0" applyFont="1" applyFill="1" applyBorder="1" applyAlignment="1" applyProtection="1">
      <alignment horizontal="left" indent="1"/>
      <protection locked="0"/>
    </xf>
    <xf numFmtId="0" fontId="10" fillId="0" borderId="0" xfId="0" applyFont="1" applyBorder="1" applyAlignment="1">
      <alignment horizontal="left" indent="1"/>
    </xf>
    <xf numFmtId="0" fontId="10" fillId="0" borderId="13" xfId="0" applyFont="1" applyBorder="1" applyAlignment="1">
      <alignment horizontal="left" indent="1"/>
    </xf>
    <xf numFmtId="0" fontId="18" fillId="2" borderId="6" xfId="0" applyFont="1" applyFill="1" applyBorder="1" applyAlignment="1" applyProtection="1">
      <alignment horizontal="left" indent="1"/>
      <protection locked="0"/>
    </xf>
    <xf numFmtId="0" fontId="10" fillId="0" borderId="0" xfId="0" applyFont="1" applyBorder="1" applyAlignment="1" applyProtection="1">
      <alignment horizontal="left" indent="1"/>
      <protection locked="0"/>
    </xf>
    <xf numFmtId="0" fontId="10" fillId="0" borderId="13" xfId="0" applyFont="1" applyBorder="1" applyAlignment="1" applyProtection="1">
      <alignment horizontal="left" indent="1"/>
      <protection locked="0"/>
    </xf>
    <xf numFmtId="0" fontId="10" fillId="2" borderId="13" xfId="0" applyFont="1" applyFill="1" applyBorder="1" applyAlignment="1" applyProtection="1">
      <alignment horizontal="left" indent="1"/>
      <protection locked="0"/>
    </xf>
    <xf numFmtId="0" fontId="0" fillId="0" borderId="3" xfId="0" applyBorder="1" applyAlignment="1">
      <alignment horizontal="left"/>
    </xf>
    <xf numFmtId="0" fontId="0" fillId="0" borderId="4" xfId="0" applyBorder="1" applyAlignment="1">
      <alignment horizontal="left"/>
    </xf>
    <xf numFmtId="0" fontId="19" fillId="2" borderId="6" xfId="0" applyFont="1" applyFill="1" applyBorder="1" applyAlignment="1">
      <alignment horizontal="left" indent="1"/>
    </xf>
    <xf numFmtId="0" fontId="19" fillId="2" borderId="0" xfId="0" applyFont="1" applyFill="1" applyBorder="1" applyAlignment="1">
      <alignment horizontal="left" indent="1"/>
    </xf>
    <xf numFmtId="0" fontId="19" fillId="2" borderId="13" xfId="0" applyFont="1" applyFill="1" applyBorder="1" applyAlignment="1">
      <alignment horizontal="left" indent="1"/>
    </xf>
    <xf numFmtId="0" fontId="5"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0" fontId="5" fillId="2" borderId="2" xfId="0" applyFont="1" applyFill="1" applyBorder="1" applyAlignment="1" applyProtection="1">
      <alignment horizontal="center"/>
      <protection locked="0"/>
    </xf>
    <xf numFmtId="0" fontId="5" fillId="2" borderId="3" xfId="0" applyFont="1" applyFill="1" applyBorder="1" applyAlignment="1" applyProtection="1">
      <alignment horizontal="center"/>
      <protection locked="0"/>
    </xf>
    <xf numFmtId="0" fontId="0" fillId="2" borderId="4" xfId="0" applyFill="1" applyBorder="1" applyAlignment="1">
      <alignment horizontal="left"/>
    </xf>
    <xf numFmtId="0" fontId="18" fillId="2" borderId="0" xfId="0" applyFont="1" applyFill="1" applyBorder="1" applyAlignment="1" applyProtection="1">
      <alignment horizontal="left" indent="1"/>
      <protection locked="0"/>
    </xf>
    <xf numFmtId="0" fontId="18" fillId="2" borderId="13" xfId="0" applyFont="1" applyFill="1" applyBorder="1" applyAlignment="1" applyProtection="1">
      <alignment horizontal="left" indent="1"/>
      <protection locked="0"/>
    </xf>
    <xf numFmtId="0" fontId="3" fillId="2" borderId="2" xfId="0" applyFont="1" applyFill="1" applyBorder="1" applyAlignment="1" applyProtection="1">
      <alignment horizontal="left"/>
      <protection locked="0"/>
    </xf>
    <xf numFmtId="0" fontId="3" fillId="3" borderId="10" xfId="0" applyFont="1" applyFill="1" applyBorder="1" applyAlignment="1" applyProtection="1">
      <alignment horizontal="left" vertical="center" wrapText="1"/>
    </xf>
    <xf numFmtId="0" fontId="3" fillId="3" borderId="9" xfId="0" applyFont="1" applyFill="1" applyBorder="1" applyAlignment="1" applyProtection="1">
      <alignment horizontal="left" vertical="center" wrapText="1"/>
    </xf>
    <xf numFmtId="0" fontId="3" fillId="3" borderId="11" xfId="0" applyFont="1" applyFill="1" applyBorder="1" applyAlignment="1" applyProtection="1">
      <alignment horizontal="left" vertical="center" wrapText="1"/>
    </xf>
    <xf numFmtId="0" fontId="3" fillId="3" borderId="7"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8" xfId="0" applyFont="1" applyFill="1" applyBorder="1" applyAlignment="1" applyProtection="1">
      <alignment horizontal="left" vertical="center" wrapText="1"/>
    </xf>
    <xf numFmtId="0" fontId="3" fillId="6" borderId="5" xfId="0" applyFont="1" applyFill="1" applyBorder="1" applyAlignment="1" applyProtection="1">
      <alignment horizontal="center"/>
      <protection locked="0"/>
    </xf>
    <xf numFmtId="0" fontId="2" fillId="5" borderId="10" xfId="0" applyFont="1" applyFill="1" applyBorder="1" applyAlignment="1" applyProtection="1">
      <alignment horizontal="left"/>
      <protection locked="0"/>
    </xf>
    <xf numFmtId="0" fontId="3" fillId="3" borderId="10" xfId="0" applyFont="1" applyFill="1" applyBorder="1" applyAlignment="1">
      <alignment vertical="top" wrapText="1"/>
    </xf>
    <xf numFmtId="0" fontId="3" fillId="3" borderId="9" xfId="0" applyFont="1" applyFill="1" applyBorder="1" applyAlignment="1">
      <alignment vertical="top" wrapText="1"/>
    </xf>
    <xf numFmtId="0" fontId="3" fillId="3" borderId="11" xfId="0" applyFont="1" applyFill="1" applyBorder="1" applyAlignment="1">
      <alignment vertical="top" wrapText="1"/>
    </xf>
    <xf numFmtId="0" fontId="3" fillId="3" borderId="6" xfId="0" applyFont="1" applyFill="1" applyBorder="1" applyAlignment="1">
      <alignment vertical="top" wrapText="1"/>
    </xf>
    <xf numFmtId="0" fontId="3" fillId="3" borderId="0" xfId="0" applyFont="1" applyFill="1" applyBorder="1" applyAlignment="1">
      <alignment vertical="top" wrapText="1"/>
    </xf>
    <xf numFmtId="0" fontId="3" fillId="3" borderId="13" xfId="0" applyFont="1" applyFill="1" applyBorder="1" applyAlignment="1">
      <alignment vertical="top" wrapText="1"/>
    </xf>
    <xf numFmtId="0" fontId="3" fillId="3" borderId="7" xfId="0" applyFont="1" applyFill="1" applyBorder="1" applyAlignment="1">
      <alignment vertical="top" wrapText="1"/>
    </xf>
    <xf numFmtId="0" fontId="3" fillId="3" borderId="5" xfId="0" applyFont="1" applyFill="1" applyBorder="1" applyAlignment="1">
      <alignment vertical="top" wrapText="1"/>
    </xf>
    <xf numFmtId="0" fontId="3" fillId="3" borderId="8" xfId="0" applyFont="1" applyFill="1" applyBorder="1" applyAlignment="1">
      <alignment vertical="top" wrapText="1"/>
    </xf>
    <xf numFmtId="0" fontId="5" fillId="2" borderId="2" xfId="0" applyFont="1" applyFill="1" applyBorder="1" applyAlignment="1">
      <alignment horizontal="center"/>
    </xf>
    <xf numFmtId="0" fontId="0" fillId="0" borderId="5" xfId="0" applyBorder="1" applyAlignment="1" applyProtection="1">
      <alignment horizontal="center"/>
      <protection locked="0"/>
    </xf>
    <xf numFmtId="0" fontId="0" fillId="0" borderId="3" xfId="0" applyBorder="1" applyAlignment="1" applyProtection="1">
      <alignment horizontal="center"/>
      <protection locked="0"/>
    </xf>
    <xf numFmtId="0" fontId="2" fillId="5" borderId="7" xfId="0" applyFont="1" applyFill="1" applyBorder="1" applyAlignment="1">
      <alignment horizontal="center"/>
    </xf>
    <xf numFmtId="0" fontId="0" fillId="0" borderId="3" xfId="0" applyBorder="1" applyAlignment="1"/>
    <xf numFmtId="0" fontId="0" fillId="0" borderId="4" xfId="0" applyBorder="1" applyAlignment="1"/>
    <xf numFmtId="0" fontId="5" fillId="2" borderId="3" xfId="0" applyFont="1" applyFill="1" applyBorder="1" applyAlignment="1">
      <alignment horizontal="center"/>
    </xf>
    <xf numFmtId="0" fontId="5" fillId="2" borderId="4" xfId="0" applyFont="1" applyFill="1" applyBorder="1" applyAlignment="1">
      <alignment horizontal="center"/>
    </xf>
    <xf numFmtId="0" fontId="3" fillId="3" borderId="2" xfId="0" applyFont="1" applyFill="1" applyBorder="1" applyAlignment="1">
      <alignment vertical="top" wrapText="1"/>
    </xf>
    <xf numFmtId="0" fontId="0" fillId="3" borderId="3" xfId="0" applyFill="1" applyBorder="1" applyAlignment="1">
      <alignment vertical="top" wrapText="1"/>
    </xf>
    <xf numFmtId="0" fontId="0" fillId="3" borderId="4" xfId="0" applyFill="1" applyBorder="1" applyAlignment="1">
      <alignment vertical="top" wrapText="1"/>
    </xf>
    <xf numFmtId="0" fontId="3" fillId="3" borderId="2" xfId="0" applyFont="1" applyFill="1" applyBorder="1" applyProtection="1">
      <protection locked="0"/>
    </xf>
    <xf numFmtId="0" fontId="3" fillId="3" borderId="3" xfId="0" applyFont="1" applyFill="1" applyBorder="1" applyProtection="1">
      <protection locked="0"/>
    </xf>
    <xf numFmtId="0" fontId="3" fillId="3" borderId="4" xfId="0" applyFont="1" applyFill="1" applyBorder="1" applyProtection="1">
      <protection locked="0"/>
    </xf>
    <xf numFmtId="0" fontId="5" fillId="3" borderId="2" xfId="0" applyFont="1" applyFill="1" applyBorder="1"/>
    <xf numFmtId="0" fontId="5" fillId="3" borderId="3" xfId="0" applyFont="1" applyFill="1" applyBorder="1"/>
    <xf numFmtId="0" fontId="5" fillId="3" borderId="4" xfId="0" applyFont="1" applyFill="1" applyBorder="1"/>
    <xf numFmtId="0" fontId="5" fillId="3" borderId="2" xfId="0" applyFont="1" applyFill="1" applyBorder="1" applyAlignment="1">
      <alignment horizontal="left"/>
    </xf>
    <xf numFmtId="0" fontId="5" fillId="3" borderId="3" xfId="0" applyFont="1" applyFill="1" applyBorder="1" applyAlignment="1">
      <alignment horizontal="left"/>
    </xf>
    <xf numFmtId="0" fontId="5" fillId="3" borderId="4" xfId="0" applyFont="1" applyFill="1" applyBorder="1" applyAlignment="1">
      <alignment horizontal="left"/>
    </xf>
    <xf numFmtId="0" fontId="0" fillId="6" borderId="5" xfId="0" applyFill="1" applyBorder="1" applyAlignment="1" applyProtection="1">
      <alignment horizontal="left"/>
      <protection locked="0"/>
    </xf>
    <xf numFmtId="0" fontId="3" fillId="3" borderId="10" xfId="0" applyFont="1" applyFill="1" applyBorder="1" applyAlignment="1">
      <alignment horizontal="left" vertical="top" wrapText="1"/>
    </xf>
    <xf numFmtId="0" fontId="3" fillId="3" borderId="9" xfId="0" applyFont="1" applyFill="1" applyBorder="1" applyAlignment="1">
      <alignment horizontal="left" vertical="top" wrapText="1"/>
    </xf>
    <xf numFmtId="0" fontId="3" fillId="3" borderId="11" xfId="0" applyFont="1" applyFill="1" applyBorder="1" applyAlignment="1">
      <alignment horizontal="left" vertical="top" wrapText="1"/>
    </xf>
    <xf numFmtId="0" fontId="3" fillId="3" borderId="7" xfId="0" applyFont="1" applyFill="1" applyBorder="1" applyAlignment="1">
      <alignment horizontal="left" vertical="top" wrapText="1"/>
    </xf>
    <xf numFmtId="0" fontId="3" fillId="3" borderId="5" xfId="0" applyFont="1" applyFill="1" applyBorder="1" applyAlignment="1">
      <alignment horizontal="left" vertical="top" wrapText="1"/>
    </xf>
    <xf numFmtId="0" fontId="3" fillId="3" borderId="8" xfId="0" applyFont="1" applyFill="1" applyBorder="1" applyAlignment="1">
      <alignment horizontal="left" vertical="top" wrapText="1"/>
    </xf>
    <xf numFmtId="0" fontId="0" fillId="0" borderId="16" xfId="0" applyBorder="1" applyAlignment="1">
      <alignment horizontal="left" vertical="top" wrapText="1"/>
    </xf>
    <xf numFmtId="0" fontId="14" fillId="8" borderId="2" xfId="0" applyFont="1" applyFill="1" applyBorder="1" applyAlignment="1">
      <alignment horizontal="center"/>
    </xf>
    <xf numFmtId="0" fontId="14" fillId="8" borderId="3" xfId="0" applyFont="1" applyFill="1" applyBorder="1" applyAlignment="1">
      <alignment horizontal="center"/>
    </xf>
    <xf numFmtId="0" fontId="16" fillId="0" borderId="3" xfId="0" applyFont="1" applyBorder="1" applyAlignment="1">
      <alignment horizontal="center"/>
    </xf>
    <xf numFmtId="0" fontId="15" fillId="2" borderId="14" xfId="0" applyFont="1" applyFill="1" applyBorder="1" applyAlignment="1" applyProtection="1">
      <alignment horizontal="left" vertical="top" wrapText="1"/>
      <protection locked="0"/>
    </xf>
    <xf numFmtId="0" fontId="15" fillId="2" borderId="16" xfId="0" applyFont="1" applyFill="1" applyBorder="1" applyAlignment="1" applyProtection="1">
      <alignment horizontal="left" vertical="top" wrapText="1"/>
      <protection locked="0"/>
    </xf>
    <xf numFmtId="0" fontId="14" fillId="8" borderId="4" xfId="0" applyFont="1" applyFill="1" applyBorder="1" applyAlignment="1">
      <alignment horizontal="center"/>
    </xf>
    <xf numFmtId="0" fontId="16" fillId="2" borderId="2" xfId="0" applyFont="1" applyFill="1" applyBorder="1" applyAlignment="1">
      <alignment horizontal="center"/>
    </xf>
    <xf numFmtId="0" fontId="16" fillId="2" borderId="3" xfId="0" applyFont="1" applyFill="1" applyBorder="1" applyAlignment="1">
      <alignment horizontal="center"/>
    </xf>
    <xf numFmtId="0" fontId="16" fillId="0" borderId="4" xfId="0" applyFont="1" applyBorder="1" applyAlignment="1"/>
    <xf numFmtId="0" fontId="16" fillId="2" borderId="1" xfId="0" applyFont="1" applyFill="1" applyBorder="1" applyAlignment="1">
      <alignment horizontal="center"/>
    </xf>
    <xf numFmtId="0" fontId="5" fillId="0" borderId="1" xfId="0" applyFont="1" applyBorder="1" applyAlignment="1">
      <alignment horizontal="center"/>
    </xf>
    <xf numFmtId="0" fontId="2" fillId="5" borderId="2" xfId="0" applyFont="1" applyFill="1" applyBorder="1" applyAlignment="1" applyProtection="1">
      <alignment horizontal="left"/>
      <protection locked="0"/>
    </xf>
    <xf numFmtId="0" fontId="5" fillId="0" borderId="3" xfId="0" applyFont="1" applyBorder="1" applyAlignment="1"/>
    <xf numFmtId="0" fontId="5" fillId="0" borderId="4" xfId="0" applyFont="1" applyBorder="1" applyAlignment="1"/>
    <xf numFmtId="0" fontId="15" fillId="2" borderId="2" xfId="0" applyFont="1" applyFill="1" applyBorder="1" applyAlignment="1" applyProtection="1">
      <alignment horizontal="center"/>
      <protection locked="0"/>
    </xf>
    <xf numFmtId="0" fontId="15" fillId="0" borderId="3" xfId="0" applyFont="1" applyBorder="1" applyAlignment="1"/>
    <xf numFmtId="0" fontId="15" fillId="0" borderId="4" xfId="0" applyFont="1" applyBorder="1" applyAlignment="1"/>
    <xf numFmtId="0" fontId="15" fillId="2" borderId="2" xfId="0" applyFont="1" applyFill="1" applyBorder="1" applyAlignment="1" applyProtection="1">
      <alignment horizontal="left"/>
      <protection locked="0"/>
    </xf>
    <xf numFmtId="0" fontId="15" fillId="2" borderId="3" xfId="0" applyFont="1" applyFill="1" applyBorder="1" applyAlignment="1"/>
    <xf numFmtId="0" fontId="11" fillId="6" borderId="3" xfId="0" applyFont="1" applyFill="1" applyBorder="1" applyAlignment="1" applyProtection="1">
      <alignment horizontal="left"/>
      <protection locked="0"/>
    </xf>
    <xf numFmtId="0" fontId="15" fillId="6" borderId="3" xfId="0" applyFont="1" applyFill="1" applyBorder="1" applyAlignment="1" applyProtection="1">
      <alignment horizontal="left"/>
      <protection locked="0"/>
    </xf>
    <xf numFmtId="0" fontId="14" fillId="5" borderId="2" xfId="0" applyFont="1" applyFill="1" applyBorder="1" applyAlignment="1" applyProtection="1">
      <alignment horizontal="left"/>
      <protection locked="0"/>
    </xf>
    <xf numFmtId="0" fontId="14" fillId="5" borderId="3" xfId="0" applyFont="1" applyFill="1" applyBorder="1" applyAlignment="1" applyProtection="1">
      <alignment horizontal="left"/>
      <protection locked="0"/>
    </xf>
    <xf numFmtId="0" fontId="14" fillId="5" borderId="4" xfId="0" applyFont="1" applyFill="1" applyBorder="1" applyAlignment="1" applyProtection="1">
      <alignment horizontal="left"/>
      <protection locked="0"/>
    </xf>
    <xf numFmtId="0" fontId="14" fillId="5" borderId="5" xfId="0" applyFont="1" applyFill="1" applyBorder="1" applyAlignment="1">
      <alignment horizontal="left" indent="15"/>
    </xf>
    <xf numFmtId="0" fontId="0" fillId="0" borderId="5" xfId="0" applyBorder="1" applyAlignment="1">
      <alignment horizontal="left" indent="15"/>
    </xf>
    <xf numFmtId="0" fontId="16" fillId="0" borderId="4" xfId="0" applyFont="1" applyBorder="1" applyAlignment="1">
      <alignment horizontal="center"/>
    </xf>
    <xf numFmtId="0" fontId="14" fillId="8" borderId="7" xfId="0" applyFont="1" applyFill="1" applyBorder="1" applyAlignment="1">
      <alignment horizontal="center"/>
    </xf>
    <xf numFmtId="0" fontId="16" fillId="0" borderId="5" xfId="0" applyFont="1" applyBorder="1" applyAlignment="1">
      <alignment horizontal="center"/>
    </xf>
    <xf numFmtId="0" fontId="11" fillId="2" borderId="14" xfId="0" applyFont="1" applyFill="1" applyBorder="1" applyAlignment="1" applyProtection="1">
      <alignment horizontal="left" vertical="top" wrapText="1"/>
      <protection locked="0"/>
    </xf>
    <xf numFmtId="0" fontId="11" fillId="0" borderId="4" xfId="0" applyFont="1" applyBorder="1" applyAlignment="1">
      <alignment horizontal="center"/>
    </xf>
    <xf numFmtId="0" fontId="11" fillId="2" borderId="16" xfId="0" applyFont="1" applyFill="1" applyBorder="1" applyAlignment="1" applyProtection="1">
      <alignment horizontal="left" vertical="top" wrapText="1"/>
      <protection locked="0"/>
    </xf>
    <xf numFmtId="0" fontId="14" fillId="8" borderId="6" xfId="0" applyFont="1" applyFill="1" applyBorder="1" applyAlignment="1">
      <alignment horizontal="center"/>
    </xf>
    <xf numFmtId="0" fontId="15" fillId="2" borderId="14" xfId="0" applyFont="1" applyFill="1" applyBorder="1" applyAlignment="1" applyProtection="1">
      <alignment horizontal="center" vertical="top" wrapText="1"/>
      <protection locked="0"/>
    </xf>
    <xf numFmtId="0" fontId="15" fillId="2" borderId="16" xfId="0" applyFont="1" applyFill="1" applyBorder="1" applyAlignment="1" applyProtection="1">
      <alignment horizontal="center" vertical="top" wrapText="1"/>
      <protection locked="0"/>
    </xf>
    <xf numFmtId="0" fontId="2" fillId="5" borderId="3" xfId="0" applyFont="1" applyFill="1" applyBorder="1" applyAlignment="1" applyProtection="1">
      <alignment horizontal="left"/>
      <protection locked="0"/>
    </xf>
    <xf numFmtId="0" fontId="2" fillId="5" borderId="4" xfId="0" applyFont="1" applyFill="1" applyBorder="1" applyAlignment="1" applyProtection="1">
      <alignment horizontal="left"/>
      <protection locked="0"/>
    </xf>
    <xf numFmtId="0" fontId="0" fillId="2" borderId="3" xfId="0" applyFill="1" applyBorder="1" applyAlignment="1"/>
    <xf numFmtId="0" fontId="3" fillId="6" borderId="3" xfId="0" applyFont="1" applyFill="1" applyBorder="1" applyAlignment="1" applyProtection="1">
      <alignment horizontal="left"/>
      <protection locked="0"/>
    </xf>
    <xf numFmtId="0" fontId="0" fillId="6" borderId="3" xfId="0" applyFill="1" applyBorder="1" applyAlignment="1" applyProtection="1">
      <alignment horizontal="left"/>
      <protection locked="0"/>
    </xf>
    <xf numFmtId="0" fontId="2" fillId="5" borderId="6" xfId="0" applyFont="1" applyFill="1" applyBorder="1" applyAlignment="1" applyProtection="1">
      <alignment horizontal="center"/>
      <protection locked="0"/>
    </xf>
    <xf numFmtId="0" fontId="2" fillId="5" borderId="10" xfId="0" applyFont="1" applyFill="1" applyBorder="1" applyAlignment="1" applyProtection="1">
      <alignment horizontal="center"/>
      <protection locked="0"/>
    </xf>
    <xf numFmtId="0" fontId="5" fillId="2" borderId="4" xfId="0" applyFont="1" applyFill="1" applyBorder="1" applyAlignment="1" applyProtection="1">
      <alignment horizontal="center"/>
      <protection locked="0"/>
    </xf>
    <xf numFmtId="0" fontId="0" fillId="0" borderId="2" xfId="0" applyBorder="1" applyAlignment="1">
      <alignment horizontal="left"/>
    </xf>
    <xf numFmtId="0" fontId="2" fillId="5" borderId="0" xfId="0" applyFont="1" applyFill="1" applyBorder="1" applyAlignment="1" applyProtection="1">
      <alignment horizontal="left"/>
      <protection locked="0"/>
    </xf>
    <xf numFmtId="0" fontId="0" fillId="2" borderId="2" xfId="0" applyFill="1" applyBorder="1" applyAlignment="1" applyProtection="1">
      <alignment horizontal="center"/>
      <protection locked="0"/>
    </xf>
    <xf numFmtId="0" fontId="8" fillId="5" borderId="0" xfId="0" applyFont="1" applyFill="1" applyBorder="1" applyAlignment="1">
      <alignment horizontal="center"/>
    </xf>
    <xf numFmtId="0" fontId="2" fillId="9" borderId="10" xfId="0" applyFont="1" applyFill="1" applyBorder="1" applyAlignment="1">
      <alignment horizontal="left"/>
    </xf>
    <xf numFmtId="0" fontId="0" fillId="9" borderId="9" xfId="0" applyFill="1" applyBorder="1" applyAlignment="1">
      <alignment horizontal="left"/>
    </xf>
    <xf numFmtId="0" fontId="0" fillId="9" borderId="9" xfId="0" applyFill="1" applyBorder="1" applyAlignment="1"/>
    <xf numFmtId="0" fontId="0" fillId="9" borderId="11" xfId="0" applyFill="1" applyBorder="1" applyAlignment="1"/>
    <xf numFmtId="0" fontId="0" fillId="2" borderId="6" xfId="0" applyFill="1" applyBorder="1" applyAlignment="1">
      <alignment horizontal="center"/>
    </xf>
    <xf numFmtId="0" fontId="0" fillId="2" borderId="0" xfId="0" applyFill="1" applyBorder="1" applyAlignment="1">
      <alignment horizontal="center"/>
    </xf>
    <xf numFmtId="0" fontId="0" fillId="2" borderId="0" xfId="0" applyFill="1" applyBorder="1" applyAlignment="1"/>
    <xf numFmtId="0" fontId="0" fillId="2" borderId="13" xfId="0" applyFill="1" applyBorder="1" applyAlignment="1"/>
    <xf numFmtId="0" fontId="0" fillId="2" borderId="7" xfId="0" applyFill="1" applyBorder="1" applyAlignment="1"/>
    <xf numFmtId="0" fontId="0" fillId="2" borderId="5" xfId="0" applyFill="1" applyBorder="1" applyAlignment="1"/>
    <xf numFmtId="0" fontId="0" fillId="2" borderId="8" xfId="0" applyFill="1" applyBorder="1" applyAlignment="1"/>
    <xf numFmtId="0" fontId="2" fillId="9" borderId="10" xfId="0" applyFont="1" applyFill="1" applyBorder="1" applyAlignment="1" applyProtection="1">
      <alignment horizontal="left"/>
      <protection locked="0"/>
    </xf>
    <xf numFmtId="0" fontId="2" fillId="9" borderId="9" xfId="0" applyFont="1" applyFill="1" applyBorder="1" applyAlignment="1" applyProtection="1">
      <alignment horizontal="left"/>
      <protection locked="0"/>
    </xf>
    <xf numFmtId="0" fontId="8" fillId="5" borderId="1" xfId="0" applyFont="1" applyFill="1" applyBorder="1" applyAlignment="1">
      <alignment horizontal="center"/>
    </xf>
    <xf numFmtId="0" fontId="6" fillId="2" borderId="14" xfId="0" applyFont="1" applyFill="1" applyBorder="1" applyAlignment="1">
      <alignment horizontal="center"/>
    </xf>
    <xf numFmtId="0" fontId="0" fillId="0" borderId="14" xfId="0" applyBorder="1" applyAlignment="1"/>
    <xf numFmtId="0" fontId="2" fillId="9" borderId="6" xfId="0" applyFont="1" applyFill="1" applyBorder="1" applyAlignment="1">
      <alignment horizontal="center"/>
    </xf>
    <xf numFmtId="0" fontId="0" fillId="0" borderId="0" xfId="0" applyBorder="1" applyAlignment="1">
      <alignment horizontal="center"/>
    </xf>
    <xf numFmtId="0" fontId="2" fillId="9" borderId="2" xfId="0" applyFont="1" applyFill="1" applyBorder="1" applyAlignment="1">
      <alignment horizontal="left"/>
    </xf>
    <xf numFmtId="0" fontId="0" fillId="2" borderId="10" xfId="0" applyFill="1" applyBorder="1" applyAlignment="1">
      <alignment horizontal="center"/>
    </xf>
    <xf numFmtId="0" fontId="2" fillId="9" borderId="7" xfId="0" applyFont="1" applyFill="1" applyBorder="1" applyAlignment="1">
      <alignment horizontal="center"/>
    </xf>
    <xf numFmtId="0" fontId="0" fillId="2" borderId="7" xfId="0" applyFill="1" applyBorder="1" applyAlignment="1" applyProtection="1">
      <alignment horizontal="center"/>
      <protection locked="0"/>
    </xf>
    <xf numFmtId="0" fontId="5" fillId="3" borderId="2" xfId="0" applyFont="1" applyFill="1" applyBorder="1" applyAlignment="1" applyProtection="1">
      <alignment wrapText="1"/>
      <protection locked="0"/>
    </xf>
    <xf numFmtId="0" fontId="0" fillId="0" borderId="3" xfId="0" applyBorder="1" applyAlignment="1">
      <alignment wrapText="1"/>
    </xf>
    <xf numFmtId="0" fontId="0" fillId="0" borderId="4" xfId="0" applyBorder="1" applyAlignment="1">
      <alignment wrapText="1"/>
    </xf>
    <xf numFmtId="0" fontId="0" fillId="2" borderId="7" xfId="0" applyFill="1" applyBorder="1" applyAlignment="1" applyProtection="1">
      <alignment horizontal="left"/>
      <protection locked="0"/>
    </xf>
    <xf numFmtId="0" fontId="0" fillId="6" borderId="5" xfId="0" applyFill="1" applyBorder="1" applyAlignment="1" applyProtection="1">
      <alignment horizontal="center"/>
      <protection locked="0"/>
    </xf>
    <xf numFmtId="0" fontId="2" fillId="5" borderId="2" xfId="0" applyFont="1" applyFill="1" applyBorder="1" applyAlignment="1" applyProtection="1">
      <alignment horizontal="center"/>
      <protection locked="0"/>
    </xf>
    <xf numFmtId="0" fontId="3" fillId="3" borderId="2" xfId="0" applyFont="1" applyFill="1" applyBorder="1" applyAlignment="1" applyProtection="1">
      <alignment wrapText="1"/>
      <protection locked="0"/>
    </xf>
    <xf numFmtId="0" fontId="3" fillId="6" borderId="3" xfId="0" applyFont="1" applyFill="1" applyBorder="1" applyAlignment="1" applyProtection="1">
      <alignment horizontal="center"/>
      <protection locked="0"/>
    </xf>
    <xf numFmtId="0" fontId="0" fillId="6" borderId="3" xfId="0" applyFill="1" applyBorder="1" applyAlignment="1" applyProtection="1">
      <alignment horizontal="center"/>
      <protection locked="0"/>
    </xf>
    <xf numFmtId="0" fontId="2" fillId="5" borderId="7" xfId="0" applyFont="1" applyFill="1" applyBorder="1" applyAlignment="1" applyProtection="1">
      <alignment horizontal="center"/>
      <protection locked="0"/>
    </xf>
    <xf numFmtId="0" fontId="0" fillId="0" borderId="13" xfId="0" applyBorder="1" applyAlignment="1"/>
    <xf numFmtId="0" fontId="3" fillId="0" borderId="3" xfId="0" applyFont="1" applyBorder="1" applyAlignment="1">
      <alignment wrapText="1"/>
    </xf>
    <xf numFmtId="0" fontId="3" fillId="0" borderId="4" xfId="0" applyFont="1" applyBorder="1" applyAlignment="1">
      <alignment wrapText="1"/>
    </xf>
    <xf numFmtId="0" fontId="5" fillId="2" borderId="10" xfId="0" applyFont="1" applyFill="1" applyBorder="1" applyAlignment="1" applyProtection="1">
      <alignment horizontal="center"/>
      <protection locked="0"/>
    </xf>
    <xf numFmtId="0" fontId="5" fillId="2" borderId="6" xfId="0" applyFont="1" applyFill="1" applyBorder="1" applyAlignment="1" applyProtection="1">
      <alignment horizontal="center"/>
      <protection locked="0"/>
    </xf>
    <xf numFmtId="0" fontId="0" fillId="0" borderId="9" xfId="0" applyBorder="1" applyAlignment="1">
      <alignment horizontal="center"/>
    </xf>
    <xf numFmtId="0" fontId="0" fillId="0" borderId="11" xfId="0" applyBorder="1" applyAlignment="1">
      <alignment horizontal="center"/>
    </xf>
    <xf numFmtId="0" fontId="2" fillId="5" borderId="9" xfId="0" applyFont="1" applyFill="1" applyBorder="1" applyAlignment="1" applyProtection="1">
      <alignment horizontal="left"/>
      <protection locked="0"/>
    </xf>
    <xf numFmtId="0" fontId="0" fillId="2" borderId="5" xfId="0" applyFill="1" applyBorder="1" applyAlignment="1" applyProtection="1">
      <alignment horizontal="center"/>
      <protection locked="0"/>
    </xf>
    <xf numFmtId="0" fontId="0" fillId="0" borderId="5" xfId="0" applyBorder="1"/>
    <xf numFmtId="0" fontId="0" fillId="0" borderId="8" xfId="0" applyBorder="1"/>
    <xf numFmtId="0" fontId="5" fillId="3" borderId="2" xfId="0" applyFont="1" applyFill="1" applyBorder="1" applyAlignment="1"/>
    <xf numFmtId="0" fontId="3" fillId="3" borderId="2" xfId="0" applyFont="1" applyFill="1" applyBorder="1" applyAlignment="1" applyProtection="1">
      <alignment vertical="top" wrapText="1"/>
      <protection locked="0"/>
    </xf>
    <xf numFmtId="0" fontId="3" fillId="3" borderId="3" xfId="0" applyFont="1" applyFill="1" applyBorder="1" applyAlignment="1" applyProtection="1">
      <alignment vertical="top" wrapText="1"/>
      <protection locked="0"/>
    </xf>
    <xf numFmtId="0" fontId="3" fillId="3" borderId="4" xfId="0" applyFont="1" applyFill="1" applyBorder="1" applyAlignment="1" applyProtection="1">
      <alignment vertical="top" wrapText="1"/>
      <protection locked="0"/>
    </xf>
    <xf numFmtId="0" fontId="2" fillId="5" borderId="0" xfId="0" applyFont="1" applyFill="1" applyAlignment="1">
      <alignment horizontal="center"/>
    </xf>
    <xf numFmtId="0" fontId="0" fillId="0" borderId="0" xfId="0" applyAlignment="1">
      <alignment horizontal="center"/>
    </xf>
    <xf numFmtId="0" fontId="0" fillId="2" borderId="2" xfId="0" applyFill="1" applyBorder="1" applyAlignment="1"/>
    <xf numFmtId="0" fontId="0" fillId="2" borderId="4" xfId="0" applyFill="1" applyBorder="1" applyAlignment="1"/>
    <xf numFmtId="0" fontId="2" fillId="9" borderId="2" xfId="0" applyFont="1" applyFill="1" applyBorder="1" applyAlignment="1">
      <alignment horizontal="left" indent="3"/>
    </xf>
    <xf numFmtId="0" fontId="6" fillId="2" borderId="6" xfId="0" applyFont="1" applyFill="1" applyBorder="1" applyAlignment="1">
      <alignment horizontal="center"/>
    </xf>
    <xf numFmtId="0" fontId="6" fillId="2" borderId="0" xfId="0" applyFont="1" applyFill="1" applyBorder="1" applyAlignment="1">
      <alignment horizontal="center"/>
    </xf>
    <xf numFmtId="0" fontId="6" fillId="2" borderId="13" xfId="0" applyFont="1" applyFill="1" applyBorder="1" applyAlignment="1">
      <alignment horizontal="center"/>
    </xf>
    <xf numFmtId="0" fontId="6" fillId="2" borderId="10" xfId="0" applyFont="1" applyFill="1" applyBorder="1" applyAlignment="1">
      <alignment horizontal="center"/>
    </xf>
    <xf numFmtId="0" fontId="5" fillId="2" borderId="6" xfId="0" applyFont="1" applyFill="1" applyBorder="1" applyAlignment="1"/>
    <xf numFmtId="0" fontId="0" fillId="7" borderId="2" xfId="0" applyFill="1" applyBorder="1" applyAlignment="1">
      <alignment horizontal="left"/>
    </xf>
    <xf numFmtId="0" fontId="2" fillId="9" borderId="6" xfId="0" applyFont="1" applyFill="1" applyBorder="1" applyAlignment="1">
      <alignment horizontal="left"/>
    </xf>
    <xf numFmtId="0" fontId="3" fillId="3" borderId="10" xfId="0" applyFont="1" applyFill="1" applyBorder="1" applyAlignment="1" applyProtection="1">
      <alignment vertical="top" wrapText="1"/>
      <protection locked="0"/>
    </xf>
    <xf numFmtId="0" fontId="3" fillId="3" borderId="9" xfId="0" applyFont="1" applyFill="1" applyBorder="1" applyAlignment="1" applyProtection="1">
      <alignment vertical="top" wrapText="1"/>
      <protection locked="0"/>
    </xf>
    <xf numFmtId="0" fontId="3" fillId="3" borderId="11" xfId="0" applyFont="1" applyFill="1" applyBorder="1" applyAlignment="1" applyProtection="1">
      <alignment vertical="top" wrapText="1"/>
      <protection locked="0"/>
    </xf>
    <xf numFmtId="0" fontId="3" fillId="3" borderId="6" xfId="0" applyFont="1" applyFill="1" applyBorder="1" applyAlignment="1" applyProtection="1">
      <alignment vertical="top" wrapText="1"/>
      <protection locked="0"/>
    </xf>
    <xf numFmtId="0" fontId="3" fillId="3" borderId="0" xfId="0" applyFont="1" applyFill="1" applyBorder="1" applyAlignment="1" applyProtection="1">
      <alignment vertical="top" wrapText="1"/>
      <protection locked="0"/>
    </xf>
    <xf numFmtId="0" fontId="3" fillId="3" borderId="13" xfId="0" applyFont="1" applyFill="1" applyBorder="1" applyAlignment="1" applyProtection="1">
      <alignment vertical="top" wrapText="1"/>
      <protection locked="0"/>
    </xf>
    <xf numFmtId="0" fontId="3" fillId="3" borderId="7" xfId="0" applyFont="1" applyFill="1" applyBorder="1" applyAlignment="1" applyProtection="1">
      <alignment vertical="top" wrapText="1"/>
      <protection locked="0"/>
    </xf>
    <xf numFmtId="0" fontId="3" fillId="3" borderId="5" xfId="0" applyFont="1" applyFill="1" applyBorder="1" applyAlignment="1" applyProtection="1">
      <alignment vertical="top" wrapText="1"/>
      <protection locked="0"/>
    </xf>
    <xf numFmtId="0" fontId="3" fillId="3" borderId="8" xfId="0" applyFont="1" applyFill="1" applyBorder="1" applyAlignment="1" applyProtection="1">
      <alignment vertical="top" wrapText="1"/>
      <protection locked="0"/>
    </xf>
    <xf numFmtId="0" fontId="6" fillId="2" borderId="9" xfId="0" applyFont="1" applyFill="1" applyBorder="1" applyAlignment="1">
      <alignment horizontal="center"/>
    </xf>
    <xf numFmtId="0" fontId="2" fillId="5" borderId="10" xfId="0" applyFont="1" applyFill="1" applyBorder="1"/>
    <xf numFmtId="0" fontId="0" fillId="5" borderId="9" xfId="0" applyFill="1" applyBorder="1"/>
    <xf numFmtId="0" fontId="0" fillId="0" borderId="7" xfId="0" applyBorder="1"/>
    <xf numFmtId="0" fontId="0" fillId="5" borderId="11" xfId="0" applyFill="1" applyBorder="1"/>
    <xf numFmtId="0" fontId="0" fillId="3" borderId="13" xfId="0" applyFill="1" applyBorder="1"/>
  </cellXfs>
  <cellStyles count="1">
    <cellStyle name="Normal" xfId="0" builtinId="0"/>
  </cellStyles>
  <dxfs count="5">
    <dxf>
      <fill>
        <patternFill>
          <bgColor indexed="43"/>
        </patternFill>
      </fill>
      <border>
        <left style="thin">
          <color indexed="64"/>
        </left>
        <right style="thin">
          <color indexed="64"/>
        </right>
        <top style="thin">
          <color indexed="64"/>
        </top>
        <bottom style="thin">
          <color indexed="64"/>
        </bottom>
      </border>
    </dxf>
    <dxf>
      <fill>
        <patternFill>
          <bgColor indexed="32"/>
        </patternFill>
      </fill>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454545"/>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E0E0B8"/>
      <rgbColor rgb="0099CCFF"/>
      <rgbColor rgb="00FF99CC"/>
      <rgbColor rgb="00CC99FF"/>
      <rgbColor rgb="00FFCC99"/>
      <rgbColor rgb="003366FF"/>
      <rgbColor rgb="0033CCCC"/>
      <rgbColor rgb="0099CC00"/>
      <rgbColor rgb="00FFCC00"/>
      <rgbColor rgb="00FF9900"/>
      <rgbColor rgb="00FF6600"/>
      <rgbColor rgb="00666699"/>
      <rgbColor rgb="00B5B5B5"/>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Drop" dropStyle="combo" dx="22" fmlaLink="$B$4" fmlaRange="execReportTypes" sel="1" val="0"/>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1</xdr:row>
          <xdr:rowOff>76200</xdr:rowOff>
        </xdr:from>
        <xdr:to>
          <xdr:col>0</xdr:col>
          <xdr:colOff>1009650</xdr:colOff>
          <xdr:row>1</xdr:row>
          <xdr:rowOff>276225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845630AA-4DCE-4AFB-A4C9-350F65AF6A1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Ticker…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314325</xdr:colOff>
          <xdr:row>1</xdr:row>
          <xdr:rowOff>76200</xdr:rowOff>
        </xdr:from>
        <xdr:to>
          <xdr:col>3</xdr:col>
          <xdr:colOff>571500</xdr:colOff>
          <xdr:row>1</xdr:row>
          <xdr:rowOff>276225</xdr:rowOff>
        </xdr:to>
        <xdr:sp macro="" textlink="">
          <xdr:nvSpPr>
            <xdr:cNvPr id="8194" name="Button 2" hidden="1">
              <a:extLst>
                <a:ext uri="{63B3BB69-23CF-44E3-9099-C40C66FF867C}">
                  <a14:compatExt spid="_x0000_s8194"/>
                </a:ext>
                <a:ext uri="{FF2B5EF4-FFF2-40B4-BE49-F238E27FC236}">
                  <a16:creationId xmlns:a16="http://schemas.microsoft.com/office/drawing/2014/main" id="{810C79ED-92C7-4148-9468-A1558D27A0C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Request Market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457200</xdr:colOff>
          <xdr:row>1</xdr:row>
          <xdr:rowOff>76200</xdr:rowOff>
        </xdr:from>
        <xdr:to>
          <xdr:col>18</xdr:col>
          <xdr:colOff>495300</xdr:colOff>
          <xdr:row>1</xdr:row>
          <xdr:rowOff>276225</xdr:rowOff>
        </xdr:to>
        <xdr:sp macro="" textlink="">
          <xdr:nvSpPr>
            <xdr:cNvPr id="8195" name="Button 3" hidden="1">
              <a:extLst>
                <a:ext uri="{63B3BB69-23CF-44E3-9099-C40C66FF867C}">
                  <a14:compatExt spid="_x0000_s8195"/>
                </a:ext>
                <a:ext uri="{FF2B5EF4-FFF2-40B4-BE49-F238E27FC236}">
                  <a16:creationId xmlns:a16="http://schemas.microsoft.com/office/drawing/2014/main" id="{B2A18D1E-4433-461B-A174-EBE045C372D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552450</xdr:colOff>
          <xdr:row>1</xdr:row>
          <xdr:rowOff>76200</xdr:rowOff>
        </xdr:from>
        <xdr:to>
          <xdr:col>15</xdr:col>
          <xdr:colOff>428625</xdr:colOff>
          <xdr:row>1</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B9AAB73-C8FE-4934-A651-044CBF3DA8A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Refresh 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1076325</xdr:colOff>
          <xdr:row>1</xdr:row>
          <xdr:rowOff>76200</xdr:rowOff>
        </xdr:from>
        <xdr:to>
          <xdr:col>1</xdr:col>
          <xdr:colOff>533400</xdr:colOff>
          <xdr:row>1</xdr:row>
          <xdr:rowOff>276225</xdr:rowOff>
        </xdr:to>
        <xdr:sp macro="" textlink="">
          <xdr:nvSpPr>
            <xdr:cNvPr id="8201" name="Button 9" hidden="1">
              <a:extLst>
                <a:ext uri="{63B3BB69-23CF-44E3-9099-C40C66FF867C}">
                  <a14:compatExt spid="_x0000_s8201"/>
                </a:ext>
                <a:ext uri="{FF2B5EF4-FFF2-40B4-BE49-F238E27FC236}">
                  <a16:creationId xmlns:a16="http://schemas.microsoft.com/office/drawing/2014/main" id="{5C9344E7-E291-476B-AD13-7DECCFB437A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Combo Legs...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1</xdr:row>
          <xdr:rowOff>76200</xdr:rowOff>
        </xdr:from>
        <xdr:to>
          <xdr:col>20</xdr:col>
          <xdr:colOff>209550</xdr:colOff>
          <xdr:row>1</xdr:row>
          <xdr:rowOff>276225</xdr:rowOff>
        </xdr:to>
        <xdr:sp macro="" textlink="">
          <xdr:nvSpPr>
            <xdr:cNvPr id="8209" name="Button 17" hidden="1">
              <a:extLst>
                <a:ext uri="{63B3BB69-23CF-44E3-9099-C40C66FF867C}">
                  <a14:compatExt spid="_x0000_s8209"/>
                </a:ext>
                <a:ext uri="{FF2B5EF4-FFF2-40B4-BE49-F238E27FC236}">
                  <a16:creationId xmlns:a16="http://schemas.microsoft.com/office/drawing/2014/main" id="{BEAD286B-DB72-4894-8FC4-E505F86FA9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Bulletins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xdr:row>
          <xdr:rowOff>76200</xdr:rowOff>
        </xdr:from>
        <xdr:to>
          <xdr:col>17</xdr:col>
          <xdr:colOff>295275</xdr:colOff>
          <xdr:row>1</xdr:row>
          <xdr:rowOff>276225</xdr:rowOff>
        </xdr:to>
        <xdr:sp macro="" textlink="">
          <xdr:nvSpPr>
            <xdr:cNvPr id="8210" name="Button 18" hidden="1">
              <a:extLst>
                <a:ext uri="{63B3BB69-23CF-44E3-9099-C40C66FF867C}">
                  <a14:compatExt spid="_x0000_s8210"/>
                </a:ext>
                <a:ext uri="{FF2B5EF4-FFF2-40B4-BE49-F238E27FC236}">
                  <a16:creationId xmlns:a16="http://schemas.microsoft.com/office/drawing/2014/main" id="{A05CD4A9-EE14-4673-97AF-74B9CAA27E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Log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323850</xdr:colOff>
          <xdr:row>1</xdr:row>
          <xdr:rowOff>76200</xdr:rowOff>
        </xdr:from>
        <xdr:to>
          <xdr:col>21</xdr:col>
          <xdr:colOff>676275</xdr:colOff>
          <xdr:row>1</xdr:row>
          <xdr:rowOff>276225</xdr:rowOff>
        </xdr:to>
        <xdr:sp macro="" textlink="">
          <xdr:nvSpPr>
            <xdr:cNvPr id="8224" name="Button 32" hidden="1">
              <a:extLst>
                <a:ext uri="{63B3BB69-23CF-44E3-9099-C40C66FF867C}">
                  <a14:compatExt spid="_x0000_s8224"/>
                </a:ext>
                <a:ext uri="{FF2B5EF4-FFF2-40B4-BE49-F238E27FC236}">
                  <a16:creationId xmlns:a16="http://schemas.microsoft.com/office/drawing/2014/main" id="{4C58BD54-610B-41A2-A786-325869D8C4F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285750</xdr:colOff>
          <xdr:row>1</xdr:row>
          <xdr:rowOff>76200</xdr:rowOff>
        </xdr:from>
        <xdr:to>
          <xdr:col>12</xdr:col>
          <xdr:colOff>438150</xdr:colOff>
          <xdr:row>1</xdr:row>
          <xdr:rowOff>276225</xdr:rowOff>
        </xdr:to>
        <xdr:sp macro="" textlink="">
          <xdr:nvSpPr>
            <xdr:cNvPr id="8225" name="Button 33" hidden="1">
              <a:extLst>
                <a:ext uri="{63B3BB69-23CF-44E3-9099-C40C66FF867C}">
                  <a14:compatExt spid="_x0000_s8225"/>
                </a:ext>
                <a:ext uri="{FF2B5EF4-FFF2-40B4-BE49-F238E27FC236}">
                  <a16:creationId xmlns:a16="http://schemas.microsoft.com/office/drawing/2014/main" id="{BE9DCA65-167C-437D-BD3D-7460F49BB40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Processing 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295275</xdr:colOff>
          <xdr:row>1</xdr:row>
          <xdr:rowOff>76200</xdr:rowOff>
        </xdr:from>
        <xdr:to>
          <xdr:col>7</xdr:col>
          <xdr:colOff>638175</xdr:colOff>
          <xdr:row>1</xdr:row>
          <xdr:rowOff>276225</xdr:rowOff>
        </xdr:to>
        <xdr:sp macro="" textlink="">
          <xdr:nvSpPr>
            <xdr:cNvPr id="8226" name="Button 34" hidden="1">
              <a:extLst>
                <a:ext uri="{63B3BB69-23CF-44E3-9099-C40C66FF867C}">
                  <a14:compatExt spid="_x0000_s8226"/>
                </a:ext>
                <a:ext uri="{FF2B5EF4-FFF2-40B4-BE49-F238E27FC236}">
                  <a16:creationId xmlns:a16="http://schemas.microsoft.com/office/drawing/2014/main" id="{3CB94963-719F-46EA-A6BC-8C1EE159392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 Implied Volat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1</xdr:row>
          <xdr:rowOff>76200</xdr:rowOff>
        </xdr:from>
        <xdr:to>
          <xdr:col>9</xdr:col>
          <xdr:colOff>38100</xdr:colOff>
          <xdr:row>1</xdr:row>
          <xdr:rowOff>266700</xdr:rowOff>
        </xdr:to>
        <xdr:sp macro="" textlink="">
          <xdr:nvSpPr>
            <xdr:cNvPr id="8227" name="Button 35" hidden="1">
              <a:extLst>
                <a:ext uri="{63B3BB69-23CF-44E3-9099-C40C66FF867C}">
                  <a14:compatExt spid="_x0000_s8227"/>
                </a:ext>
                <a:ext uri="{FF2B5EF4-FFF2-40B4-BE49-F238E27FC236}">
                  <a16:creationId xmlns:a16="http://schemas.microsoft.com/office/drawing/2014/main" id="{7AB6FB08-7784-40AE-9387-30F17ECE6B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 Option Price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1</xdr:row>
          <xdr:rowOff>76200</xdr:rowOff>
        </xdr:from>
        <xdr:to>
          <xdr:col>6</xdr:col>
          <xdr:colOff>238125</xdr:colOff>
          <xdr:row>1</xdr:row>
          <xdr:rowOff>276225</xdr:rowOff>
        </xdr:to>
        <xdr:sp macro="" textlink="">
          <xdr:nvSpPr>
            <xdr:cNvPr id="8229" name="Button 37" hidden="1">
              <a:extLst>
                <a:ext uri="{63B3BB69-23CF-44E3-9099-C40C66FF867C}">
                  <a14:compatExt spid="_x0000_s8229"/>
                </a:ext>
                <a:ext uri="{FF2B5EF4-FFF2-40B4-BE49-F238E27FC236}">
                  <a16:creationId xmlns:a16="http://schemas.microsoft.com/office/drawing/2014/main" id="{AD0C3453-5628-4CEB-BF39-35A396703F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 Generic Ticks</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1238250</xdr:colOff>
          <xdr:row>1</xdr:row>
          <xdr:rowOff>85725</xdr:rowOff>
        </xdr:from>
        <xdr:to>
          <xdr:col>2</xdr:col>
          <xdr:colOff>762000</xdr:colOff>
          <xdr:row>1</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950F6043-AAC6-4EF9-A7EB-262989C6FDA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Place / Modify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314325</xdr:colOff>
          <xdr:row>1</xdr:row>
          <xdr:rowOff>85725</xdr:rowOff>
        </xdr:from>
        <xdr:to>
          <xdr:col>5</xdr:col>
          <xdr:colOff>457200</xdr:colOff>
          <xdr:row>1</xdr:row>
          <xdr:rowOff>285750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B35F6963-31B4-4D50-AFC3-C6875EFCB5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xdr:row>
          <xdr:rowOff>76200</xdr:rowOff>
        </xdr:from>
        <xdr:to>
          <xdr:col>9</xdr:col>
          <xdr:colOff>190500</xdr:colOff>
          <xdr:row>1</xdr:row>
          <xdr:rowOff>276225</xdr:rowOff>
        </xdr:to>
        <xdr:sp macro="" textlink="">
          <xdr:nvSpPr>
            <xdr:cNvPr id="2060" name="Button 12" hidden="1">
              <a:extLst>
                <a:ext uri="{63B3BB69-23CF-44E3-9099-C40C66FF867C}">
                  <a14:compatExt spid="_x0000_s2060"/>
                </a:ext>
                <a:ext uri="{FF2B5EF4-FFF2-40B4-BE49-F238E27FC236}">
                  <a16:creationId xmlns:a16="http://schemas.microsoft.com/office/drawing/2014/main" id="{489E73D0-4343-428C-B3FF-C85B46CB79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Errors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1</xdr:row>
          <xdr:rowOff>85725</xdr:rowOff>
        </xdr:from>
        <xdr:to>
          <xdr:col>0</xdr:col>
          <xdr:colOff>1000125</xdr:colOff>
          <xdr:row>1</xdr:row>
          <xdr:rowOff>285750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D45E71A4-8E07-4563-92DD-BC3B8A075CF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Combo Legs...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1</xdr:row>
          <xdr:rowOff>85725</xdr:rowOff>
        </xdr:from>
        <xdr:to>
          <xdr:col>8</xdr:col>
          <xdr:colOff>180975</xdr:colOff>
          <xdr:row>1</xdr:row>
          <xdr:rowOff>285750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D1EAF2C3-C5D9-4266-8DB7-3AA9924691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Apply Extended Template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314325</xdr:colOff>
          <xdr:row>1</xdr:row>
          <xdr:rowOff>76200</xdr:rowOff>
        </xdr:from>
        <xdr:to>
          <xdr:col>4</xdr:col>
          <xdr:colOff>123825</xdr:colOff>
          <xdr:row>1</xdr:row>
          <xdr:rowOff>276225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74A6C05D-D11B-431E-BD5D-D68505259B2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Place / Modify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295275</xdr:colOff>
          <xdr:row>1</xdr:row>
          <xdr:rowOff>76200</xdr:rowOff>
        </xdr:from>
        <xdr:to>
          <xdr:col>9</xdr:col>
          <xdr:colOff>152400</xdr:colOff>
          <xdr:row>1</xdr:row>
          <xdr:rowOff>276225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87183F37-9AD8-4072-ABF9-E724B6D4985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485775</xdr:colOff>
          <xdr:row>1</xdr:row>
          <xdr:rowOff>76200</xdr:rowOff>
        </xdr:from>
        <xdr:to>
          <xdr:col>10</xdr:col>
          <xdr:colOff>857250</xdr:colOff>
          <xdr:row>1</xdr:row>
          <xdr:rowOff>276225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504C3B2E-F83E-4931-BD67-16A3EC2F3A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Errors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1</xdr:row>
          <xdr:rowOff>76200</xdr:rowOff>
        </xdr:from>
        <xdr:to>
          <xdr:col>2</xdr:col>
          <xdr:colOff>152400</xdr:colOff>
          <xdr:row>1</xdr:row>
          <xdr:rowOff>276225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195ABA16-F0C0-474E-A2AD-E95F24E1BA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Combo Legs...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533400</xdr:colOff>
          <xdr:row>1</xdr:row>
          <xdr:rowOff>76200</xdr:rowOff>
        </xdr:from>
        <xdr:to>
          <xdr:col>7</xdr:col>
          <xdr:colOff>714375</xdr:colOff>
          <xdr:row>1</xdr:row>
          <xdr:rowOff>276225</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18634BF7-7A60-4C78-833E-1525EE6404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Apply Extended Template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1181100</xdr:colOff>
          <xdr:row>1</xdr:row>
          <xdr:rowOff>104775</xdr:rowOff>
        </xdr:from>
        <xdr:ext cx="1228725" cy="228600"/>
        <xdr:sp macro="" textlink="">
          <xdr:nvSpPr>
            <xdr:cNvPr id="29697" name="Button 1" hidden="1">
              <a:extLst>
                <a:ext uri="{63B3BB69-23CF-44E3-9099-C40C66FF867C}">
                  <a14:compatExt spid="_x0000_s29697"/>
                </a:ext>
                <a:ext uri="{FF2B5EF4-FFF2-40B4-BE49-F238E27FC236}">
                  <a16:creationId xmlns:a16="http://schemas.microsoft.com/office/drawing/2014/main" id="{7984FB96-88FA-47D5-A057-FEC6DCFE74A4}"/>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US" sz="1000" b="0" i="0" u="none" strike="noStrike" baseline="0">
                  <a:solidFill>
                    <a:srgbClr val="000000"/>
                  </a:solidFill>
                  <a:latin typeface="Arial"/>
                  <a:cs typeface="Arial"/>
                </a:rPr>
                <a:t>Place / Modify Order</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3</xdr:col>
          <xdr:colOff>295275</xdr:colOff>
          <xdr:row>1</xdr:row>
          <xdr:rowOff>104775</xdr:rowOff>
        </xdr:from>
        <xdr:ext cx="821531" cy="228600"/>
        <xdr:sp macro="" textlink="">
          <xdr:nvSpPr>
            <xdr:cNvPr id="29698" name="Button 2" hidden="1">
              <a:extLst>
                <a:ext uri="{63B3BB69-23CF-44E3-9099-C40C66FF867C}">
                  <a14:compatExt spid="_x0000_s29698"/>
                </a:ext>
                <a:ext uri="{FF2B5EF4-FFF2-40B4-BE49-F238E27FC236}">
                  <a16:creationId xmlns:a16="http://schemas.microsoft.com/office/drawing/2014/main" id="{97BE232C-C1B0-4E4E-8D33-54957BB94C39}"/>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US" sz="1000" b="0" i="0" u="none" strike="noStrike" baseline="0">
                  <a:solidFill>
                    <a:srgbClr val="000000"/>
                  </a:solidFill>
                  <a:latin typeface="Arial"/>
                  <a:cs typeface="Arial"/>
                </a:rPr>
                <a:t>Cancel Order</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1</xdr:row>
          <xdr:rowOff>85725</xdr:rowOff>
        </xdr:from>
        <xdr:to>
          <xdr:col>8</xdr:col>
          <xdr:colOff>933450</xdr:colOff>
          <xdr:row>1</xdr:row>
          <xdr:rowOff>314325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D8C16476-6397-4180-9DC8-E6F624EDE3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Errors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0</xdr:col>
          <xdr:colOff>123825</xdr:colOff>
          <xdr:row>1</xdr:row>
          <xdr:rowOff>104775</xdr:rowOff>
        </xdr:from>
        <xdr:ext cx="876300" cy="228600"/>
        <xdr:sp macro="" textlink="">
          <xdr:nvSpPr>
            <xdr:cNvPr id="29700" name="Button 4" hidden="1">
              <a:extLst>
                <a:ext uri="{63B3BB69-23CF-44E3-9099-C40C66FF867C}">
                  <a14:compatExt spid="_x0000_s29700"/>
                </a:ext>
                <a:ext uri="{FF2B5EF4-FFF2-40B4-BE49-F238E27FC236}">
                  <a16:creationId xmlns:a16="http://schemas.microsoft.com/office/drawing/2014/main" id="{4CCAF57F-5B5C-4E4E-9FC0-A1C9DEBCBECB}"/>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US" sz="1000" b="0" i="0" u="none" strike="noStrike" baseline="0">
                  <a:solidFill>
                    <a:srgbClr val="000000"/>
                  </a:solidFill>
                  <a:latin typeface="Arial"/>
                  <a:cs typeface="Arial"/>
                </a:rPr>
                <a:t>Combo Legs...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xdr:col>
          <xdr:colOff>85725</xdr:colOff>
          <xdr:row>1</xdr:row>
          <xdr:rowOff>104775</xdr:rowOff>
        </xdr:from>
        <xdr:ext cx="1512094" cy="228600"/>
        <xdr:sp macro="" textlink="">
          <xdr:nvSpPr>
            <xdr:cNvPr id="29701" name="Button 5" hidden="1">
              <a:extLst>
                <a:ext uri="{63B3BB69-23CF-44E3-9099-C40C66FF867C}">
                  <a14:compatExt spid="_x0000_s29701"/>
                </a:ext>
                <a:ext uri="{FF2B5EF4-FFF2-40B4-BE49-F238E27FC236}">
                  <a16:creationId xmlns:a16="http://schemas.microsoft.com/office/drawing/2014/main" id="{9503940D-1A17-4B41-9156-D2AA75FA669C}"/>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US" sz="1000" b="0" i="0" u="none" strike="noStrike" baseline="0">
                  <a:solidFill>
                    <a:srgbClr val="000000"/>
                  </a:solidFill>
                  <a:latin typeface="Arial"/>
                  <a:cs typeface="Arial"/>
                </a:rPr>
                <a:t>Apply Extended Template</a:t>
              </a:r>
            </a:p>
          </xdr:txBody>
        </xdr:sp>
        <xdr:clientData fPrintsWithSheet="0"/>
      </xdr:one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1</xdr:row>
          <xdr:rowOff>57150</xdr:rowOff>
        </xdr:from>
        <xdr:to>
          <xdr:col>2</xdr:col>
          <xdr:colOff>695325</xdr:colOff>
          <xdr:row>1</xdr:row>
          <xdr:rowOff>257175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8DE4B83-76EC-4BD4-AD84-59234D89C45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Subscribe to Open Orders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1</xdr:row>
          <xdr:rowOff>57150</xdr:rowOff>
        </xdr:from>
        <xdr:to>
          <xdr:col>10</xdr:col>
          <xdr:colOff>171450</xdr:colOff>
          <xdr:row>1</xdr:row>
          <xdr:rowOff>257175</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25C6F8CA-855F-4C00-921F-73F3BA5367A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Show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xdr:row>
          <xdr:rowOff>57150</xdr:rowOff>
        </xdr:from>
        <xdr:to>
          <xdr:col>7</xdr:col>
          <xdr:colOff>47625</xdr:colOff>
          <xdr:row>1</xdr:row>
          <xdr:rowOff>257175</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F55B950B-0E20-439B-903C-B720E4F2AF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Open Orders Subscription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1</xdr:row>
          <xdr:rowOff>57150</xdr:rowOff>
        </xdr:from>
        <xdr:to>
          <xdr:col>8</xdr:col>
          <xdr:colOff>981075</xdr:colOff>
          <xdr:row>1</xdr:row>
          <xdr:rowOff>257175</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AE6D4B71-2623-45D8-96CC-1595829E40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Open Orders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85725</xdr:rowOff>
        </xdr:from>
        <xdr:to>
          <xdr:col>2</xdr:col>
          <xdr:colOff>495300</xdr:colOff>
          <xdr:row>1</xdr:row>
          <xdr:rowOff>285750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8E389C1C-3493-4C14-898B-60A961C3B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Subscribe to Executions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xdr:row>
          <xdr:rowOff>85725</xdr:rowOff>
        </xdr:from>
        <xdr:to>
          <xdr:col>8</xdr:col>
          <xdr:colOff>819150</xdr:colOff>
          <xdr:row>1</xdr:row>
          <xdr:rowOff>285750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77FD7AAA-47F9-451F-A6F7-944BF9020DD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xdr:row>
          <xdr:rowOff>85725</xdr:rowOff>
        </xdr:from>
        <xdr:to>
          <xdr:col>5</xdr:col>
          <xdr:colOff>800100</xdr:colOff>
          <xdr:row>1</xdr:row>
          <xdr:rowOff>285750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CAC6FEE8-712F-457A-A02A-C7749A9253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Executions Subscription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xdr:row>
          <xdr:rowOff>85725</xdr:rowOff>
        </xdr:from>
        <xdr:to>
          <xdr:col>7</xdr:col>
          <xdr:colOff>390525</xdr:colOff>
          <xdr:row>1</xdr:row>
          <xdr:rowOff>285750</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1344C176-A435-4D65-A630-9ADC1F05C53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Executions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xdr:row>
          <xdr:rowOff>9525</xdr:rowOff>
        </xdr:from>
        <xdr:to>
          <xdr:col>2</xdr:col>
          <xdr:colOff>676275</xdr:colOff>
          <xdr:row>4</xdr:row>
          <xdr:rowOff>142875</xdr:rowOff>
        </xdr:to>
        <xdr:sp macro="" textlink="">
          <xdr:nvSpPr>
            <xdr:cNvPr id="28679" name="Drop Down 7" hidden="1">
              <a:extLst>
                <a:ext uri="{63B3BB69-23CF-44E3-9099-C40C66FF867C}">
                  <a14:compatExt spid="_x0000_s28679"/>
                </a:ext>
                <a:ext uri="{FF2B5EF4-FFF2-40B4-BE49-F238E27FC236}">
                  <a16:creationId xmlns:a16="http://schemas.microsoft.com/office/drawing/2014/main" id="{BA1175BB-58FE-420C-A758-A78C8B13A9C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2</xdr:row>
          <xdr:rowOff>57150</xdr:rowOff>
        </xdr:from>
        <xdr:to>
          <xdr:col>8</xdr:col>
          <xdr:colOff>1457325</xdr:colOff>
          <xdr:row>3</xdr:row>
          <xdr:rowOff>123825</xdr:rowOff>
        </xdr:to>
        <xdr:sp macro="" textlink="">
          <xdr:nvSpPr>
            <xdr:cNvPr id="28680" name="Button 8" hidden="1">
              <a:extLst>
                <a:ext uri="{63B3BB69-23CF-44E3-9099-C40C66FF867C}">
                  <a14:compatExt spid="_x0000_s28680"/>
                </a:ext>
                <a:ext uri="{FF2B5EF4-FFF2-40B4-BE49-F238E27FC236}">
                  <a16:creationId xmlns:a16="http://schemas.microsoft.com/office/drawing/2014/main" id="{7C34BF56-4D33-46A8-B04D-AA567E5F46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 Selected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1581150</xdr:colOff>
          <xdr:row>2</xdr:row>
          <xdr:rowOff>57150</xdr:rowOff>
        </xdr:from>
        <xdr:to>
          <xdr:col>9</xdr:col>
          <xdr:colOff>1219200</xdr:colOff>
          <xdr:row>3</xdr:row>
          <xdr:rowOff>133350</xdr:rowOff>
        </xdr:to>
        <xdr:sp macro="" textlink="">
          <xdr:nvSpPr>
            <xdr:cNvPr id="28681" name="Button 9" hidden="1">
              <a:extLst>
                <a:ext uri="{63B3BB69-23CF-44E3-9099-C40C66FF867C}">
                  <a14:compatExt spid="_x0000_s28681"/>
                </a:ext>
                <a:ext uri="{FF2B5EF4-FFF2-40B4-BE49-F238E27FC236}">
                  <a16:creationId xmlns:a16="http://schemas.microsoft.com/office/drawing/2014/main" id="{44640E8D-765A-4C51-8056-2D67A12CDF7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Executions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1</xdr:row>
          <xdr:rowOff>57150</xdr:rowOff>
        </xdr:from>
        <xdr:to>
          <xdr:col>2</xdr:col>
          <xdr:colOff>533400</xdr:colOff>
          <xdr:row>2</xdr:row>
          <xdr:rowOff>95250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AD3F3FE4-F474-4F4E-B61F-EBB752A3DD6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Subscribe to Account 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638175</xdr:colOff>
          <xdr:row>1</xdr:row>
          <xdr:rowOff>57150</xdr:rowOff>
        </xdr:from>
        <xdr:to>
          <xdr:col>5</xdr:col>
          <xdr:colOff>304800</xdr:colOff>
          <xdr:row>2</xdr:row>
          <xdr:rowOff>95250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826ECDF-90A3-4564-BC45-A36230E75C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Account Subscription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390525</xdr:colOff>
          <xdr:row>1</xdr:row>
          <xdr:rowOff>57150</xdr:rowOff>
        </xdr:from>
        <xdr:to>
          <xdr:col>6</xdr:col>
          <xdr:colOff>981075</xdr:colOff>
          <xdr:row>2</xdr:row>
          <xdr:rowOff>95250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8F38AC3E-CC71-4A15-A956-89FE429B82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Account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xdr:colOff>
          <xdr:row>1</xdr:row>
          <xdr:rowOff>57150</xdr:rowOff>
        </xdr:from>
        <xdr:to>
          <xdr:col>9</xdr:col>
          <xdr:colOff>981075</xdr:colOff>
          <xdr:row>2</xdr:row>
          <xdr:rowOff>95250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34B85E9-7CC0-4931-8924-B742DB4CBFC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1066800</xdr:colOff>
          <xdr:row>1</xdr:row>
          <xdr:rowOff>57150</xdr:rowOff>
        </xdr:from>
        <xdr:to>
          <xdr:col>8</xdr:col>
          <xdr:colOff>904875</xdr:colOff>
          <xdr:row>2</xdr:row>
          <xdr:rowOff>95250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3E5995BD-85B2-4AFE-8526-C94111AD463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Request Managed Accounts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219075</xdr:colOff>
          <xdr:row>1</xdr:row>
          <xdr:rowOff>57150</xdr:rowOff>
        </xdr:from>
        <xdr:to>
          <xdr:col>1</xdr:col>
          <xdr:colOff>962025</xdr:colOff>
          <xdr:row>2</xdr:row>
          <xdr:rowOff>95250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2D56F064-8655-4C8D-9BB8-A01BDA5326B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Subscribe to Portfolio Updates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xdr:row>
          <xdr:rowOff>57150</xdr:rowOff>
        </xdr:from>
        <xdr:to>
          <xdr:col>4</xdr:col>
          <xdr:colOff>323850</xdr:colOff>
          <xdr:row>2</xdr:row>
          <xdr:rowOff>95250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95F3EE09-0330-4956-9957-5B4F09243E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Portfolio Subscription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638175</xdr:colOff>
          <xdr:row>1</xdr:row>
          <xdr:rowOff>57150</xdr:rowOff>
        </xdr:from>
        <xdr:to>
          <xdr:col>6</xdr:col>
          <xdr:colOff>466725</xdr:colOff>
          <xdr:row>2</xdr:row>
          <xdr:rowOff>95250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B4D2222D-338E-40E3-9AB1-952F68107FD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Portfolio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790575</xdr:colOff>
          <xdr:row>1</xdr:row>
          <xdr:rowOff>57150</xdr:rowOff>
        </xdr:from>
        <xdr:to>
          <xdr:col>7</xdr:col>
          <xdr:colOff>628650</xdr:colOff>
          <xdr:row>2</xdr:row>
          <xdr:rowOff>95250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3915AFE3-C719-4CAA-B1D7-3863D583020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Errors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1</xdr:row>
          <xdr:rowOff>76200</xdr:rowOff>
        </xdr:from>
        <xdr:to>
          <xdr:col>0</xdr:col>
          <xdr:colOff>1066800</xdr:colOff>
          <xdr:row>1</xdr:row>
          <xdr:rowOff>276225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EDCADAA7-8583-47D0-BE39-D9C17CBB49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Ticker…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1</xdr:row>
          <xdr:rowOff>76200</xdr:rowOff>
        </xdr:from>
        <xdr:to>
          <xdr:col>4</xdr:col>
          <xdr:colOff>552450</xdr:colOff>
          <xdr:row>1</xdr:row>
          <xdr:rowOff>276225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1F07A0CE-3209-4407-BFFD-8678C946D7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Request Historical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xdr:row>
          <xdr:rowOff>76200</xdr:rowOff>
        </xdr:from>
        <xdr:to>
          <xdr:col>2</xdr:col>
          <xdr:colOff>247650</xdr:colOff>
          <xdr:row>1</xdr:row>
          <xdr:rowOff>276225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71C3A903-FCEB-436B-97ED-83D1586193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Combo Legs...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76200</xdr:rowOff>
        </xdr:from>
        <xdr:to>
          <xdr:col>8</xdr:col>
          <xdr:colOff>19050</xdr:colOff>
          <xdr:row>1</xdr:row>
          <xdr:rowOff>276225</xdr:rowOff>
        </xdr:to>
        <xdr:sp macro="" textlink="">
          <xdr:nvSpPr>
            <xdr:cNvPr id="18441" name="Button 9" hidden="1">
              <a:extLst>
                <a:ext uri="{63B3BB69-23CF-44E3-9099-C40C66FF867C}">
                  <a14:compatExt spid="_x0000_s18441"/>
                </a:ext>
                <a:ext uri="{FF2B5EF4-FFF2-40B4-BE49-F238E27FC236}">
                  <a16:creationId xmlns:a16="http://schemas.microsoft.com/office/drawing/2014/main" id="{33E7DAC1-6D3B-4353-BB25-610038247CB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Historical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342900</xdr:colOff>
          <xdr:row>1</xdr:row>
          <xdr:rowOff>76200</xdr:rowOff>
        </xdr:from>
        <xdr:to>
          <xdr:col>9</xdr:col>
          <xdr:colOff>38100</xdr:colOff>
          <xdr:row>1</xdr:row>
          <xdr:rowOff>276225</xdr:rowOff>
        </xdr:to>
        <xdr:sp macro="" textlink="">
          <xdr:nvSpPr>
            <xdr:cNvPr id="18442" name="Button 10" hidden="1">
              <a:extLst>
                <a:ext uri="{63B3BB69-23CF-44E3-9099-C40C66FF867C}">
                  <a14:compatExt spid="_x0000_s18442"/>
                </a:ext>
                <a:ext uri="{FF2B5EF4-FFF2-40B4-BE49-F238E27FC236}">
                  <a16:creationId xmlns:a16="http://schemas.microsoft.com/office/drawing/2014/main" id="{B3302C72-2DD7-446B-BE8B-1339FBCD2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Errors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1</xdr:row>
          <xdr:rowOff>76200</xdr:rowOff>
        </xdr:from>
        <xdr:to>
          <xdr:col>1</xdr:col>
          <xdr:colOff>981075</xdr:colOff>
          <xdr:row>1</xdr:row>
          <xdr:rowOff>276225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39154A9E-9114-40CD-A2D1-1B72269E1BE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Start Scanner Subscription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1333500</xdr:colOff>
          <xdr:row>1</xdr:row>
          <xdr:rowOff>76200</xdr:rowOff>
        </xdr:from>
        <xdr:to>
          <xdr:col>3</xdr:col>
          <xdr:colOff>590550</xdr:colOff>
          <xdr:row>1</xdr:row>
          <xdr:rowOff>276225</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458E335B-1B7C-4A0E-AFD5-8D582A726D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Scanner Subscription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952500</xdr:colOff>
          <xdr:row>1</xdr:row>
          <xdr:rowOff>85725</xdr:rowOff>
        </xdr:from>
        <xdr:to>
          <xdr:col>3</xdr:col>
          <xdr:colOff>1752600</xdr:colOff>
          <xdr:row>1</xdr:row>
          <xdr:rowOff>285750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C585A1B9-8392-4774-89F8-0012E51D09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Errors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200025</xdr:colOff>
          <xdr:row>1</xdr:row>
          <xdr:rowOff>85725</xdr:rowOff>
        </xdr:from>
        <xdr:to>
          <xdr:col>2</xdr:col>
          <xdr:colOff>561975</xdr:colOff>
          <xdr:row>1</xdr:row>
          <xdr:rowOff>285750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8006C67F-7B4C-4CD9-A082-99941B308DD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Request Contract Details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1</xdr:row>
          <xdr:rowOff>85725</xdr:rowOff>
        </xdr:from>
        <xdr:to>
          <xdr:col>4</xdr:col>
          <xdr:colOff>390525</xdr:colOff>
          <xdr:row>1</xdr:row>
          <xdr:rowOff>295275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26BECBC4-2F25-44B2-8896-5C6844B96E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Errors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200025</xdr:colOff>
          <xdr:row>1</xdr:row>
          <xdr:rowOff>66675</xdr:rowOff>
        </xdr:from>
        <xdr:to>
          <xdr:col>2</xdr:col>
          <xdr:colOff>742950</xdr:colOff>
          <xdr:row>1</xdr:row>
          <xdr:rowOff>266700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4404ADB4-49B1-479B-AC22-212233E9EE3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Request Bond Contract Details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xdr:row>
          <xdr:rowOff>66675</xdr:rowOff>
        </xdr:from>
        <xdr:to>
          <xdr:col>4</xdr:col>
          <xdr:colOff>266700</xdr:colOff>
          <xdr:row>1</xdr:row>
          <xdr:rowOff>266700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D85A05E4-0C99-4614-9CF5-0C03BC4871C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Errors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161925</xdr:colOff>
          <xdr:row>1</xdr:row>
          <xdr:rowOff>66675</xdr:rowOff>
        </xdr:from>
        <xdr:to>
          <xdr:col>2</xdr:col>
          <xdr:colOff>523875</xdr:colOff>
          <xdr:row>1</xdr:row>
          <xdr:rowOff>266700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AAF3FFC5-0045-411D-9B99-0C3594D236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Request Market Depth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723900</xdr:colOff>
          <xdr:row>1</xdr:row>
          <xdr:rowOff>85725</xdr:rowOff>
        </xdr:from>
        <xdr:to>
          <xdr:col>10</xdr:col>
          <xdr:colOff>57150</xdr:colOff>
          <xdr:row>1</xdr:row>
          <xdr:rowOff>276225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BAF0F457-60D5-4C4F-AC66-B59082171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323850</xdr:colOff>
          <xdr:row>1</xdr:row>
          <xdr:rowOff>76200</xdr:rowOff>
        </xdr:from>
        <xdr:to>
          <xdr:col>6</xdr:col>
          <xdr:colOff>76200</xdr:colOff>
          <xdr:row>1</xdr:row>
          <xdr:rowOff>276225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E3E11C63-A3B6-4F6F-A276-7B0D9C027B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Market Depth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1</xdr:row>
          <xdr:rowOff>76200</xdr:rowOff>
        </xdr:from>
        <xdr:to>
          <xdr:col>8</xdr:col>
          <xdr:colOff>352425</xdr:colOff>
          <xdr:row>1</xdr:row>
          <xdr:rowOff>276225</xdr:rowOff>
        </xdr:to>
        <xdr:sp macro="" textlink="">
          <xdr:nvSpPr>
            <xdr:cNvPr id="12319" name="Button 1055" hidden="1">
              <a:extLst>
                <a:ext uri="{63B3BB69-23CF-44E3-9099-C40C66FF867C}">
                  <a14:compatExt spid="_x0000_s12319"/>
                </a:ext>
                <a:ext uri="{FF2B5EF4-FFF2-40B4-BE49-F238E27FC236}">
                  <a16:creationId xmlns:a16="http://schemas.microsoft.com/office/drawing/2014/main" id="{40830181-6A67-4857-B189-E61B75ED2B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Refresh Rate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1238250</xdr:colOff>
          <xdr:row>1</xdr:row>
          <xdr:rowOff>85725</xdr:rowOff>
        </xdr:from>
        <xdr:to>
          <xdr:col>2</xdr:col>
          <xdr:colOff>762000</xdr:colOff>
          <xdr:row>1</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E57BABE8-6716-4C47-A0C3-F479CD8977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Place / Modify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314325</xdr:colOff>
          <xdr:row>1</xdr:row>
          <xdr:rowOff>85725</xdr:rowOff>
        </xdr:from>
        <xdr:to>
          <xdr:col>5</xdr:col>
          <xdr:colOff>447675</xdr:colOff>
          <xdr:row>1</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1EAF49FA-7D7D-49F2-9F79-1C0ECBED49F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1</xdr:row>
          <xdr:rowOff>85725</xdr:rowOff>
        </xdr:from>
        <xdr:to>
          <xdr:col>9</xdr:col>
          <xdr:colOff>57150</xdr:colOff>
          <xdr:row>1</xdr:row>
          <xdr:rowOff>285750</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9EFE456B-9D72-473D-9F9B-13100C24D4D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Errors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1</xdr:row>
          <xdr:rowOff>85725</xdr:rowOff>
        </xdr:from>
        <xdr:to>
          <xdr:col>0</xdr:col>
          <xdr:colOff>1000125</xdr:colOff>
          <xdr:row>1</xdr:row>
          <xdr:rowOff>285750</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D6C3752D-5B4A-4656-A560-459B5891CBE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Combo Legs...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1</xdr:row>
          <xdr:rowOff>85725</xdr:rowOff>
        </xdr:from>
        <xdr:to>
          <xdr:col>8</xdr:col>
          <xdr:colOff>133350</xdr:colOff>
          <xdr:row>1</xdr:row>
          <xdr:rowOff>285750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2CEC359E-D61F-4B03-B374-CB152C8065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Apply Extended Template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200025</xdr:colOff>
          <xdr:row>1</xdr:row>
          <xdr:rowOff>66675</xdr:rowOff>
        </xdr:from>
        <xdr:to>
          <xdr:col>2</xdr:col>
          <xdr:colOff>561975</xdr:colOff>
          <xdr:row>1</xdr:row>
          <xdr:rowOff>276225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6F3E5517-FDD2-429B-85A6-1FDB4D360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Request Executions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3</xdr:col>
          <xdr:colOff>180975</xdr:colOff>
          <xdr:row>1</xdr:row>
          <xdr:rowOff>95250</xdr:rowOff>
        </xdr:from>
        <xdr:ext cx="797719" cy="228600"/>
        <xdr:sp macro="" textlink="">
          <xdr:nvSpPr>
            <xdr:cNvPr id="10242" name="Button 2" hidden="1">
              <a:extLst>
                <a:ext uri="{63B3BB69-23CF-44E3-9099-C40C66FF867C}">
                  <a14:compatExt spid="_x0000_s10242"/>
                </a:ext>
                <a:ext uri="{FF2B5EF4-FFF2-40B4-BE49-F238E27FC236}">
                  <a16:creationId xmlns:a16="http://schemas.microsoft.com/office/drawing/2014/main" id="{87A0D3B4-FBA1-4D72-A219-A24C08B098DE}"/>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US" sz="1000" b="0" i="0" u="none" strike="noStrike" baseline="0">
                  <a:solidFill>
                    <a:srgbClr val="000000"/>
                  </a:solidFill>
                  <a:latin typeface="Arial"/>
                  <a:cs typeface="Arial"/>
                </a:rPr>
                <a:t>Show Errors</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xdr:row>
          <xdr:rowOff>66675</xdr:rowOff>
        </xdr:from>
        <xdr:to>
          <xdr:col>2</xdr:col>
          <xdr:colOff>561975</xdr:colOff>
          <xdr:row>1</xdr:row>
          <xdr:rowOff>276225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27527E17-C95B-42DB-8981-E87C45B95B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Request Executions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3</xdr:col>
          <xdr:colOff>180975</xdr:colOff>
          <xdr:row>1</xdr:row>
          <xdr:rowOff>95250</xdr:rowOff>
        </xdr:from>
        <xdr:ext cx="797719" cy="228600"/>
        <xdr:sp macro="" textlink="">
          <xdr:nvSpPr>
            <xdr:cNvPr id="10244" name="Button 4" hidden="1">
              <a:extLst>
                <a:ext uri="{63B3BB69-23CF-44E3-9099-C40C66FF867C}">
                  <a14:compatExt spid="_x0000_s10244"/>
                </a:ext>
                <a:ext uri="{FF2B5EF4-FFF2-40B4-BE49-F238E27FC236}">
                  <a16:creationId xmlns:a16="http://schemas.microsoft.com/office/drawing/2014/main" id="{A0082DD4-A35F-4790-84D8-E04267356CA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US" sz="1000" b="0" i="0" u="none" strike="noStrike" baseline="0">
                  <a:solidFill>
                    <a:srgbClr val="000000"/>
                  </a:solidFill>
                  <a:latin typeface="Arial"/>
                  <a:cs typeface="Arial"/>
                </a:rPr>
                <a:t>Show Errors</a:t>
              </a:r>
            </a:p>
          </xdr:txBody>
        </xdr:sp>
        <xdr:clientData fPrintsWithSheet="0"/>
      </xdr:one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1</xdr:row>
          <xdr:rowOff>57150</xdr:rowOff>
        </xdr:from>
        <xdr:to>
          <xdr:col>2</xdr:col>
          <xdr:colOff>276225</xdr:colOff>
          <xdr:row>2</xdr:row>
          <xdr:rowOff>104775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1CF0849D-3D74-436F-9DBA-73C934EF84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 Account Value</a:t>
              </a:r>
            </a:p>
            <a:p>
              <a:pPr algn="ctr" rtl="0">
                <a:defRPr sz="1000"/>
              </a:pPr>
              <a:r>
                <a:rPr lang="en-US" sz="1000" b="0" i="0" u="none" strike="noStrike" baseline="0">
                  <a:solidFill>
                    <a:srgbClr val="000000"/>
                  </a:solidFill>
                  <a:latin typeface="Arial"/>
                  <a:cs typeface="Arial"/>
                </a:rPr>
                <a:t>Req Account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xdr:row>
          <xdr:rowOff>47625</xdr:rowOff>
        </xdr:from>
        <xdr:to>
          <xdr:col>5</xdr:col>
          <xdr:colOff>247650</xdr:colOff>
          <xdr:row>2</xdr:row>
          <xdr:rowOff>95250</xdr:rowOff>
        </xdr:to>
        <xdr:sp macro="" textlink="">
          <xdr:nvSpPr>
            <xdr:cNvPr id="7176" name="Button 8" hidden="1">
              <a:extLst>
                <a:ext uri="{63B3BB69-23CF-44E3-9099-C40C66FF867C}">
                  <a14:compatExt spid="_x0000_s7176"/>
                </a:ext>
                <a:ext uri="{FF2B5EF4-FFF2-40B4-BE49-F238E27FC236}">
                  <a16:creationId xmlns:a16="http://schemas.microsoft.com/office/drawing/2014/main" id="{CE99A25A-9034-42C1-86A9-7BBEDE0111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 Portfolio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xdr:row>
          <xdr:rowOff>47625</xdr:rowOff>
        </xdr:from>
        <xdr:to>
          <xdr:col>7</xdr:col>
          <xdr:colOff>590550</xdr:colOff>
          <xdr:row>2</xdr:row>
          <xdr:rowOff>104775</xdr:rowOff>
        </xdr:to>
        <xdr:sp macro="" textlink="">
          <xdr:nvSpPr>
            <xdr:cNvPr id="7177" name="Button 9" hidden="1">
              <a:extLst>
                <a:ext uri="{63B3BB69-23CF-44E3-9099-C40C66FF867C}">
                  <a14:compatExt spid="_x0000_s7177"/>
                </a:ext>
                <a:ext uri="{FF2B5EF4-FFF2-40B4-BE49-F238E27FC236}">
                  <a16:creationId xmlns:a16="http://schemas.microsoft.com/office/drawing/2014/main" id="{1BCE84CE-4E56-44BC-9B7D-4C6144E29DF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 Managed Accounts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1</xdr:row>
          <xdr:rowOff>38100</xdr:rowOff>
        </xdr:from>
        <xdr:to>
          <xdr:col>9</xdr:col>
          <xdr:colOff>514350</xdr:colOff>
          <xdr:row>2</xdr:row>
          <xdr:rowOff>114300</xdr:rowOff>
        </xdr:to>
        <xdr:sp macro="" textlink="">
          <xdr:nvSpPr>
            <xdr:cNvPr id="7178" name="Button 10" hidden="1">
              <a:extLst>
                <a:ext uri="{63B3BB69-23CF-44E3-9099-C40C66FF867C}">
                  <a14:compatExt spid="_x0000_s7178"/>
                </a:ext>
                <a:ext uri="{FF2B5EF4-FFF2-40B4-BE49-F238E27FC236}">
                  <a16:creationId xmlns:a16="http://schemas.microsoft.com/office/drawing/2014/main" id="{FB535CD7-7018-4D38-9109-DB1DA20417E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1</xdr:row>
          <xdr:rowOff>57150</xdr:rowOff>
        </xdr:from>
        <xdr:to>
          <xdr:col>2</xdr:col>
          <xdr:colOff>276225</xdr:colOff>
          <xdr:row>2</xdr:row>
          <xdr:rowOff>104775</xdr:rowOff>
        </xdr:to>
        <xdr:sp macro="" textlink="">
          <xdr:nvSpPr>
            <xdr:cNvPr id="7179" name="Button 11" hidden="1">
              <a:extLst>
                <a:ext uri="{63B3BB69-23CF-44E3-9099-C40C66FF867C}">
                  <a14:compatExt spid="_x0000_s7179"/>
                </a:ext>
                <a:ext uri="{FF2B5EF4-FFF2-40B4-BE49-F238E27FC236}">
                  <a16:creationId xmlns:a16="http://schemas.microsoft.com/office/drawing/2014/main" id="{AAAB595C-5114-46CB-A6DD-B00D1BAB6D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 Account Value</a:t>
              </a:r>
            </a:p>
            <a:p>
              <a:pPr algn="ctr" rtl="0">
                <a:defRPr sz="1000"/>
              </a:pPr>
              <a:r>
                <a:rPr lang="en-US" sz="1000" b="0" i="0" u="none" strike="noStrike" baseline="0">
                  <a:solidFill>
                    <a:srgbClr val="000000"/>
                  </a:solidFill>
                  <a:latin typeface="Arial"/>
                  <a:cs typeface="Arial"/>
                </a:rPr>
                <a:t>Req Account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xdr:row>
          <xdr:rowOff>47625</xdr:rowOff>
        </xdr:from>
        <xdr:to>
          <xdr:col>5</xdr:col>
          <xdr:colOff>247650</xdr:colOff>
          <xdr:row>2</xdr:row>
          <xdr:rowOff>95250</xdr:rowOff>
        </xdr:to>
        <xdr:sp macro="" textlink="">
          <xdr:nvSpPr>
            <xdr:cNvPr id="7180" name="Button 12" hidden="1">
              <a:extLst>
                <a:ext uri="{63B3BB69-23CF-44E3-9099-C40C66FF867C}">
                  <a14:compatExt spid="_x0000_s7180"/>
                </a:ext>
                <a:ext uri="{FF2B5EF4-FFF2-40B4-BE49-F238E27FC236}">
                  <a16:creationId xmlns:a16="http://schemas.microsoft.com/office/drawing/2014/main" id="{35F7F923-540A-43AD-9DC5-D8CDB2C69FB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 Portfolio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xdr:row>
          <xdr:rowOff>47625</xdr:rowOff>
        </xdr:from>
        <xdr:to>
          <xdr:col>7</xdr:col>
          <xdr:colOff>590550</xdr:colOff>
          <xdr:row>2</xdr:row>
          <xdr:rowOff>104775</xdr:rowOff>
        </xdr:to>
        <xdr:sp macro="" textlink="">
          <xdr:nvSpPr>
            <xdr:cNvPr id="7181" name="Button 13" hidden="1">
              <a:extLst>
                <a:ext uri="{63B3BB69-23CF-44E3-9099-C40C66FF867C}">
                  <a14:compatExt spid="_x0000_s7181"/>
                </a:ext>
                <a:ext uri="{FF2B5EF4-FFF2-40B4-BE49-F238E27FC236}">
                  <a16:creationId xmlns:a16="http://schemas.microsoft.com/office/drawing/2014/main" id="{95518F85-FD71-46FA-BEEE-54501EA4FCD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 Managed Accounts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1</xdr:row>
          <xdr:rowOff>38100</xdr:rowOff>
        </xdr:from>
        <xdr:to>
          <xdr:col>9</xdr:col>
          <xdr:colOff>514350</xdr:colOff>
          <xdr:row>2</xdr:row>
          <xdr:rowOff>114300</xdr:rowOff>
        </xdr:to>
        <xdr:sp macro="" textlink="">
          <xdr:nvSpPr>
            <xdr:cNvPr id="7182" name="Button 14" hidden="1">
              <a:extLst>
                <a:ext uri="{63B3BB69-23CF-44E3-9099-C40C66FF867C}">
                  <a14:compatExt spid="_x0000_s7182"/>
                </a:ext>
                <a:ext uri="{FF2B5EF4-FFF2-40B4-BE49-F238E27FC236}">
                  <a16:creationId xmlns:a16="http://schemas.microsoft.com/office/drawing/2014/main" id="{008E56BC-4CFE-4C76-9BB8-7BCE263CD16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Errors</a:t>
              </a:r>
            </a:p>
          </xdr:txBody>
        </xdr:sp>
        <xdr:clientData fPrintsWithSheet="0"/>
      </xdr:twoCellAnchor>
    </mc:Choice>
    <mc:Fallback/>
  </mc:AlternateContent>
</xdr:wsDr>
</file>

<file path=xl/externalLinks/externalLink1.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Sname8891" ddeTopic="tik">
    <ddeItems>
      <ddeItem name="id2?ask" advise="1"/>
      <ddeItem name="id2?askSize" advise="1"/>
      <ddeItem name="id2?bid" advise="1"/>
      <ddeItem name="id2?bidSize" advise="1"/>
      <ddeItem name="id2?close" advise="1"/>
      <ddeItem name="id2?high" advise="1"/>
      <ddeItem name="id2?last" advise="1"/>
      <ddeItem name="id2?lastSize" advise="1"/>
      <ddeItem name="id2?low" advise="1"/>
      <ddeItem name="id2?req?AAPL_STK_SMART_USD_NASDAQ/" advise="1"/>
      <ddeItem name="id2?volume" advise="1"/>
      <ddeItem name="StdDocumentName" ole="1" advise="1"/>
    </ddeItems>
  </ddeLin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Sname8891" ddeTopic="err">
    <ddeItems>
      <ddeItem name="errorCode" advise="1"/>
      <ddeItem name="errorMsg" advise="1"/>
      <ddeItem name="id" advise="1"/>
      <ddeItem name="StdDocumentName" ole="1" advise="1"/>
    </ddeItems>
  </dd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2.vml"/><Relationship Id="rId7" Type="http://schemas.openxmlformats.org/officeDocument/2006/relationships/ctrlProp" Target="../ctrlProps/ctrlProp1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3.vml"/><Relationship Id="rId7" Type="http://schemas.openxmlformats.org/officeDocument/2006/relationships/ctrlProp" Target="../ctrlProps/ctrlProp2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vmlDrawing" Target="../drawings/vmlDrawing4.vml"/><Relationship Id="rId7" Type="http://schemas.openxmlformats.org/officeDocument/2006/relationships/ctrlProp" Target="../ctrlProps/ctrlProp26.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31.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35.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vmlDrawing" Target="../drawings/vmlDrawing8.vml"/><Relationship Id="rId7" Type="http://schemas.openxmlformats.org/officeDocument/2006/relationships/ctrlProp" Target="../ctrlProps/ctrlProp4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47.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2.xml"/><Relationship Id="rId3" Type="http://schemas.openxmlformats.org/officeDocument/2006/relationships/vmlDrawing" Target="../drawings/vmlDrawing10.vml"/><Relationship Id="rId7" Type="http://schemas.openxmlformats.org/officeDocument/2006/relationships/ctrlProp" Target="../ctrlProps/ctrlProp51.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 Id="rId9"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trlProp" Target="../ctrlProps/ctrlProp63.x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68.xml"/><Relationship Id="rId3" Type="http://schemas.openxmlformats.org/officeDocument/2006/relationships/vmlDrawing" Target="../drawings/vmlDrawing15.vml"/><Relationship Id="rId7" Type="http://schemas.openxmlformats.org/officeDocument/2006/relationships/ctrlProp" Target="../ctrlProps/ctrlProp67.x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 Id="rId9"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72.x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trlProp" Target="../ctrlProps/ctrlProp71.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77.xml"/><Relationship Id="rId3" Type="http://schemas.openxmlformats.org/officeDocument/2006/relationships/vmlDrawing" Target="../drawings/vmlDrawing17.vml"/><Relationship Id="rId7" Type="http://schemas.openxmlformats.org/officeDocument/2006/relationships/ctrlProp" Target="../ctrlProps/ctrlProp76.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trlProp" Target="../ctrlProps/ctrlProp75.xml"/><Relationship Id="rId11" Type="http://schemas.openxmlformats.org/officeDocument/2006/relationships/ctrlProp" Target="../ctrlProps/ctrlProp80.xml"/><Relationship Id="rId5" Type="http://schemas.openxmlformats.org/officeDocument/2006/relationships/ctrlProp" Target="../ctrlProps/ctrlProp74.xml"/><Relationship Id="rId10" Type="http://schemas.openxmlformats.org/officeDocument/2006/relationships/ctrlProp" Target="../ctrlProps/ctrlProp79.xml"/><Relationship Id="rId4" Type="http://schemas.openxmlformats.org/officeDocument/2006/relationships/ctrlProp" Target="../ctrlProps/ctrlProp73.xml"/><Relationship Id="rId9" Type="http://schemas.openxmlformats.org/officeDocument/2006/relationships/ctrlProp" Target="../ctrlProps/ctrlProp7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G161"/>
  <sheetViews>
    <sheetView tabSelected="1" zoomScale="80" zoomScaleNormal="80" workbookViewId="0">
      <pane ySplit="9" topLeftCell="A10" activePane="bottomLeft" state="frozenSplit"/>
      <selection activeCell="A3" sqref="A3:I4"/>
      <selection pane="bottomLeft" activeCell="P14" sqref="P14"/>
    </sheetView>
  </sheetViews>
  <sheetFormatPr defaultRowHeight="12.75" x14ac:dyDescent="0.2"/>
  <cols>
    <col min="1" max="1" width="21.42578125" customWidth="1"/>
    <col min="3" max="3" width="14.85546875" customWidth="1"/>
    <col min="5" max="5" width="9.140625" style="54"/>
    <col min="7" max="7" width="12.42578125" customWidth="1"/>
    <col min="8" max="8" width="10.42578125" customWidth="1"/>
    <col min="9" max="9" width="16.7109375" customWidth="1"/>
    <col min="10" max="10" width="8.7109375" customWidth="1"/>
    <col min="11" max="11" width="9.85546875" customWidth="1"/>
    <col min="12" max="12" width="9.5703125" customWidth="1"/>
    <col min="13" max="14" width="10" customWidth="1"/>
    <col min="15" max="15" width="9" customWidth="1"/>
    <col min="16" max="16" width="8.28515625" customWidth="1"/>
    <col min="17" max="17" width="10.5703125" customWidth="1"/>
    <col min="18" max="18" width="11.42578125" customWidth="1"/>
    <col min="19" max="19" width="11.140625" customWidth="1"/>
    <col min="20" max="20" width="9.85546875" customWidth="1"/>
    <col min="21" max="21" width="10.7109375" customWidth="1"/>
    <col min="22" max="22" width="11" customWidth="1"/>
    <col min="23" max="23" width="10.5703125" customWidth="1"/>
    <col min="24" max="24" width="12.85546875" customWidth="1"/>
    <col min="25" max="25" width="12" customWidth="1"/>
    <col min="26" max="26" width="11.42578125" customWidth="1"/>
    <col min="27" max="27" width="11.5703125" customWidth="1"/>
    <col min="28" max="28" width="10" bestFit="1" customWidth="1"/>
    <col min="31" max="31" width="11" customWidth="1"/>
    <col min="33" max="33" width="13.85546875" customWidth="1"/>
    <col min="34" max="34" width="16" customWidth="1"/>
    <col min="36" max="36" width="7.5703125" customWidth="1"/>
    <col min="39" max="39" width="11.5703125" bestFit="1" customWidth="1"/>
    <col min="40" max="40" width="10" customWidth="1"/>
    <col min="41" max="41" width="10.28515625" customWidth="1"/>
    <col min="42" max="42" width="9.28515625" customWidth="1"/>
    <col min="43" max="43" width="9.7109375" customWidth="1"/>
    <col min="44" max="44" width="10.85546875" customWidth="1"/>
    <col min="45" max="45" width="15.85546875" bestFit="1" customWidth="1"/>
    <col min="46" max="46" width="18.42578125" bestFit="1" customWidth="1"/>
    <col min="47" max="47" width="11.7109375" bestFit="1" customWidth="1"/>
    <col min="48" max="48" width="10.85546875" bestFit="1" customWidth="1"/>
    <col min="49" max="49" width="13" bestFit="1" customWidth="1"/>
    <col min="50" max="50" width="14.85546875" bestFit="1" customWidth="1"/>
    <col min="51" max="51" width="11.7109375" bestFit="1" customWidth="1"/>
    <col min="52" max="52" width="10.85546875" bestFit="1" customWidth="1"/>
    <col min="53" max="53" width="13" bestFit="1" customWidth="1"/>
    <col min="54" max="54" width="14.85546875" bestFit="1" customWidth="1"/>
    <col min="55" max="55" width="11.7109375" bestFit="1" customWidth="1"/>
    <col min="56" max="56" width="10.85546875" bestFit="1" customWidth="1"/>
    <col min="57" max="57" width="13" bestFit="1" customWidth="1"/>
    <col min="58" max="58" width="14.85546875" bestFit="1" customWidth="1"/>
  </cols>
  <sheetData>
    <row r="1" spans="1:59" ht="12.75" customHeight="1" x14ac:dyDescent="0.2">
      <c r="A1" s="266" t="s">
        <v>47</v>
      </c>
      <c r="B1" s="267"/>
      <c r="C1" s="267"/>
      <c r="D1" s="267"/>
      <c r="E1" s="267"/>
      <c r="F1" s="267"/>
      <c r="G1" s="267"/>
      <c r="H1" s="267"/>
      <c r="I1" s="267"/>
      <c r="J1" s="267"/>
      <c r="K1" s="267"/>
      <c r="L1" s="267"/>
      <c r="M1" s="267"/>
      <c r="N1" s="267"/>
      <c r="O1" s="267"/>
      <c r="P1" s="267"/>
      <c r="Q1" s="267"/>
      <c r="R1" s="267"/>
      <c r="S1" s="267"/>
      <c r="T1" s="267"/>
      <c r="U1" s="268"/>
      <c r="V1" s="268"/>
      <c r="W1" s="29"/>
    </row>
    <row r="2" spans="1:59" ht="28.5" customHeight="1" x14ac:dyDescent="0.2">
      <c r="A2" s="269"/>
      <c r="B2" s="267"/>
      <c r="C2" s="267"/>
      <c r="D2" s="267"/>
      <c r="E2" s="267"/>
      <c r="F2" s="267"/>
      <c r="G2" s="267"/>
      <c r="H2" s="267"/>
      <c r="I2" s="267"/>
      <c r="J2" s="267"/>
      <c r="K2" s="267"/>
      <c r="L2" s="267"/>
      <c r="M2" s="267"/>
      <c r="N2" s="267"/>
      <c r="O2" s="267"/>
      <c r="P2" s="267"/>
      <c r="Q2" s="267"/>
      <c r="R2" s="267"/>
      <c r="S2" s="267"/>
      <c r="T2" s="267"/>
      <c r="U2" s="268"/>
      <c r="V2" s="268"/>
      <c r="X2" s="272" t="s">
        <v>296</v>
      </c>
      <c r="Y2" s="273"/>
      <c r="Z2" s="273"/>
      <c r="AA2" s="273"/>
      <c r="AB2" s="274"/>
    </row>
    <row r="3" spans="1:59" x14ac:dyDescent="0.2">
      <c r="A3" s="257"/>
      <c r="B3" s="257"/>
      <c r="C3" s="257"/>
      <c r="D3" s="257"/>
      <c r="E3" s="257"/>
      <c r="F3" s="257"/>
      <c r="G3" s="257"/>
      <c r="H3" s="257"/>
      <c r="I3" s="257"/>
      <c r="J3" s="19"/>
      <c r="K3" s="19"/>
      <c r="L3" s="19"/>
      <c r="M3" s="19"/>
      <c r="N3" s="19"/>
      <c r="O3" s="19"/>
      <c r="P3" s="19"/>
      <c r="R3" s="19"/>
      <c r="S3" s="19"/>
      <c r="T3" s="19"/>
      <c r="U3" s="19"/>
      <c r="V3" s="19"/>
    </row>
    <row r="4" spans="1:59" ht="12.75" customHeight="1" x14ac:dyDescent="0.2">
      <c r="A4" s="82" t="s">
        <v>241</v>
      </c>
      <c r="B4" s="83"/>
      <c r="C4" s="83"/>
      <c r="D4" s="83"/>
      <c r="E4" s="92"/>
      <c r="F4" s="92"/>
      <c r="G4" s="92"/>
      <c r="H4" s="92"/>
      <c r="I4" s="92"/>
      <c r="J4" s="93"/>
      <c r="Q4" s="496" t="s">
        <v>689</v>
      </c>
      <c r="R4" s="497"/>
      <c r="S4" s="499"/>
      <c r="X4" s="275" t="s">
        <v>446</v>
      </c>
      <c r="Y4" s="276"/>
      <c r="Z4" s="276"/>
      <c r="AA4" s="276"/>
      <c r="AB4" s="276"/>
      <c r="AC4" s="276"/>
      <c r="AD4" s="276"/>
      <c r="AE4" s="276"/>
      <c r="AF4" s="276"/>
      <c r="AG4" s="276"/>
      <c r="AH4" s="276"/>
      <c r="AI4" s="276"/>
      <c r="AJ4" s="276"/>
      <c r="AK4" s="277"/>
    </row>
    <row r="5" spans="1:59" ht="12.75" customHeight="1" x14ac:dyDescent="0.2">
      <c r="A5" s="71" t="s">
        <v>58</v>
      </c>
      <c r="B5" s="156" t="s">
        <v>688</v>
      </c>
      <c r="C5" s="271" t="s">
        <v>113</v>
      </c>
      <c r="D5" s="271"/>
      <c r="E5" s="36">
        <v>250</v>
      </c>
      <c r="F5" s="271" t="s">
        <v>305</v>
      </c>
      <c r="G5" s="271"/>
      <c r="H5" s="36">
        <v>250</v>
      </c>
      <c r="I5" s="95" t="s">
        <v>319</v>
      </c>
      <c r="J5" s="94">
        <v>5</v>
      </c>
      <c r="Q5" s="224" t="s">
        <v>24</v>
      </c>
      <c r="R5" s="7" t="s">
        <v>690</v>
      </c>
      <c r="S5" s="500" t="s">
        <v>691</v>
      </c>
      <c r="X5" s="278"/>
      <c r="Y5" s="279"/>
      <c r="Z5" s="279"/>
      <c r="AA5" s="279"/>
      <c r="AB5" s="279"/>
      <c r="AC5" s="279"/>
      <c r="AD5" s="279"/>
      <c r="AE5" s="279"/>
      <c r="AF5" s="279"/>
      <c r="AG5" s="279"/>
      <c r="AH5" s="279"/>
      <c r="AI5" s="279"/>
      <c r="AJ5" s="279"/>
      <c r="AK5" s="280"/>
    </row>
    <row r="6" spans="1:59" x14ac:dyDescent="0.2">
      <c r="A6" s="96"/>
      <c r="B6" s="96"/>
      <c r="C6" s="96"/>
      <c r="D6" s="19"/>
      <c r="E6"/>
      <c r="I6" s="19"/>
      <c r="Q6" s="498" t="e">
        <f>[2]!id</f>
        <v>#REF!</v>
      </c>
      <c r="R6" s="253" t="e">
        <f>[2]!errorCode</f>
        <v>#REF!</v>
      </c>
      <c r="S6" s="254" t="e">
        <f>[2]!errorMsg</f>
        <v>#REF!</v>
      </c>
    </row>
    <row r="7" spans="1:59" s="7" customFormat="1" x14ac:dyDescent="0.2">
      <c r="A7" s="264" t="s">
        <v>49</v>
      </c>
      <c r="B7" s="264"/>
      <c r="C7" s="264"/>
      <c r="D7" s="264"/>
      <c r="E7" s="264"/>
      <c r="F7" s="264"/>
      <c r="G7" s="264"/>
      <c r="H7" s="264"/>
      <c r="I7" s="264"/>
      <c r="J7" s="264"/>
      <c r="K7" s="264"/>
      <c r="L7" s="264"/>
      <c r="M7" s="264"/>
      <c r="N7" s="264"/>
      <c r="O7" s="264"/>
      <c r="P7" s="264"/>
      <c r="Q7" s="264"/>
      <c r="R7" s="264"/>
      <c r="S7" s="264"/>
      <c r="T7" s="264"/>
      <c r="U7" s="264"/>
      <c r="V7" s="264"/>
      <c r="W7" s="264"/>
      <c r="X7" s="264"/>
      <c r="Y7" s="264"/>
      <c r="Z7" s="264"/>
      <c r="AA7" s="264"/>
      <c r="AB7" s="264"/>
      <c r="AC7" s="264"/>
      <c r="AD7" s="264"/>
      <c r="AE7" s="264"/>
      <c r="AF7" s="264"/>
      <c r="AG7" s="264"/>
      <c r="AH7" s="264"/>
      <c r="AI7" s="264"/>
      <c r="AJ7" s="264"/>
      <c r="AK7" s="264"/>
      <c r="AL7" s="264"/>
      <c r="AM7" s="264"/>
      <c r="AN7" s="264"/>
      <c r="AO7" s="264"/>
      <c r="AP7" s="264"/>
      <c r="AQ7" s="264"/>
      <c r="AR7" s="264"/>
      <c r="AS7" s="264"/>
      <c r="AT7" s="264"/>
      <c r="AU7" s="264"/>
      <c r="AV7" s="264"/>
      <c r="AW7" s="264"/>
      <c r="AX7" s="264"/>
      <c r="AY7" s="264"/>
      <c r="AZ7" s="264"/>
      <c r="BA7" s="264"/>
      <c r="BB7" s="264"/>
      <c r="BC7" s="264"/>
      <c r="BD7" s="264"/>
      <c r="BE7" s="264"/>
      <c r="BF7" s="264"/>
      <c r="BG7" s="264"/>
    </row>
    <row r="8" spans="1:59" ht="12.75" customHeight="1" x14ac:dyDescent="0.2">
      <c r="A8" s="255" t="s">
        <v>27</v>
      </c>
      <c r="B8" s="256"/>
      <c r="C8" s="256"/>
      <c r="D8" s="256"/>
      <c r="E8" s="256"/>
      <c r="F8" s="256"/>
      <c r="G8" s="256"/>
      <c r="H8" s="256"/>
      <c r="I8" s="256"/>
      <c r="J8" s="256"/>
      <c r="K8" s="265"/>
      <c r="L8" s="258" t="s">
        <v>445</v>
      </c>
      <c r="M8" s="259"/>
      <c r="N8" s="260"/>
      <c r="O8" s="262" t="s">
        <v>464</v>
      </c>
      <c r="P8" s="255" t="s">
        <v>50</v>
      </c>
      <c r="Q8" s="261"/>
      <c r="R8" s="256"/>
      <c r="S8" s="256"/>
      <c r="T8" s="256"/>
      <c r="U8" s="256"/>
      <c r="V8" s="256"/>
      <c r="W8" s="256"/>
      <c r="X8" s="256"/>
      <c r="Y8" s="256"/>
      <c r="Z8" s="256"/>
      <c r="AA8" s="256"/>
      <c r="AB8" s="256"/>
      <c r="AC8" s="256"/>
      <c r="AD8" s="256"/>
      <c r="AE8" s="256"/>
      <c r="AF8" s="256"/>
      <c r="AG8" s="256"/>
      <c r="AH8" s="192" t="s">
        <v>464</v>
      </c>
      <c r="AI8" s="270" t="s">
        <v>437</v>
      </c>
      <c r="AJ8" s="270" t="s">
        <v>447</v>
      </c>
      <c r="AK8" s="255" t="s">
        <v>255</v>
      </c>
      <c r="AL8" s="261"/>
      <c r="AM8" s="261"/>
      <c r="AN8" s="261"/>
      <c r="AO8" s="261"/>
      <c r="AP8" s="261"/>
      <c r="AQ8" s="261"/>
      <c r="AR8" s="281"/>
      <c r="AS8" s="255" t="s">
        <v>350</v>
      </c>
      <c r="AT8" s="256"/>
      <c r="AU8" s="256"/>
      <c r="AV8" s="255" t="s">
        <v>349</v>
      </c>
      <c r="AW8" s="256"/>
      <c r="AX8" s="256"/>
      <c r="AY8" s="256"/>
      <c r="AZ8" s="255" t="s">
        <v>351</v>
      </c>
      <c r="BA8" s="256"/>
      <c r="BB8" s="256"/>
      <c r="BC8" s="256"/>
      <c r="BD8" s="255" t="s">
        <v>352</v>
      </c>
      <c r="BE8" s="256"/>
      <c r="BF8" s="256"/>
      <c r="BG8" s="256"/>
    </row>
    <row r="9" spans="1:59" s="7" customFormat="1" x14ac:dyDescent="0.2">
      <c r="A9" s="9" t="s">
        <v>9</v>
      </c>
      <c r="B9" s="9" t="s">
        <v>21</v>
      </c>
      <c r="C9" s="9" t="s">
        <v>497</v>
      </c>
      <c r="D9" s="9" t="s">
        <v>10</v>
      </c>
      <c r="E9" s="46" t="s">
        <v>23</v>
      </c>
      <c r="F9" s="9" t="s">
        <v>86</v>
      </c>
      <c r="G9" s="9" t="s">
        <v>85</v>
      </c>
      <c r="H9" s="9" t="s">
        <v>12</v>
      </c>
      <c r="I9" s="46" t="s">
        <v>143</v>
      </c>
      <c r="J9" s="9" t="s">
        <v>40</v>
      </c>
      <c r="K9" s="9" t="s">
        <v>117</v>
      </c>
      <c r="L9" s="98" t="s">
        <v>435</v>
      </c>
      <c r="M9" s="186" t="s">
        <v>202</v>
      </c>
      <c r="N9" s="98" t="s">
        <v>436</v>
      </c>
      <c r="O9" s="263"/>
      <c r="P9" s="100" t="s">
        <v>22</v>
      </c>
      <c r="Q9" s="100" t="s">
        <v>465</v>
      </c>
      <c r="R9" s="207" t="s">
        <v>195</v>
      </c>
      <c r="S9" s="207" t="s">
        <v>199</v>
      </c>
      <c r="T9" s="207" t="s">
        <v>52</v>
      </c>
      <c r="U9" s="207" t="s">
        <v>53</v>
      </c>
      <c r="V9" s="207" t="s">
        <v>54</v>
      </c>
      <c r="W9" s="207" t="s">
        <v>57</v>
      </c>
      <c r="X9" s="208" t="s">
        <v>196</v>
      </c>
      <c r="Y9" s="208" t="s">
        <v>200</v>
      </c>
      <c r="Z9" s="208" t="s">
        <v>55</v>
      </c>
      <c r="AA9" s="208" t="s">
        <v>56</v>
      </c>
      <c r="AB9" s="208" t="s">
        <v>197</v>
      </c>
      <c r="AC9" s="208" t="s">
        <v>198</v>
      </c>
      <c r="AD9" s="209" t="s">
        <v>79</v>
      </c>
      <c r="AE9" s="209" t="s">
        <v>78</v>
      </c>
      <c r="AF9" s="209" t="s">
        <v>80</v>
      </c>
      <c r="AG9" s="209" t="s">
        <v>81</v>
      </c>
      <c r="AH9" s="210" t="s">
        <v>463</v>
      </c>
      <c r="AI9" s="270"/>
      <c r="AJ9" s="270"/>
      <c r="AK9" s="211" t="s">
        <v>202</v>
      </c>
      <c r="AL9" s="211" t="s">
        <v>164</v>
      </c>
      <c r="AM9" s="211" t="s">
        <v>444</v>
      </c>
      <c r="AN9" s="212" t="s">
        <v>254</v>
      </c>
      <c r="AO9" s="212" t="s">
        <v>440</v>
      </c>
      <c r="AP9" s="212" t="s">
        <v>441</v>
      </c>
      <c r="AQ9" s="212" t="s">
        <v>442</v>
      </c>
      <c r="AR9" s="212" t="s">
        <v>443</v>
      </c>
      <c r="AS9" s="212" t="s">
        <v>344</v>
      </c>
      <c r="AT9" s="212" t="s">
        <v>347</v>
      </c>
      <c r="AU9" s="212" t="s">
        <v>348</v>
      </c>
      <c r="AV9" s="212" t="s">
        <v>342</v>
      </c>
      <c r="AW9" s="212" t="s">
        <v>343</v>
      </c>
      <c r="AX9" s="212" t="s">
        <v>346</v>
      </c>
      <c r="AY9" s="212" t="s">
        <v>345</v>
      </c>
      <c r="AZ9" s="212" t="s">
        <v>342</v>
      </c>
      <c r="BA9" s="212" t="s">
        <v>343</v>
      </c>
      <c r="BB9" s="212" t="s">
        <v>346</v>
      </c>
      <c r="BC9" s="212" t="s">
        <v>345</v>
      </c>
      <c r="BD9" s="212" t="s">
        <v>342</v>
      </c>
      <c r="BE9" s="212" t="s">
        <v>343</v>
      </c>
      <c r="BF9" s="212" t="s">
        <v>346</v>
      </c>
      <c r="BG9" s="212" t="s">
        <v>345</v>
      </c>
    </row>
    <row r="10" spans="1:59" s="7" customFormat="1" x14ac:dyDescent="0.2">
      <c r="A10" s="10"/>
      <c r="B10" s="11"/>
      <c r="C10" s="11"/>
      <c r="D10" s="11"/>
      <c r="E10" s="61"/>
      <c r="F10" s="11"/>
      <c r="G10" s="11"/>
      <c r="H10" s="11"/>
      <c r="I10" s="11"/>
      <c r="J10" s="11"/>
      <c r="K10" s="11"/>
      <c r="L10" s="11"/>
      <c r="M10" s="11"/>
      <c r="N10" s="11"/>
      <c r="O10" s="11"/>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AQ10" s="213"/>
      <c r="AR10" s="213"/>
      <c r="AS10" s="213"/>
      <c r="AT10" s="213"/>
      <c r="AU10" s="213"/>
      <c r="AV10" s="213"/>
      <c r="AW10" s="213"/>
      <c r="AX10" s="213"/>
      <c r="AY10" s="213"/>
      <c r="AZ10" s="213"/>
      <c r="BA10" s="213"/>
      <c r="BB10" s="213"/>
      <c r="BC10" s="213"/>
      <c r="BD10" s="213"/>
      <c r="BE10" s="213"/>
      <c r="BF10" s="213"/>
      <c r="BG10" s="213"/>
    </row>
    <row r="11" spans="1:59" x14ac:dyDescent="0.2">
      <c r="A11" s="12"/>
      <c r="B11" s="13"/>
      <c r="C11" s="13"/>
      <c r="D11" s="13"/>
      <c r="E11" s="59"/>
      <c r="F11" s="13"/>
      <c r="G11" s="13"/>
      <c r="H11" s="13"/>
      <c r="I11" s="13"/>
      <c r="J11" s="13"/>
      <c r="K11" s="97"/>
      <c r="L11" s="97"/>
      <c r="M11" s="97"/>
      <c r="N11" s="97"/>
      <c r="O11" s="205"/>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row>
    <row r="12" spans="1:59" x14ac:dyDescent="0.2">
      <c r="A12" s="5"/>
      <c r="B12" s="5"/>
      <c r="C12" s="5"/>
      <c r="D12" s="5"/>
      <c r="E12" s="60"/>
      <c r="F12" s="5"/>
      <c r="G12" s="5"/>
      <c r="H12" s="5"/>
      <c r="I12" s="5"/>
      <c r="J12" s="5"/>
      <c r="K12" s="97"/>
      <c r="L12" s="97"/>
      <c r="M12" s="97"/>
      <c r="N12" s="97"/>
      <c r="O12" s="206"/>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row>
    <row r="13" spans="1:59" x14ac:dyDescent="0.2">
      <c r="A13" s="12" t="s">
        <v>32</v>
      </c>
      <c r="B13" s="5"/>
      <c r="C13" s="5"/>
      <c r="D13" s="5"/>
      <c r="E13" s="201"/>
      <c r="F13" s="5"/>
      <c r="G13" s="5"/>
      <c r="H13" s="5"/>
      <c r="I13" s="5"/>
      <c r="J13" s="5"/>
      <c r="K13" s="97"/>
      <c r="L13" s="97"/>
      <c r="M13" s="97"/>
      <c r="N13" s="97"/>
      <c r="O13" s="206"/>
      <c r="P13" s="213"/>
      <c r="Q13" s="213"/>
      <c r="R13" s="213"/>
      <c r="S13" s="213"/>
      <c r="T13" s="213"/>
      <c r="U13" s="213"/>
      <c r="V13" s="213"/>
      <c r="W13" s="213"/>
      <c r="X13" s="213"/>
      <c r="Y13" s="213"/>
      <c r="Z13" s="213"/>
      <c r="AA13" s="213"/>
      <c r="AB13" s="213"/>
      <c r="AC13" s="213"/>
      <c r="AD13" s="213"/>
      <c r="AE13" s="213"/>
      <c r="AF13" s="213"/>
      <c r="AG13" s="213"/>
      <c r="AH13" s="213"/>
      <c r="AI13" s="213"/>
      <c r="AJ13" s="213"/>
      <c r="AK13" s="213"/>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row>
    <row r="14" spans="1:59" x14ac:dyDescent="0.2">
      <c r="A14" s="13" t="s">
        <v>469</v>
      </c>
      <c r="B14" s="13" t="s">
        <v>11</v>
      </c>
      <c r="C14" s="13"/>
      <c r="D14" s="13"/>
      <c r="E14" s="59"/>
      <c r="F14" s="13"/>
      <c r="G14" s="13"/>
      <c r="H14" s="13" t="s">
        <v>67</v>
      </c>
      <c r="I14" s="14" t="s">
        <v>45</v>
      </c>
      <c r="J14" s="13" t="s">
        <v>43</v>
      </c>
      <c r="K14" s="97"/>
      <c r="L14" s="97"/>
      <c r="M14" s="97"/>
      <c r="N14" s="97"/>
      <c r="O14" s="206"/>
      <c r="P14" s="213" t="e">
        <f>[1]!'id2?req?AAPL_STK_SMART_USD_NASDAQ/'</f>
        <v>#REF!</v>
      </c>
      <c r="Q14" s="213"/>
      <c r="R14" s="213"/>
      <c r="S14" s="213"/>
      <c r="T14" s="213" t="e">
        <f>[1]!id2?bidSize</f>
        <v>#REF!</v>
      </c>
      <c r="U14" s="213" t="e">
        <f>[1]!id2?bid</f>
        <v>#REF!</v>
      </c>
      <c r="V14" s="213" t="e">
        <f>[1]!id2?ask</f>
        <v>#REF!</v>
      </c>
      <c r="W14" s="213" t="e">
        <f>[1]!id2?askSize</f>
        <v>#REF!</v>
      </c>
      <c r="X14" s="213"/>
      <c r="Y14" s="213"/>
      <c r="Z14" s="213" t="e">
        <f>[1]!id2?last</f>
        <v>#REF!</v>
      </c>
      <c r="AA14" s="213" t="e">
        <f>[1]!id2?lastSize</f>
        <v>#REF!</v>
      </c>
      <c r="AB14" s="213"/>
      <c r="AC14" s="213"/>
      <c r="AD14" s="213" t="e">
        <f>[1]!id2?high</f>
        <v>#REF!</v>
      </c>
      <c r="AE14" s="213" t="e">
        <f>[1]!id2?low</f>
        <v>#REF!</v>
      </c>
      <c r="AF14" s="213" t="e">
        <f>[1]!id2?volume</f>
        <v>#REF!</v>
      </c>
      <c r="AG14" s="213" t="e">
        <f>[1]!id2?close</f>
        <v>#REF!</v>
      </c>
      <c r="AH14" s="213"/>
      <c r="AI14" s="213"/>
      <c r="AJ14" s="213"/>
      <c r="AK14" s="213"/>
      <c r="AL14" s="213"/>
      <c r="AM14" s="213"/>
      <c r="AN14" s="213"/>
      <c r="AO14" s="213"/>
      <c r="AP14" s="213"/>
      <c r="AQ14" s="213"/>
      <c r="AR14" s="213"/>
      <c r="AS14" s="213"/>
      <c r="AT14" s="213"/>
      <c r="AU14" s="213"/>
      <c r="AV14" s="213"/>
      <c r="AW14" s="213"/>
      <c r="AX14" s="213"/>
      <c r="AY14" s="213"/>
      <c r="AZ14" s="213"/>
      <c r="BA14" s="213"/>
      <c r="BB14" s="213"/>
      <c r="BC14" s="213"/>
      <c r="BD14" s="213"/>
      <c r="BE14" s="213"/>
      <c r="BF14" s="213"/>
      <c r="BG14" s="213"/>
    </row>
    <row r="15" spans="1:59" x14ac:dyDescent="0.2">
      <c r="A15" s="13"/>
      <c r="B15" s="13"/>
      <c r="C15" s="13"/>
      <c r="D15" s="13"/>
      <c r="E15" s="59"/>
      <c r="F15" s="13"/>
      <c r="G15" s="13"/>
      <c r="H15" s="13"/>
      <c r="I15" s="13"/>
      <c r="J15" s="13"/>
      <c r="K15" s="97"/>
      <c r="L15" s="97"/>
      <c r="M15" s="97"/>
      <c r="N15" s="97"/>
      <c r="O15" s="205"/>
      <c r="P15" s="213"/>
      <c r="Q15" s="213"/>
      <c r="R15" s="213"/>
      <c r="S15" s="213"/>
      <c r="T15" s="213"/>
      <c r="U15" s="213"/>
      <c r="V15" s="213"/>
      <c r="W15" s="213"/>
      <c r="X15" s="213"/>
      <c r="Y15" s="213"/>
      <c r="Z15" s="213"/>
      <c r="AA15" s="213"/>
      <c r="AB15" s="213"/>
      <c r="AC15" s="213"/>
      <c r="AD15" s="213"/>
      <c r="AE15" s="213"/>
      <c r="AF15" s="213"/>
      <c r="AG15" s="213"/>
      <c r="AH15" s="213"/>
      <c r="AI15" s="213"/>
      <c r="AJ15" s="213"/>
      <c r="AK15" s="213"/>
      <c r="AL15" s="213"/>
      <c r="AM15" s="213"/>
      <c r="AN15" s="213"/>
      <c r="AO15" s="213"/>
      <c r="AP15" s="213"/>
      <c r="AQ15" s="213"/>
      <c r="AR15" s="213"/>
      <c r="AS15" s="213"/>
      <c r="AT15" s="213"/>
      <c r="AU15" s="213"/>
      <c r="AV15" s="213"/>
      <c r="AW15" s="213"/>
      <c r="AX15" s="213"/>
      <c r="AY15" s="213"/>
      <c r="AZ15" s="213"/>
      <c r="BA15" s="213"/>
      <c r="BB15" s="213"/>
      <c r="BC15" s="213"/>
      <c r="BD15" s="213"/>
      <c r="BE15" s="213"/>
      <c r="BF15" s="213"/>
      <c r="BG15" s="213"/>
    </row>
    <row r="16" spans="1:59" x14ac:dyDescent="0.2">
      <c r="A16" s="13"/>
      <c r="B16" s="13"/>
      <c r="C16" s="13"/>
      <c r="D16" s="13"/>
      <c r="E16" s="59"/>
      <c r="F16" s="13"/>
      <c r="G16" s="13"/>
      <c r="H16" s="13"/>
      <c r="I16" s="13"/>
      <c r="J16" s="13"/>
      <c r="K16" s="97"/>
      <c r="L16" s="97"/>
      <c r="M16" s="97"/>
      <c r="N16" s="97"/>
      <c r="O16" s="205"/>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AQ16" s="213"/>
      <c r="AR16" s="213"/>
      <c r="AS16" s="213"/>
      <c r="AT16" s="213"/>
      <c r="AU16" s="213"/>
      <c r="AV16" s="213"/>
      <c r="AW16" s="213"/>
      <c r="AX16" s="213"/>
      <c r="AY16" s="213"/>
      <c r="AZ16" s="213"/>
      <c r="BA16" s="213"/>
      <c r="BB16" s="213"/>
      <c r="BC16" s="213"/>
      <c r="BD16" s="213"/>
      <c r="BE16" s="213"/>
      <c r="BF16" s="213"/>
      <c r="BG16" s="213"/>
    </row>
    <row r="17" spans="1:59" x14ac:dyDescent="0.2">
      <c r="A17" s="13"/>
      <c r="B17" s="13"/>
      <c r="C17" s="13"/>
      <c r="D17" s="13"/>
      <c r="E17" s="59"/>
      <c r="F17" s="13"/>
      <c r="G17" s="13"/>
      <c r="H17" s="14"/>
      <c r="I17" s="13"/>
      <c r="J17" s="13"/>
      <c r="K17" s="97"/>
      <c r="L17" s="97"/>
      <c r="M17" s="97"/>
      <c r="N17" s="97"/>
      <c r="O17" s="205"/>
      <c r="P17" s="213"/>
      <c r="Q17" s="213"/>
      <c r="R17" s="213"/>
      <c r="S17" s="213"/>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AQ17" s="213"/>
      <c r="AR17" s="213"/>
      <c r="AS17" s="213"/>
      <c r="AT17" s="213"/>
      <c r="AU17" s="213"/>
      <c r="AV17" s="213"/>
      <c r="AW17" s="213"/>
      <c r="AX17" s="213"/>
      <c r="AY17" s="213"/>
      <c r="AZ17" s="213"/>
      <c r="BA17" s="213"/>
      <c r="BB17" s="213"/>
      <c r="BC17" s="213"/>
      <c r="BD17" s="213"/>
      <c r="BE17" s="213"/>
      <c r="BF17" s="213"/>
      <c r="BG17" s="213"/>
    </row>
    <row r="18" spans="1:59" x14ac:dyDescent="0.2">
      <c r="A18" s="3"/>
      <c r="B18" s="5"/>
      <c r="C18" s="5"/>
      <c r="D18" s="5"/>
      <c r="E18" s="60"/>
      <c r="F18" s="5"/>
      <c r="G18" s="5"/>
      <c r="H18" s="3"/>
      <c r="I18" s="5"/>
      <c r="J18" s="5"/>
      <c r="K18" s="97"/>
      <c r="L18" s="97"/>
      <c r="M18" s="97"/>
      <c r="N18" s="97"/>
      <c r="O18" s="205"/>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AQ18" s="213"/>
      <c r="AR18" s="213"/>
      <c r="AS18" s="213"/>
      <c r="AT18" s="213"/>
      <c r="AU18" s="213"/>
      <c r="AV18" s="213"/>
      <c r="AW18" s="213"/>
      <c r="AX18" s="213"/>
      <c r="AY18" s="213"/>
      <c r="AZ18" s="213"/>
      <c r="BA18" s="213"/>
      <c r="BB18" s="213"/>
      <c r="BC18" s="213"/>
      <c r="BD18" s="213"/>
      <c r="BE18" s="213"/>
      <c r="BF18" s="213"/>
      <c r="BG18" s="213"/>
    </row>
    <row r="19" spans="1:59" x14ac:dyDescent="0.2">
      <c r="A19" s="5"/>
      <c r="B19" s="5"/>
      <c r="C19" s="5"/>
      <c r="D19" s="5"/>
      <c r="E19" s="60"/>
      <c r="F19" s="5"/>
      <c r="G19" s="5"/>
      <c r="H19" s="5"/>
      <c r="I19" s="5"/>
      <c r="J19" s="5"/>
      <c r="K19" s="97"/>
      <c r="L19" s="97"/>
      <c r="M19" s="97"/>
      <c r="N19" s="97"/>
      <c r="O19" s="205"/>
      <c r="P19" s="213"/>
      <c r="Q19" s="213"/>
      <c r="R19" s="213"/>
      <c r="S19" s="213"/>
      <c r="T19" s="213"/>
      <c r="U19" s="213"/>
      <c r="V19" s="213"/>
      <c r="W19" s="213"/>
      <c r="X19" s="213"/>
      <c r="Y19" s="213"/>
      <c r="Z19" s="213"/>
      <c r="AA19" s="213"/>
      <c r="AB19" s="213"/>
      <c r="AC19" s="213"/>
      <c r="AD19" s="213"/>
      <c r="AE19" s="213"/>
      <c r="AF19" s="213"/>
      <c r="AG19" s="213"/>
      <c r="AH19" s="213"/>
      <c r="AI19" s="213"/>
      <c r="AJ19" s="213"/>
      <c r="AK19" s="213"/>
      <c r="AL19" s="213"/>
      <c r="AM19" s="213"/>
      <c r="AN19" s="213"/>
      <c r="AO19" s="213"/>
      <c r="AP19" s="213"/>
      <c r="AQ19" s="213"/>
      <c r="AR19" s="213"/>
      <c r="AS19" s="213"/>
      <c r="AT19" s="213"/>
      <c r="AU19" s="213"/>
      <c r="AV19" s="213"/>
      <c r="AW19" s="213"/>
      <c r="AX19" s="213"/>
      <c r="AY19" s="213"/>
      <c r="AZ19" s="213"/>
      <c r="BA19" s="213"/>
      <c r="BB19" s="213"/>
      <c r="BC19" s="213"/>
      <c r="BD19" s="213"/>
      <c r="BE19" s="213"/>
      <c r="BF19" s="213"/>
      <c r="BG19" s="213"/>
    </row>
    <row r="20" spans="1:59" x14ac:dyDescent="0.2">
      <c r="A20" s="3"/>
      <c r="B20" s="5"/>
      <c r="C20" s="5"/>
      <c r="D20" s="5"/>
      <c r="E20" s="60"/>
      <c r="F20" s="5"/>
      <c r="G20" s="5"/>
      <c r="H20" s="3"/>
      <c r="I20" s="5"/>
      <c r="J20" s="3"/>
      <c r="K20" s="97"/>
      <c r="L20" s="97"/>
      <c r="M20" s="97"/>
      <c r="N20" s="97"/>
      <c r="O20" s="205"/>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AQ20" s="213"/>
      <c r="AR20" s="213"/>
      <c r="AS20" s="213"/>
      <c r="AT20" s="213"/>
      <c r="AU20" s="213"/>
      <c r="AV20" s="213"/>
      <c r="AW20" s="213"/>
      <c r="AX20" s="213"/>
      <c r="AY20" s="213"/>
      <c r="AZ20" s="213"/>
      <c r="BA20" s="213"/>
      <c r="BB20" s="213"/>
      <c r="BC20" s="213"/>
      <c r="BD20" s="213"/>
      <c r="BE20" s="213"/>
      <c r="BF20" s="213"/>
      <c r="BG20" s="213"/>
    </row>
    <row r="21" spans="1:59" x14ac:dyDescent="0.2">
      <c r="A21" s="5"/>
      <c r="B21" s="5"/>
      <c r="C21" s="5"/>
      <c r="D21" s="5"/>
      <c r="E21" s="60"/>
      <c r="F21" s="5"/>
      <c r="G21" s="5"/>
      <c r="H21" s="3"/>
      <c r="I21" s="5"/>
      <c r="J21" s="3"/>
      <c r="K21" s="97"/>
      <c r="L21" s="97"/>
      <c r="M21" s="97"/>
      <c r="N21" s="97"/>
      <c r="O21" s="205"/>
      <c r="P21" s="213"/>
      <c r="Q21" s="213"/>
      <c r="R21" s="213"/>
      <c r="S21" s="213"/>
      <c r="T21" s="213"/>
      <c r="U21" s="213"/>
      <c r="V21" s="213"/>
      <c r="W21" s="213"/>
      <c r="X21" s="213"/>
      <c r="Y21" s="213"/>
      <c r="Z21" s="213"/>
      <c r="AA21" s="213"/>
      <c r="AB21" s="213"/>
      <c r="AC21" s="213"/>
      <c r="AD21" s="213"/>
      <c r="AE21" s="213"/>
      <c r="AF21" s="213"/>
      <c r="AG21" s="213"/>
      <c r="AH21" s="213"/>
      <c r="AI21" s="213"/>
      <c r="AJ21" s="213"/>
      <c r="AK21" s="213"/>
      <c r="AL21" s="213"/>
      <c r="AM21" s="213"/>
      <c r="AN21" s="213"/>
      <c r="AO21" s="213"/>
      <c r="AP21" s="213"/>
      <c r="AQ21" s="213"/>
      <c r="AR21" s="213"/>
      <c r="AS21" s="213"/>
      <c r="AT21" s="213"/>
      <c r="AU21" s="213"/>
      <c r="AV21" s="213"/>
      <c r="AW21" s="213"/>
      <c r="AX21" s="213"/>
      <c r="AY21" s="213"/>
      <c r="AZ21" s="213"/>
      <c r="BA21" s="213"/>
      <c r="BB21" s="213"/>
      <c r="BC21" s="213"/>
      <c r="BD21" s="213"/>
      <c r="BE21" s="213"/>
      <c r="BF21" s="213"/>
      <c r="BG21" s="213"/>
    </row>
    <row r="22" spans="1:59" x14ac:dyDescent="0.2">
      <c r="A22" s="8"/>
      <c r="B22" s="5"/>
      <c r="C22" s="5"/>
      <c r="D22" s="5"/>
      <c r="E22" s="60"/>
      <c r="F22" s="5"/>
      <c r="G22" s="5"/>
      <c r="H22" s="5"/>
      <c r="I22" s="5"/>
      <c r="J22" s="5"/>
      <c r="K22" s="97"/>
      <c r="L22" s="97"/>
      <c r="M22" s="97"/>
      <c r="N22" s="97"/>
      <c r="O22" s="205"/>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AQ22" s="213"/>
      <c r="AR22" s="213"/>
      <c r="AS22" s="213"/>
      <c r="AT22" s="213"/>
      <c r="AU22" s="213"/>
      <c r="AV22" s="213"/>
      <c r="AW22" s="213"/>
      <c r="AX22" s="213"/>
      <c r="AY22" s="213"/>
      <c r="AZ22" s="213"/>
      <c r="BA22" s="213"/>
      <c r="BB22" s="213"/>
      <c r="BC22" s="213"/>
      <c r="BD22" s="213"/>
      <c r="BE22" s="213"/>
      <c r="BF22" s="213"/>
      <c r="BG22" s="213"/>
    </row>
    <row r="23" spans="1:59" x14ac:dyDescent="0.2">
      <c r="A23" s="3"/>
      <c r="B23" s="3"/>
      <c r="C23" s="5"/>
      <c r="D23" s="5"/>
      <c r="E23" s="60"/>
      <c r="F23" s="5"/>
      <c r="G23" s="5"/>
      <c r="H23" s="3"/>
      <c r="I23" s="5"/>
      <c r="J23" s="3"/>
      <c r="K23" s="97"/>
      <c r="L23" s="97"/>
      <c r="M23" s="97"/>
      <c r="N23" s="97"/>
      <c r="O23" s="205"/>
      <c r="P23" s="213"/>
      <c r="Q23" s="213"/>
      <c r="R23" s="213"/>
      <c r="S23" s="213"/>
      <c r="T23" s="213"/>
      <c r="U23" s="213"/>
      <c r="V23" s="213"/>
      <c r="W23" s="213"/>
      <c r="X23" s="213"/>
      <c r="Y23" s="213"/>
      <c r="Z23" s="213"/>
      <c r="AA23" s="213"/>
      <c r="AB23" s="213"/>
      <c r="AC23" s="213"/>
      <c r="AD23" s="213"/>
      <c r="AE23" s="213"/>
      <c r="AF23" s="213"/>
      <c r="AG23" s="213"/>
      <c r="AH23" s="213"/>
      <c r="AI23" s="213"/>
      <c r="AJ23" s="213"/>
      <c r="AK23" s="213"/>
      <c r="AL23" s="213"/>
      <c r="AM23" s="213"/>
      <c r="AN23" s="213"/>
      <c r="AO23" s="213"/>
      <c r="AP23" s="213"/>
      <c r="AQ23" s="213"/>
      <c r="AR23" s="213"/>
      <c r="AS23" s="213"/>
      <c r="AT23" s="213"/>
      <c r="AU23" s="213"/>
      <c r="AV23" s="213"/>
      <c r="AW23" s="213"/>
      <c r="AX23" s="213"/>
      <c r="AY23" s="213"/>
      <c r="AZ23" s="213"/>
      <c r="BA23" s="213"/>
      <c r="BB23" s="213"/>
      <c r="BC23" s="213"/>
      <c r="BD23" s="213"/>
      <c r="BE23" s="213"/>
      <c r="BF23" s="213"/>
      <c r="BG23" s="213"/>
    </row>
    <row r="24" spans="1:59" x14ac:dyDescent="0.2">
      <c r="A24" s="14"/>
      <c r="B24" s="14"/>
      <c r="C24" s="13"/>
      <c r="D24" s="13"/>
      <c r="E24" s="59"/>
      <c r="F24" s="13"/>
      <c r="G24" s="13"/>
      <c r="H24" s="14"/>
      <c r="I24" s="13"/>
      <c r="J24" s="14"/>
      <c r="K24" s="97"/>
      <c r="L24" s="97"/>
      <c r="M24" s="97"/>
      <c r="N24" s="97"/>
      <c r="O24" s="205"/>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AQ24" s="213"/>
      <c r="AR24" s="213"/>
      <c r="AS24" s="213"/>
      <c r="AT24" s="213"/>
      <c r="AU24" s="213"/>
      <c r="AV24" s="213"/>
      <c r="AW24" s="213"/>
      <c r="AX24" s="213"/>
      <c r="AY24" s="213"/>
      <c r="AZ24" s="213"/>
      <c r="BA24" s="213"/>
      <c r="BB24" s="213"/>
      <c r="BC24" s="213"/>
      <c r="BD24" s="213"/>
      <c r="BE24" s="213"/>
      <c r="BF24" s="213"/>
      <c r="BG24" s="213"/>
    </row>
    <row r="25" spans="1:59" x14ac:dyDescent="0.2">
      <c r="A25" s="14"/>
      <c r="B25" s="14"/>
      <c r="C25" s="13"/>
      <c r="D25" s="13"/>
      <c r="E25" s="59"/>
      <c r="F25" s="13"/>
      <c r="G25" s="13"/>
      <c r="H25" s="14"/>
      <c r="I25" s="13"/>
      <c r="J25" s="14"/>
      <c r="K25" s="97"/>
      <c r="L25" s="97"/>
      <c r="M25" s="97"/>
      <c r="N25" s="97"/>
      <c r="O25" s="205"/>
      <c r="P25" s="213"/>
      <c r="Q25" s="213"/>
      <c r="R25" s="213"/>
      <c r="S25" s="213"/>
      <c r="T25" s="213"/>
      <c r="U25" s="213"/>
      <c r="V25" s="213"/>
      <c r="W25" s="213"/>
      <c r="X25" s="213"/>
      <c r="Y25" s="213"/>
      <c r="Z25" s="213"/>
      <c r="AA25" s="213"/>
      <c r="AB25" s="213"/>
      <c r="AC25" s="213"/>
      <c r="AD25" s="213"/>
      <c r="AE25" s="213"/>
      <c r="AF25" s="213"/>
      <c r="AG25" s="213"/>
      <c r="AH25" s="213"/>
      <c r="AI25" s="213"/>
      <c r="AJ25" s="213"/>
      <c r="AK25" s="213"/>
      <c r="AL25" s="213"/>
      <c r="AM25" s="213"/>
      <c r="AN25" s="213"/>
      <c r="AO25" s="213"/>
      <c r="AP25" s="213"/>
      <c r="AQ25" s="213"/>
      <c r="AR25" s="213"/>
      <c r="AS25" s="213"/>
      <c r="AT25" s="213"/>
      <c r="AU25" s="213"/>
      <c r="AV25" s="213"/>
      <c r="AW25" s="213"/>
      <c r="AX25" s="213"/>
      <c r="AY25" s="213"/>
      <c r="AZ25" s="213"/>
      <c r="BA25" s="213"/>
      <c r="BB25" s="213"/>
      <c r="BC25" s="213"/>
      <c r="BD25" s="213"/>
      <c r="BE25" s="213"/>
      <c r="BF25" s="213"/>
      <c r="BG25" s="213"/>
    </row>
    <row r="26" spans="1:59" x14ac:dyDescent="0.2">
      <c r="A26" s="14"/>
      <c r="B26" s="14"/>
      <c r="C26" s="13"/>
      <c r="D26" s="13"/>
      <c r="E26" s="59"/>
      <c r="F26" s="13"/>
      <c r="G26" s="13"/>
      <c r="H26" s="14"/>
      <c r="I26" s="13"/>
      <c r="J26" s="14"/>
      <c r="K26" s="97"/>
      <c r="L26" s="97"/>
      <c r="M26" s="97"/>
      <c r="N26" s="97"/>
      <c r="O26" s="205"/>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AQ26" s="213"/>
      <c r="AR26" s="213"/>
      <c r="AS26" s="213"/>
      <c r="AT26" s="213"/>
      <c r="AU26" s="213"/>
      <c r="AV26" s="213"/>
      <c r="AW26" s="213"/>
      <c r="AX26" s="213"/>
      <c r="AY26" s="213"/>
      <c r="AZ26" s="213"/>
      <c r="BA26" s="213"/>
      <c r="BB26" s="213"/>
      <c r="BC26" s="213"/>
      <c r="BD26" s="213"/>
      <c r="BE26" s="213"/>
      <c r="BF26" s="213"/>
      <c r="BG26" s="213"/>
    </row>
    <row r="27" spans="1:59" x14ac:dyDescent="0.2">
      <c r="A27" s="13"/>
      <c r="B27" s="13"/>
      <c r="C27" s="13"/>
      <c r="D27" s="13"/>
      <c r="E27" s="59"/>
      <c r="F27" s="13"/>
      <c r="G27" s="13"/>
      <c r="H27" s="13"/>
      <c r="I27" s="13"/>
      <c r="J27" s="13"/>
      <c r="K27" s="97"/>
      <c r="L27" s="97"/>
      <c r="M27" s="97"/>
      <c r="N27" s="97"/>
      <c r="O27" s="205"/>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AQ27" s="213"/>
      <c r="AR27" s="213"/>
      <c r="AS27" s="213"/>
      <c r="AT27" s="213"/>
      <c r="AU27" s="213"/>
      <c r="AV27" s="213"/>
      <c r="AW27" s="213"/>
      <c r="AX27" s="213"/>
      <c r="AY27" s="213"/>
      <c r="AZ27" s="213"/>
      <c r="BA27" s="213"/>
      <c r="BB27" s="213"/>
      <c r="BC27" s="213"/>
      <c r="BD27" s="213"/>
      <c r="BE27" s="213"/>
      <c r="BF27" s="213"/>
      <c r="BG27" s="213"/>
    </row>
    <row r="28" spans="1:59" x14ac:dyDescent="0.2">
      <c r="A28" s="14"/>
      <c r="B28" s="13"/>
      <c r="C28" s="13"/>
      <c r="D28" s="13"/>
      <c r="E28" s="59"/>
      <c r="F28" s="13"/>
      <c r="G28" s="13"/>
      <c r="H28" s="13"/>
      <c r="I28" s="13"/>
      <c r="J28" s="13"/>
      <c r="K28" s="97"/>
      <c r="L28" s="97"/>
      <c r="M28" s="97"/>
      <c r="N28" s="97"/>
      <c r="O28" s="205"/>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AQ28" s="213"/>
      <c r="AR28" s="213"/>
      <c r="AS28" s="213"/>
      <c r="AT28" s="213"/>
      <c r="AU28" s="213"/>
      <c r="AV28" s="213"/>
      <c r="AW28" s="213"/>
      <c r="AX28" s="213"/>
      <c r="AY28" s="213"/>
      <c r="AZ28" s="213"/>
      <c r="BA28" s="213"/>
      <c r="BB28" s="213"/>
      <c r="BC28" s="213"/>
      <c r="BD28" s="213"/>
      <c r="BE28" s="213"/>
      <c r="BF28" s="213"/>
      <c r="BG28" s="213"/>
    </row>
    <row r="29" spans="1:59" x14ac:dyDescent="0.2">
      <c r="A29" s="12"/>
      <c r="B29" s="13"/>
      <c r="C29" s="13"/>
      <c r="D29" s="13"/>
      <c r="E29" s="59"/>
      <c r="F29" s="13"/>
      <c r="G29" s="13"/>
      <c r="H29" s="13"/>
      <c r="I29" s="13"/>
      <c r="J29" s="13"/>
      <c r="K29" s="97"/>
      <c r="L29" s="97"/>
      <c r="M29" s="97"/>
      <c r="N29" s="97"/>
      <c r="O29" s="205"/>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AQ29" s="213"/>
      <c r="AR29" s="213"/>
      <c r="AS29" s="213"/>
      <c r="AT29" s="213"/>
      <c r="AU29" s="213"/>
      <c r="AV29" s="213"/>
      <c r="AW29" s="213"/>
      <c r="AX29" s="213"/>
      <c r="AY29" s="213"/>
      <c r="AZ29" s="213"/>
      <c r="BA29" s="213"/>
      <c r="BB29" s="213"/>
      <c r="BC29" s="213"/>
      <c r="BD29" s="213"/>
      <c r="BE29" s="213"/>
      <c r="BF29" s="213"/>
      <c r="BG29" s="213"/>
    </row>
    <row r="30" spans="1:59" x14ac:dyDescent="0.2">
      <c r="A30" s="13"/>
      <c r="B30" s="13"/>
      <c r="C30" s="13"/>
      <c r="D30" s="13"/>
      <c r="E30" s="59"/>
      <c r="F30" s="13"/>
      <c r="G30" s="13"/>
      <c r="H30" s="13"/>
      <c r="I30" s="13"/>
      <c r="J30" s="13"/>
      <c r="K30" s="97"/>
      <c r="L30" s="97"/>
      <c r="M30" s="97"/>
      <c r="N30" s="97"/>
      <c r="O30" s="205"/>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AQ30" s="213"/>
      <c r="AR30" s="213"/>
      <c r="AS30" s="213"/>
      <c r="AT30" s="213"/>
      <c r="AU30" s="213"/>
      <c r="AV30" s="213"/>
      <c r="AW30" s="213"/>
      <c r="AX30" s="213"/>
      <c r="AY30" s="213"/>
      <c r="AZ30" s="213"/>
      <c r="BA30" s="213"/>
      <c r="BB30" s="213"/>
      <c r="BC30" s="213"/>
      <c r="BD30" s="213"/>
      <c r="BE30" s="213"/>
      <c r="BF30" s="213"/>
      <c r="BG30" s="213"/>
    </row>
    <row r="31" spans="1:59" x14ac:dyDescent="0.2">
      <c r="A31" s="243"/>
      <c r="B31" s="14"/>
      <c r="C31" s="13"/>
      <c r="D31" s="13"/>
      <c r="E31" s="59"/>
      <c r="F31" s="13"/>
      <c r="G31" s="13"/>
      <c r="H31" s="13"/>
      <c r="I31" s="13"/>
      <c r="J31" s="13"/>
      <c r="K31" s="97"/>
      <c r="L31" s="97"/>
      <c r="M31" s="97"/>
      <c r="N31" s="97"/>
      <c r="O31" s="205"/>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AQ31" s="213"/>
      <c r="AR31" s="213"/>
      <c r="AS31" s="213"/>
      <c r="AT31" s="213"/>
      <c r="AU31" s="213"/>
      <c r="AV31" s="213"/>
      <c r="AW31" s="213"/>
      <c r="AX31" s="213"/>
      <c r="AY31" s="213"/>
      <c r="AZ31" s="213"/>
      <c r="BA31" s="213"/>
      <c r="BB31" s="213"/>
      <c r="BC31" s="213"/>
      <c r="BD31" s="213"/>
      <c r="BE31" s="213"/>
      <c r="BF31" s="213"/>
      <c r="BG31" s="213"/>
    </row>
    <row r="32" spans="1:59" x14ac:dyDescent="0.2">
      <c r="A32" s="14"/>
      <c r="B32" s="14"/>
      <c r="C32" s="13"/>
      <c r="D32" s="13"/>
      <c r="E32" s="158"/>
      <c r="F32" s="13"/>
      <c r="G32" s="13"/>
      <c r="H32" s="14"/>
      <c r="I32" s="13"/>
      <c r="J32" s="14"/>
      <c r="K32" s="97"/>
      <c r="L32" s="97"/>
      <c r="M32" s="97"/>
      <c r="N32" s="97"/>
      <c r="O32" s="205"/>
      <c r="P32" s="213"/>
      <c r="Q32" s="213"/>
      <c r="R32" s="213"/>
      <c r="S32" s="213"/>
      <c r="T32" s="213"/>
      <c r="U32" s="213"/>
      <c r="V32" s="213"/>
      <c r="W32" s="213"/>
      <c r="X32" s="213"/>
      <c r="Y32" s="213"/>
      <c r="Z32" s="213"/>
      <c r="AA32" s="213"/>
      <c r="AB32" s="213"/>
      <c r="AC32" s="213"/>
      <c r="AD32" s="213"/>
      <c r="AE32" s="213"/>
      <c r="AF32" s="213"/>
      <c r="AG32" s="213"/>
      <c r="AH32" s="213"/>
      <c r="AI32" s="213"/>
      <c r="AJ32" s="213"/>
      <c r="AK32" s="213"/>
      <c r="AL32" s="213"/>
      <c r="AM32" s="213"/>
      <c r="AN32" s="213"/>
      <c r="AO32" s="213"/>
      <c r="AP32" s="213"/>
      <c r="AQ32" s="213"/>
      <c r="AR32" s="213"/>
      <c r="AS32" s="213"/>
      <c r="AT32" s="213"/>
      <c r="AU32" s="213"/>
      <c r="AV32" s="213"/>
      <c r="AW32" s="213"/>
      <c r="AX32" s="213"/>
      <c r="AY32" s="213"/>
      <c r="AZ32" s="213"/>
      <c r="BA32" s="213"/>
      <c r="BB32" s="213"/>
      <c r="BC32" s="213"/>
      <c r="BD32" s="213"/>
      <c r="BE32" s="213"/>
      <c r="BF32" s="213"/>
      <c r="BG32" s="213"/>
    </row>
    <row r="33" spans="1:59" x14ac:dyDescent="0.2">
      <c r="A33" s="243"/>
      <c r="B33" s="14"/>
      <c r="C33" s="13"/>
      <c r="D33" s="13"/>
      <c r="E33" s="59"/>
      <c r="F33" s="13"/>
      <c r="G33" s="13"/>
      <c r="H33" s="13"/>
      <c r="I33" s="13"/>
      <c r="J33" s="13"/>
      <c r="K33" s="97"/>
      <c r="L33" s="97"/>
      <c r="M33" s="97"/>
      <c r="N33" s="97"/>
      <c r="O33" s="205"/>
      <c r="P33" s="213"/>
      <c r="Q33" s="213"/>
      <c r="R33" s="213"/>
      <c r="S33" s="213"/>
      <c r="T33" s="213"/>
      <c r="U33" s="213"/>
      <c r="V33" s="213"/>
      <c r="W33" s="213"/>
      <c r="X33" s="213"/>
      <c r="Y33" s="213"/>
      <c r="Z33" s="213"/>
      <c r="AA33" s="213"/>
      <c r="AB33" s="213"/>
      <c r="AC33" s="213"/>
      <c r="AD33" s="213"/>
      <c r="AE33" s="213"/>
      <c r="AF33" s="213"/>
      <c r="AG33" s="213"/>
      <c r="AH33" s="213"/>
      <c r="AI33" s="213"/>
      <c r="AJ33" s="213"/>
      <c r="AK33" s="213"/>
      <c r="AL33" s="213"/>
      <c r="AM33" s="213"/>
      <c r="AN33" s="213"/>
      <c r="AO33" s="213"/>
      <c r="AP33" s="213"/>
      <c r="AQ33" s="213"/>
      <c r="AR33" s="213"/>
      <c r="AS33" s="213"/>
      <c r="AT33" s="213"/>
      <c r="AU33" s="213"/>
      <c r="AV33" s="213"/>
      <c r="AW33" s="213"/>
      <c r="AX33" s="213"/>
      <c r="AY33" s="213"/>
      <c r="AZ33" s="213"/>
      <c r="BA33" s="213"/>
      <c r="BB33" s="213"/>
      <c r="BC33" s="213"/>
      <c r="BD33" s="213"/>
      <c r="BE33" s="213"/>
      <c r="BF33" s="213"/>
      <c r="BG33" s="213"/>
    </row>
    <row r="34" spans="1:59" x14ac:dyDescent="0.2">
      <c r="A34" s="13"/>
      <c r="B34" s="13"/>
      <c r="C34" s="13"/>
      <c r="D34" s="13"/>
      <c r="E34" s="59"/>
      <c r="F34" s="13"/>
      <c r="G34" s="13"/>
      <c r="H34" s="13"/>
      <c r="I34" s="13"/>
      <c r="J34" s="13"/>
      <c r="K34" s="97"/>
      <c r="L34" s="97"/>
      <c r="M34" s="97"/>
      <c r="N34" s="97"/>
      <c r="O34" s="205"/>
      <c r="P34" s="213"/>
      <c r="Q34" s="213"/>
      <c r="R34" s="213"/>
      <c r="S34" s="213"/>
      <c r="T34" s="213"/>
      <c r="U34" s="213"/>
      <c r="V34" s="213"/>
      <c r="W34" s="213"/>
      <c r="X34" s="213"/>
      <c r="Y34" s="213"/>
      <c r="Z34" s="213"/>
      <c r="AA34" s="213"/>
      <c r="AB34" s="213"/>
      <c r="AC34" s="213"/>
      <c r="AD34" s="213"/>
      <c r="AE34" s="213"/>
      <c r="AF34" s="213"/>
      <c r="AG34" s="213"/>
      <c r="AH34" s="213"/>
      <c r="AI34" s="213"/>
      <c r="AJ34" s="213"/>
      <c r="AK34" s="213"/>
      <c r="AL34" s="213"/>
      <c r="AM34" s="213"/>
      <c r="AN34" s="213"/>
      <c r="AO34" s="213"/>
      <c r="AP34" s="213"/>
      <c r="AQ34" s="213"/>
      <c r="AR34" s="213"/>
      <c r="AS34" s="213"/>
      <c r="AT34" s="213"/>
      <c r="AU34" s="213"/>
      <c r="AV34" s="213"/>
      <c r="AW34" s="213"/>
      <c r="AX34" s="213"/>
      <c r="AY34" s="213"/>
      <c r="AZ34" s="213"/>
      <c r="BA34" s="213"/>
      <c r="BB34" s="213"/>
      <c r="BC34" s="213"/>
      <c r="BD34" s="213"/>
      <c r="BE34" s="213"/>
      <c r="BF34" s="213"/>
      <c r="BG34" s="213"/>
    </row>
    <row r="35" spans="1:59" x14ac:dyDescent="0.2">
      <c r="A35" s="13"/>
      <c r="B35" s="13"/>
      <c r="C35" s="13"/>
      <c r="D35" s="13"/>
      <c r="E35" s="59"/>
      <c r="F35" s="13"/>
      <c r="G35" s="13"/>
      <c r="H35" s="13"/>
      <c r="I35" s="13"/>
      <c r="J35" s="13"/>
      <c r="K35" s="97"/>
      <c r="L35" s="97"/>
      <c r="M35" s="97"/>
      <c r="N35" s="97"/>
      <c r="O35" s="205"/>
      <c r="P35" s="213"/>
      <c r="Q35" s="213"/>
      <c r="R35" s="213"/>
      <c r="S35" s="213"/>
      <c r="T35" s="213"/>
      <c r="U35" s="213"/>
      <c r="V35" s="213"/>
      <c r="W35" s="213"/>
      <c r="X35" s="213"/>
      <c r="Y35" s="213"/>
      <c r="Z35" s="213"/>
      <c r="AA35" s="213"/>
      <c r="AB35" s="213"/>
      <c r="AC35" s="213"/>
      <c r="AD35" s="213"/>
      <c r="AE35" s="213"/>
      <c r="AF35" s="213"/>
      <c r="AG35" s="213"/>
      <c r="AH35" s="213"/>
      <c r="AI35" s="213"/>
      <c r="AJ35" s="213"/>
      <c r="AK35" s="213"/>
      <c r="AL35" s="213"/>
      <c r="AM35" s="213"/>
      <c r="AN35" s="213"/>
      <c r="AO35" s="213"/>
      <c r="AP35" s="213"/>
      <c r="AQ35" s="213"/>
      <c r="AR35" s="213"/>
      <c r="AS35" s="213"/>
      <c r="AT35" s="213"/>
      <c r="AU35" s="213"/>
      <c r="AV35" s="213"/>
      <c r="AW35" s="213"/>
      <c r="AX35" s="213"/>
      <c r="AY35" s="213"/>
      <c r="AZ35" s="213"/>
      <c r="BA35" s="213"/>
      <c r="BB35" s="213"/>
      <c r="BC35" s="213"/>
      <c r="BD35" s="213"/>
      <c r="BE35" s="213"/>
      <c r="BF35" s="213"/>
      <c r="BG35" s="213"/>
    </row>
    <row r="36" spans="1:59" x14ac:dyDescent="0.2">
      <c r="A36" s="12"/>
      <c r="B36" s="14"/>
      <c r="C36" s="13"/>
      <c r="D36" s="13"/>
      <c r="E36" s="59"/>
      <c r="F36" s="13"/>
      <c r="G36" s="13"/>
      <c r="H36" s="14"/>
      <c r="I36" s="13"/>
      <c r="J36" s="14"/>
      <c r="K36" s="97"/>
      <c r="L36" s="97"/>
      <c r="M36" s="97"/>
      <c r="N36" s="97"/>
      <c r="O36" s="205"/>
      <c r="P36" s="213"/>
      <c r="Q36" s="213"/>
      <c r="R36" s="213"/>
      <c r="S36" s="213"/>
      <c r="T36" s="213"/>
      <c r="U36" s="213"/>
      <c r="V36" s="213"/>
      <c r="W36" s="213"/>
      <c r="X36" s="213"/>
      <c r="Y36" s="213"/>
      <c r="Z36" s="213"/>
      <c r="AA36" s="213"/>
      <c r="AB36" s="213"/>
      <c r="AC36" s="213"/>
      <c r="AD36" s="213"/>
      <c r="AE36" s="213"/>
      <c r="AF36" s="213"/>
      <c r="AG36" s="213"/>
      <c r="AH36" s="213"/>
      <c r="AI36" s="213"/>
      <c r="AJ36" s="213"/>
      <c r="AK36" s="213"/>
      <c r="AL36" s="213"/>
      <c r="AM36" s="213"/>
      <c r="AN36" s="213"/>
      <c r="AO36" s="213"/>
      <c r="AP36" s="213"/>
      <c r="AQ36" s="213"/>
      <c r="AR36" s="213"/>
      <c r="AS36" s="213"/>
      <c r="AT36" s="213"/>
      <c r="AU36" s="213"/>
      <c r="AV36" s="213"/>
      <c r="AW36" s="213"/>
      <c r="AX36" s="213"/>
      <c r="AY36" s="213"/>
      <c r="AZ36" s="213"/>
      <c r="BA36" s="213"/>
      <c r="BB36" s="213"/>
      <c r="BC36" s="213"/>
      <c r="BD36" s="213"/>
      <c r="BE36" s="213"/>
      <c r="BF36" s="213"/>
      <c r="BG36" s="213"/>
    </row>
    <row r="37" spans="1:59" x14ac:dyDescent="0.2">
      <c r="A37" s="5"/>
      <c r="B37" s="5"/>
      <c r="C37" s="5"/>
      <c r="D37" s="5"/>
      <c r="E37" s="60"/>
      <c r="F37" s="5"/>
      <c r="G37" s="5"/>
      <c r="H37" s="5"/>
      <c r="I37" s="5"/>
      <c r="J37" s="5"/>
      <c r="K37" s="97"/>
      <c r="L37" s="97"/>
      <c r="M37" s="97"/>
      <c r="N37" s="97"/>
      <c r="O37" s="205"/>
      <c r="P37" s="213"/>
      <c r="Q37" s="213"/>
      <c r="R37" s="213"/>
      <c r="S37" s="213"/>
      <c r="T37" s="213"/>
      <c r="U37" s="213"/>
      <c r="V37" s="213"/>
      <c r="W37" s="213"/>
      <c r="X37" s="213"/>
      <c r="Y37" s="213"/>
      <c r="Z37" s="213"/>
      <c r="AA37" s="213"/>
      <c r="AB37" s="213"/>
      <c r="AC37" s="213"/>
      <c r="AD37" s="213"/>
      <c r="AE37" s="213"/>
      <c r="AF37" s="213"/>
      <c r="AG37" s="213"/>
      <c r="AH37" s="213"/>
      <c r="AI37" s="213"/>
      <c r="AJ37" s="213"/>
      <c r="AK37" s="213"/>
      <c r="AL37" s="213"/>
      <c r="AM37" s="213"/>
      <c r="AN37" s="213"/>
      <c r="AO37" s="213"/>
      <c r="AP37" s="213"/>
      <c r="AQ37" s="213"/>
      <c r="AR37" s="213"/>
      <c r="AS37" s="213"/>
      <c r="AT37" s="213"/>
      <c r="AU37" s="213"/>
      <c r="AV37" s="213"/>
      <c r="AW37" s="213"/>
      <c r="AX37" s="213"/>
      <c r="AY37" s="213"/>
      <c r="AZ37" s="213"/>
      <c r="BA37" s="213"/>
      <c r="BB37" s="213"/>
      <c r="BC37" s="213"/>
      <c r="BD37" s="213"/>
      <c r="BE37" s="213"/>
      <c r="BF37" s="213"/>
      <c r="BG37" s="213"/>
    </row>
    <row r="38" spans="1:59" x14ac:dyDescent="0.2">
      <c r="A38" s="5"/>
      <c r="B38" s="14"/>
      <c r="C38" s="5"/>
      <c r="D38" s="5"/>
      <c r="E38" s="60"/>
      <c r="F38" s="13"/>
      <c r="G38" s="14"/>
      <c r="H38" s="14"/>
      <c r="I38" s="13"/>
      <c r="J38" s="14"/>
      <c r="K38" s="97"/>
      <c r="L38" s="97"/>
      <c r="M38" s="97"/>
      <c r="N38" s="97"/>
      <c r="O38" s="205"/>
      <c r="P38" s="213"/>
      <c r="Q38" s="213"/>
      <c r="R38" s="213"/>
      <c r="S38" s="213"/>
      <c r="T38" s="213"/>
      <c r="U38" s="213"/>
      <c r="V38" s="213"/>
      <c r="W38" s="213"/>
      <c r="X38" s="213"/>
      <c r="Y38" s="213"/>
      <c r="Z38" s="213"/>
      <c r="AA38" s="213"/>
      <c r="AB38" s="213"/>
      <c r="AC38" s="213"/>
      <c r="AD38" s="213"/>
      <c r="AE38" s="213"/>
      <c r="AF38" s="213"/>
      <c r="AG38" s="213"/>
      <c r="AH38" s="213"/>
      <c r="AI38" s="213"/>
      <c r="AJ38" s="213"/>
      <c r="AK38" s="213"/>
      <c r="AL38" s="213"/>
      <c r="AM38" s="213"/>
      <c r="AN38" s="213"/>
      <c r="AO38" s="213"/>
      <c r="AP38" s="213"/>
      <c r="AQ38" s="213"/>
      <c r="AR38" s="213"/>
      <c r="AS38" s="213"/>
      <c r="AT38" s="213"/>
      <c r="AU38" s="213"/>
      <c r="AV38" s="213"/>
      <c r="AW38" s="213"/>
      <c r="AX38" s="213"/>
      <c r="AY38" s="213"/>
      <c r="AZ38" s="213"/>
      <c r="BA38" s="213"/>
      <c r="BB38" s="213"/>
      <c r="BC38" s="213"/>
      <c r="BD38" s="213"/>
      <c r="BE38" s="213"/>
      <c r="BF38" s="213"/>
      <c r="BG38" s="213"/>
    </row>
    <row r="39" spans="1:59" x14ac:dyDescent="0.2">
      <c r="A39" s="13"/>
      <c r="B39" s="13"/>
      <c r="C39" s="13"/>
      <c r="D39" s="13"/>
      <c r="E39" s="59"/>
      <c r="F39" s="13"/>
      <c r="G39" s="13"/>
      <c r="H39" s="13"/>
      <c r="I39" s="13"/>
      <c r="J39" s="13"/>
      <c r="K39" s="97"/>
      <c r="L39" s="97"/>
      <c r="M39" s="97"/>
      <c r="N39" s="97"/>
      <c r="O39" s="205"/>
      <c r="P39" s="213"/>
      <c r="Q39" s="213"/>
      <c r="R39" s="213"/>
      <c r="S39" s="213"/>
      <c r="T39" s="213"/>
      <c r="U39" s="213"/>
      <c r="V39" s="213"/>
      <c r="W39" s="213"/>
      <c r="X39" s="213"/>
      <c r="Y39" s="213"/>
      <c r="Z39" s="213"/>
      <c r="AA39" s="213"/>
      <c r="AB39" s="213"/>
      <c r="AC39" s="213"/>
      <c r="AD39" s="213"/>
      <c r="AE39" s="213"/>
      <c r="AF39" s="213"/>
      <c r="AG39" s="213"/>
      <c r="AH39" s="213"/>
      <c r="AI39" s="213"/>
      <c r="AJ39" s="213"/>
      <c r="AK39" s="213"/>
      <c r="AL39" s="213"/>
      <c r="AM39" s="213"/>
      <c r="AN39" s="213"/>
      <c r="AO39" s="213"/>
      <c r="AP39" s="213"/>
      <c r="AQ39" s="213"/>
      <c r="AR39" s="213"/>
      <c r="AS39" s="213"/>
      <c r="AT39" s="213"/>
      <c r="AU39" s="213"/>
      <c r="AV39" s="213"/>
      <c r="AW39" s="213"/>
      <c r="AX39" s="213"/>
      <c r="AY39" s="213"/>
      <c r="AZ39" s="213"/>
      <c r="BA39" s="213"/>
      <c r="BB39" s="213"/>
      <c r="BC39" s="213"/>
      <c r="BD39" s="213"/>
      <c r="BE39" s="213"/>
      <c r="BF39" s="213"/>
      <c r="BG39" s="213"/>
    </row>
    <row r="40" spans="1:59" x14ac:dyDescent="0.2">
      <c r="A40" s="12"/>
      <c r="B40" s="13"/>
      <c r="C40" s="13"/>
      <c r="D40" s="13"/>
      <c r="E40" s="59"/>
      <c r="F40" s="13"/>
      <c r="G40" s="13"/>
      <c r="H40" s="13"/>
      <c r="I40" s="13"/>
      <c r="J40" s="13"/>
      <c r="K40" s="97"/>
      <c r="L40" s="157"/>
      <c r="M40" s="157"/>
      <c r="N40" s="157"/>
      <c r="O40" s="206"/>
      <c r="P40" s="213"/>
      <c r="Q40" s="213"/>
      <c r="R40" s="213"/>
      <c r="S40" s="213"/>
      <c r="T40" s="213"/>
      <c r="U40" s="213"/>
      <c r="V40" s="213"/>
      <c r="W40" s="213"/>
      <c r="X40" s="213"/>
      <c r="Y40" s="213"/>
      <c r="Z40" s="213"/>
      <c r="AA40" s="213"/>
      <c r="AB40" s="213"/>
      <c r="AC40" s="213"/>
      <c r="AD40" s="213"/>
      <c r="AE40" s="213"/>
      <c r="AF40" s="213"/>
      <c r="AG40" s="213"/>
      <c r="AH40" s="213"/>
      <c r="AI40" s="213"/>
      <c r="AJ40" s="213"/>
      <c r="AK40" s="213"/>
      <c r="AL40" s="213"/>
      <c r="AM40" s="213"/>
      <c r="AN40" s="213"/>
      <c r="AO40" s="213"/>
      <c r="AP40" s="213"/>
      <c r="AQ40" s="213"/>
      <c r="AR40" s="213"/>
      <c r="AS40" s="213"/>
      <c r="AT40" s="213"/>
      <c r="AU40" s="213"/>
      <c r="AV40" s="213"/>
      <c r="AW40" s="213"/>
      <c r="AX40" s="213"/>
      <c r="AY40" s="213"/>
      <c r="AZ40" s="213"/>
      <c r="BA40" s="213"/>
      <c r="BB40" s="213"/>
      <c r="BC40" s="213"/>
      <c r="BD40" s="213"/>
      <c r="BE40" s="213"/>
      <c r="BF40" s="213"/>
      <c r="BG40" s="213"/>
    </row>
    <row r="41" spans="1:59" x14ac:dyDescent="0.2">
      <c r="A41" s="14"/>
      <c r="B41" s="14"/>
      <c r="C41" s="13"/>
      <c r="D41" s="13"/>
      <c r="E41" s="59"/>
      <c r="F41" s="13"/>
      <c r="G41" s="13"/>
      <c r="H41" s="14"/>
      <c r="I41" s="13"/>
      <c r="J41" s="14"/>
      <c r="K41" s="97"/>
      <c r="L41" s="97"/>
      <c r="M41" s="97"/>
      <c r="N41" s="97"/>
      <c r="O41" s="205"/>
      <c r="P41" s="213"/>
      <c r="Q41" s="213"/>
      <c r="R41" s="213"/>
      <c r="S41" s="213"/>
      <c r="T41" s="213"/>
      <c r="U41" s="213"/>
      <c r="V41" s="213"/>
      <c r="W41" s="213"/>
      <c r="X41" s="213"/>
      <c r="Y41" s="213"/>
      <c r="Z41" s="213"/>
      <c r="AA41" s="213"/>
      <c r="AB41" s="213"/>
      <c r="AC41" s="213"/>
      <c r="AD41" s="213"/>
      <c r="AE41" s="213"/>
      <c r="AF41" s="213"/>
      <c r="AG41" s="213"/>
      <c r="AH41" s="213"/>
      <c r="AI41" s="213"/>
      <c r="AJ41" s="213"/>
      <c r="AK41" s="213"/>
      <c r="AL41" s="213"/>
      <c r="AM41" s="213"/>
      <c r="AN41" s="213"/>
      <c r="AO41" s="213"/>
      <c r="AP41" s="213"/>
      <c r="AQ41" s="213"/>
      <c r="AR41" s="213"/>
      <c r="AS41" s="213"/>
      <c r="AT41" s="213"/>
      <c r="AU41" s="213"/>
      <c r="AV41" s="213"/>
      <c r="AW41" s="213"/>
      <c r="AX41" s="213"/>
      <c r="AY41" s="213"/>
      <c r="AZ41" s="213"/>
      <c r="BA41" s="213"/>
      <c r="BB41" s="213"/>
      <c r="BC41" s="213"/>
      <c r="BD41" s="213"/>
      <c r="BE41" s="213"/>
      <c r="BF41" s="213"/>
      <c r="BG41" s="213"/>
    </row>
    <row r="42" spans="1:59" x14ac:dyDescent="0.2">
      <c r="A42" s="14"/>
      <c r="B42" s="14"/>
      <c r="C42" s="13"/>
      <c r="D42" s="13"/>
      <c r="E42" s="59"/>
      <c r="F42" s="13"/>
      <c r="G42" s="13"/>
      <c r="H42" s="14"/>
      <c r="I42" s="13"/>
      <c r="J42" s="14"/>
      <c r="K42" s="97"/>
      <c r="L42" s="97"/>
      <c r="M42" s="97"/>
      <c r="N42" s="97"/>
      <c r="O42" s="205"/>
      <c r="P42" s="213"/>
      <c r="Q42" s="213"/>
      <c r="R42" s="213"/>
      <c r="S42" s="213"/>
      <c r="T42" s="213"/>
      <c r="U42" s="213"/>
      <c r="V42" s="213"/>
      <c r="W42" s="213"/>
      <c r="X42" s="213"/>
      <c r="Y42" s="213"/>
      <c r="Z42" s="213"/>
      <c r="AA42" s="213"/>
      <c r="AB42" s="213"/>
      <c r="AC42" s="213"/>
      <c r="AD42" s="213"/>
      <c r="AE42" s="213"/>
      <c r="AF42" s="213"/>
      <c r="AG42" s="213"/>
      <c r="AH42" s="213"/>
      <c r="AI42" s="213"/>
      <c r="AJ42" s="213"/>
      <c r="AK42" s="213"/>
      <c r="AL42" s="213"/>
      <c r="AM42" s="213"/>
      <c r="AN42" s="213"/>
      <c r="AO42" s="213"/>
      <c r="AP42" s="213"/>
      <c r="AQ42" s="213"/>
      <c r="AR42" s="213"/>
      <c r="AS42" s="213"/>
      <c r="AT42" s="213"/>
      <c r="AU42" s="213"/>
      <c r="AV42" s="213"/>
      <c r="AW42" s="213"/>
      <c r="AX42" s="213"/>
      <c r="AY42" s="213"/>
      <c r="AZ42" s="213"/>
      <c r="BA42" s="213"/>
      <c r="BB42" s="213"/>
      <c r="BC42" s="213"/>
      <c r="BD42" s="213"/>
      <c r="BE42" s="213"/>
      <c r="BF42" s="213"/>
      <c r="BG42" s="213"/>
    </row>
    <row r="43" spans="1:59" x14ac:dyDescent="0.2">
      <c r="A43" s="14"/>
      <c r="B43" s="13"/>
      <c r="C43" s="13"/>
      <c r="D43" s="13"/>
      <c r="E43" s="59"/>
      <c r="F43" s="13"/>
      <c r="G43" s="13"/>
      <c r="H43" s="13"/>
      <c r="I43" s="13"/>
      <c r="J43" s="13"/>
      <c r="K43" s="97"/>
      <c r="L43" s="97"/>
      <c r="M43" s="97"/>
      <c r="N43" s="97"/>
      <c r="O43" s="205"/>
      <c r="P43" s="213"/>
      <c r="Q43" s="213"/>
      <c r="R43" s="213"/>
      <c r="S43" s="213"/>
      <c r="T43" s="213"/>
      <c r="U43" s="213"/>
      <c r="V43" s="213"/>
      <c r="W43" s="213"/>
      <c r="X43" s="213"/>
      <c r="Y43" s="213"/>
      <c r="Z43" s="213"/>
      <c r="AA43" s="213"/>
      <c r="AB43" s="213"/>
      <c r="AC43" s="213"/>
      <c r="AD43" s="213"/>
      <c r="AE43" s="213"/>
      <c r="AF43" s="213"/>
      <c r="AG43" s="213"/>
      <c r="AH43" s="213"/>
      <c r="AI43" s="213"/>
      <c r="AJ43" s="213"/>
      <c r="AK43" s="213"/>
      <c r="AL43" s="213"/>
      <c r="AM43" s="213"/>
      <c r="AN43" s="213"/>
      <c r="AO43" s="213"/>
      <c r="AP43" s="213"/>
      <c r="AQ43" s="213"/>
      <c r="AR43" s="213"/>
      <c r="AS43" s="213"/>
      <c r="AT43" s="213"/>
      <c r="AU43" s="213"/>
      <c r="AV43" s="213"/>
      <c r="AW43" s="213"/>
      <c r="AX43" s="213"/>
      <c r="AY43" s="213"/>
      <c r="AZ43" s="213"/>
      <c r="BA43" s="213"/>
      <c r="BB43" s="213"/>
      <c r="BC43" s="213"/>
      <c r="BD43" s="213"/>
      <c r="BE43" s="213"/>
      <c r="BF43" s="213"/>
      <c r="BG43" s="213"/>
    </row>
    <row r="44" spans="1:59" x14ac:dyDescent="0.2">
      <c r="A44" s="12"/>
      <c r="B44" s="13"/>
      <c r="C44" s="13"/>
      <c r="D44" s="13"/>
      <c r="E44" s="59"/>
      <c r="F44" s="13"/>
      <c r="G44" s="13"/>
      <c r="H44" s="13"/>
      <c r="I44" s="13"/>
      <c r="J44" s="13"/>
      <c r="K44" s="97"/>
      <c r="L44" s="97"/>
      <c r="M44" s="97"/>
      <c r="N44" s="97"/>
      <c r="O44" s="205"/>
      <c r="P44" s="213"/>
      <c r="Q44" s="213"/>
      <c r="R44" s="213"/>
      <c r="S44" s="213"/>
      <c r="T44" s="213"/>
      <c r="U44" s="213"/>
      <c r="V44" s="213"/>
      <c r="W44" s="213"/>
      <c r="X44" s="213"/>
      <c r="Y44" s="213"/>
      <c r="Z44" s="213"/>
      <c r="AA44" s="213"/>
      <c r="AB44" s="213"/>
      <c r="AC44" s="213"/>
      <c r="AD44" s="213"/>
      <c r="AE44" s="213"/>
      <c r="AF44" s="213"/>
      <c r="AG44" s="213"/>
      <c r="AH44" s="213"/>
      <c r="AI44" s="213"/>
      <c r="AJ44" s="213"/>
      <c r="AK44" s="213"/>
      <c r="AL44" s="213"/>
      <c r="AM44" s="213"/>
      <c r="AN44" s="213"/>
      <c r="AO44" s="213"/>
      <c r="AP44" s="213"/>
      <c r="AQ44" s="213"/>
      <c r="AR44" s="213"/>
      <c r="AS44" s="213"/>
      <c r="AT44" s="213"/>
      <c r="AU44" s="213"/>
      <c r="AV44" s="213"/>
      <c r="AW44" s="213"/>
      <c r="AX44" s="213"/>
      <c r="AY44" s="213"/>
      <c r="AZ44" s="213"/>
      <c r="BA44" s="213"/>
      <c r="BB44" s="213"/>
      <c r="BC44" s="213"/>
      <c r="BD44" s="213"/>
      <c r="BE44" s="213"/>
      <c r="BF44" s="213"/>
      <c r="BG44" s="213"/>
    </row>
    <row r="45" spans="1:59" x14ac:dyDescent="0.2">
      <c r="A45" s="14"/>
      <c r="B45" s="14"/>
      <c r="C45" s="13"/>
      <c r="D45" s="13"/>
      <c r="E45" s="59"/>
      <c r="F45" s="13"/>
      <c r="G45" s="13"/>
      <c r="H45" s="14"/>
      <c r="I45" s="13"/>
      <c r="J45" s="14"/>
      <c r="K45" s="97"/>
      <c r="L45" s="97"/>
      <c r="M45" s="97"/>
      <c r="N45" s="97"/>
      <c r="O45" s="205"/>
      <c r="P45" s="213"/>
      <c r="Q45" s="213"/>
      <c r="R45" s="213"/>
      <c r="S45" s="213"/>
      <c r="T45" s="213"/>
      <c r="U45" s="213"/>
      <c r="V45" s="213"/>
      <c r="W45" s="213"/>
      <c r="X45" s="213"/>
      <c r="Y45" s="213"/>
      <c r="Z45" s="213"/>
      <c r="AA45" s="213"/>
      <c r="AB45" s="213"/>
      <c r="AC45" s="213"/>
      <c r="AD45" s="213"/>
      <c r="AE45" s="213"/>
      <c r="AF45" s="213"/>
      <c r="AG45" s="213"/>
      <c r="AH45" s="213"/>
      <c r="AI45" s="213"/>
      <c r="AJ45" s="213"/>
      <c r="AK45" s="213"/>
      <c r="AL45" s="213"/>
      <c r="AM45" s="213"/>
      <c r="AN45" s="213"/>
      <c r="AO45" s="213"/>
      <c r="AP45" s="213"/>
      <c r="AQ45" s="213"/>
      <c r="AR45" s="213"/>
      <c r="AS45" s="213"/>
      <c r="AT45" s="213"/>
      <c r="AU45" s="213"/>
      <c r="AV45" s="213"/>
      <c r="AW45" s="213"/>
      <c r="AX45" s="213"/>
      <c r="AY45" s="213"/>
      <c r="AZ45" s="213"/>
      <c r="BA45" s="213"/>
      <c r="BB45" s="213"/>
      <c r="BC45" s="213"/>
      <c r="BD45" s="213"/>
      <c r="BE45" s="213"/>
      <c r="BF45" s="213"/>
      <c r="BG45" s="213"/>
    </row>
    <row r="46" spans="1:59" x14ac:dyDescent="0.2">
      <c r="A46" s="14"/>
      <c r="B46" s="14"/>
      <c r="C46" s="13"/>
      <c r="D46" s="13"/>
      <c r="E46" s="59"/>
      <c r="F46" s="13"/>
      <c r="G46" s="13"/>
      <c r="H46" s="14"/>
      <c r="I46" s="13"/>
      <c r="J46" s="14"/>
      <c r="K46" s="97"/>
      <c r="L46" s="97"/>
      <c r="M46" s="97"/>
      <c r="N46" s="97"/>
      <c r="O46" s="205"/>
      <c r="P46" s="213"/>
      <c r="Q46" s="213"/>
      <c r="R46" s="213"/>
      <c r="S46" s="213"/>
      <c r="T46" s="213"/>
      <c r="U46" s="213"/>
      <c r="V46" s="213"/>
      <c r="W46" s="213"/>
      <c r="X46" s="213"/>
      <c r="Y46" s="213"/>
      <c r="Z46" s="213"/>
      <c r="AA46" s="213"/>
      <c r="AB46" s="213"/>
      <c r="AC46" s="213"/>
      <c r="AD46" s="213"/>
      <c r="AE46" s="213"/>
      <c r="AF46" s="213"/>
      <c r="AG46" s="213"/>
      <c r="AH46" s="213"/>
      <c r="AI46" s="213"/>
      <c r="AJ46" s="213"/>
      <c r="AK46" s="213"/>
      <c r="AL46" s="213"/>
      <c r="AM46" s="213"/>
      <c r="AN46" s="213"/>
      <c r="AO46" s="213"/>
      <c r="AP46" s="213"/>
      <c r="AQ46" s="213"/>
      <c r="AR46" s="213"/>
      <c r="AS46" s="213"/>
      <c r="AT46" s="213"/>
      <c r="AU46" s="213"/>
      <c r="AV46" s="213"/>
      <c r="AW46" s="213"/>
      <c r="AX46" s="213"/>
      <c r="AY46" s="213"/>
      <c r="AZ46" s="213"/>
      <c r="BA46" s="213"/>
      <c r="BB46" s="213"/>
      <c r="BC46" s="213"/>
      <c r="BD46" s="213"/>
      <c r="BE46" s="213"/>
      <c r="BF46" s="213"/>
      <c r="BG46" s="213"/>
    </row>
    <row r="47" spans="1:59" x14ac:dyDescent="0.2">
      <c r="A47" s="13"/>
      <c r="B47" s="13"/>
      <c r="C47" s="13"/>
      <c r="D47" s="13"/>
      <c r="E47" s="59"/>
      <c r="F47" s="13"/>
      <c r="G47" s="13"/>
      <c r="H47" s="13"/>
      <c r="I47" s="13"/>
      <c r="J47" s="13"/>
      <c r="K47" s="97"/>
      <c r="L47" s="97"/>
      <c r="M47" s="97"/>
      <c r="N47" s="97"/>
      <c r="O47" s="205"/>
      <c r="P47" s="213"/>
      <c r="Q47" s="213"/>
      <c r="R47" s="213"/>
      <c r="S47" s="213"/>
      <c r="T47" s="213"/>
      <c r="U47" s="213"/>
      <c r="V47" s="213"/>
      <c r="W47" s="213"/>
      <c r="X47" s="213"/>
      <c r="Y47" s="213"/>
      <c r="Z47" s="213"/>
      <c r="AA47" s="213"/>
      <c r="AB47" s="213"/>
      <c r="AC47" s="213"/>
      <c r="AD47" s="213"/>
      <c r="AE47" s="213"/>
      <c r="AF47" s="213"/>
      <c r="AG47" s="213"/>
      <c r="AH47" s="213"/>
      <c r="AI47" s="213"/>
      <c r="AJ47" s="213"/>
      <c r="AK47" s="213"/>
      <c r="AL47" s="213"/>
      <c r="AM47" s="213"/>
      <c r="AN47" s="213"/>
      <c r="AO47" s="213"/>
      <c r="AP47" s="213"/>
      <c r="AQ47" s="213"/>
      <c r="AR47" s="213"/>
      <c r="AS47" s="213"/>
      <c r="AT47" s="213"/>
      <c r="AU47" s="213"/>
      <c r="AV47" s="213"/>
      <c r="AW47" s="213"/>
      <c r="AX47" s="213"/>
      <c r="AY47" s="213"/>
      <c r="AZ47" s="213"/>
      <c r="BA47" s="213"/>
      <c r="BB47" s="213"/>
      <c r="BC47" s="213"/>
      <c r="BD47" s="213"/>
      <c r="BE47" s="213"/>
      <c r="BF47" s="213"/>
      <c r="BG47" s="213"/>
    </row>
    <row r="48" spans="1:59" x14ac:dyDescent="0.2">
      <c r="A48" s="13"/>
      <c r="B48" s="13"/>
      <c r="C48" s="13"/>
      <c r="D48" s="13"/>
      <c r="E48" s="59"/>
      <c r="F48" s="13"/>
      <c r="G48" s="13"/>
      <c r="H48" s="13"/>
      <c r="I48" s="13"/>
      <c r="J48" s="13"/>
      <c r="K48" s="97"/>
      <c r="L48" s="97"/>
      <c r="M48" s="97"/>
      <c r="N48" s="97"/>
      <c r="O48" s="205"/>
      <c r="P48" s="213"/>
      <c r="Q48" s="213"/>
      <c r="R48" s="213"/>
      <c r="S48" s="213"/>
      <c r="T48" s="213"/>
      <c r="U48" s="213"/>
      <c r="V48" s="213"/>
      <c r="W48" s="213"/>
      <c r="X48" s="213"/>
      <c r="Y48" s="213"/>
      <c r="Z48" s="213"/>
      <c r="AA48" s="213"/>
      <c r="AB48" s="213"/>
      <c r="AC48" s="213"/>
      <c r="AD48" s="213"/>
      <c r="AE48" s="213"/>
      <c r="AF48" s="213"/>
      <c r="AG48" s="213"/>
      <c r="AH48" s="213"/>
      <c r="AI48" s="213"/>
      <c r="AJ48" s="213"/>
      <c r="AK48" s="213"/>
      <c r="AL48" s="213"/>
      <c r="AM48" s="213"/>
      <c r="AN48" s="213"/>
      <c r="AO48" s="213"/>
      <c r="AP48" s="213"/>
      <c r="AQ48" s="213"/>
      <c r="AR48" s="213"/>
      <c r="AS48" s="213"/>
      <c r="AT48" s="213"/>
      <c r="AU48" s="213"/>
      <c r="AV48" s="213"/>
      <c r="AW48" s="213"/>
      <c r="AX48" s="213"/>
      <c r="AY48" s="213"/>
      <c r="AZ48" s="213"/>
      <c r="BA48" s="213"/>
      <c r="BB48" s="213"/>
      <c r="BC48" s="213"/>
      <c r="BD48" s="213"/>
      <c r="BE48" s="213"/>
      <c r="BF48" s="213"/>
      <c r="BG48" s="213"/>
    </row>
    <row r="49" spans="1:59" x14ac:dyDescent="0.2">
      <c r="A49" s="12"/>
      <c r="B49" s="13"/>
      <c r="C49" s="13"/>
      <c r="D49" s="13"/>
      <c r="E49" s="59"/>
      <c r="F49" s="13"/>
      <c r="G49" s="13"/>
      <c r="H49" s="13"/>
      <c r="I49" s="13"/>
      <c r="J49" s="13"/>
      <c r="K49" s="97"/>
      <c r="L49" s="97"/>
      <c r="M49" s="97"/>
      <c r="N49" s="97"/>
      <c r="O49" s="205"/>
      <c r="P49" s="213"/>
      <c r="Q49" s="213"/>
      <c r="R49" s="213"/>
      <c r="S49" s="213"/>
      <c r="T49" s="213"/>
      <c r="U49" s="213"/>
      <c r="V49" s="213"/>
      <c r="W49" s="213"/>
      <c r="X49" s="213"/>
      <c r="Y49" s="213"/>
      <c r="Z49" s="213"/>
      <c r="AA49" s="213"/>
      <c r="AB49" s="213"/>
      <c r="AC49" s="213"/>
      <c r="AD49" s="213"/>
      <c r="AE49" s="213"/>
      <c r="AF49" s="213"/>
      <c r="AG49" s="213"/>
      <c r="AH49" s="213"/>
      <c r="AI49" s="213"/>
      <c r="AJ49" s="213"/>
      <c r="AK49" s="213"/>
      <c r="AL49" s="213"/>
      <c r="AM49" s="213"/>
      <c r="AN49" s="213"/>
      <c r="AO49" s="213"/>
      <c r="AP49" s="213"/>
      <c r="AQ49" s="213"/>
      <c r="AR49" s="213"/>
      <c r="AS49" s="213"/>
      <c r="AT49" s="213"/>
      <c r="AU49" s="213"/>
      <c r="AV49" s="213"/>
      <c r="AW49" s="213"/>
      <c r="AX49" s="213"/>
      <c r="AY49" s="213"/>
      <c r="AZ49" s="213"/>
      <c r="BA49" s="213"/>
      <c r="BB49" s="213"/>
      <c r="BC49" s="213"/>
      <c r="BD49" s="213"/>
      <c r="BE49" s="213"/>
      <c r="BF49" s="213"/>
      <c r="BG49" s="213"/>
    </row>
    <row r="50" spans="1:59" x14ac:dyDescent="0.2">
      <c r="A50" s="13"/>
      <c r="B50" s="13"/>
      <c r="C50" s="13"/>
      <c r="D50" s="13"/>
      <c r="E50" s="59"/>
      <c r="F50" s="13"/>
      <c r="G50" s="13"/>
      <c r="H50" s="13"/>
      <c r="I50" s="13"/>
      <c r="J50" s="13"/>
      <c r="K50" s="97"/>
      <c r="L50" s="97"/>
      <c r="M50" s="97"/>
      <c r="N50" s="97"/>
      <c r="O50" s="205"/>
      <c r="P50" s="213"/>
      <c r="Q50" s="213"/>
      <c r="R50" s="213"/>
      <c r="S50" s="213"/>
      <c r="T50" s="213"/>
      <c r="U50" s="213"/>
      <c r="V50" s="213"/>
      <c r="W50" s="213"/>
      <c r="X50" s="213"/>
      <c r="Y50" s="213"/>
      <c r="Z50" s="213"/>
      <c r="AA50" s="213"/>
      <c r="AB50" s="213"/>
      <c r="AC50" s="213"/>
      <c r="AD50" s="213"/>
      <c r="AE50" s="213"/>
      <c r="AF50" s="213"/>
      <c r="AG50" s="213"/>
      <c r="AH50" s="213"/>
      <c r="AI50" s="213"/>
      <c r="AJ50" s="213"/>
      <c r="AK50" s="213"/>
      <c r="AL50" s="213"/>
      <c r="AM50" s="213"/>
      <c r="AN50" s="213"/>
      <c r="AO50" s="213"/>
      <c r="AP50" s="213"/>
      <c r="AQ50" s="213"/>
      <c r="AR50" s="213"/>
      <c r="AS50" s="213"/>
      <c r="AT50" s="213"/>
      <c r="AU50" s="213"/>
      <c r="AV50" s="213"/>
      <c r="AW50" s="213"/>
      <c r="AX50" s="213"/>
      <c r="AY50" s="213"/>
      <c r="AZ50" s="213"/>
      <c r="BA50" s="213"/>
      <c r="BB50" s="213"/>
      <c r="BC50" s="213"/>
      <c r="BD50" s="213"/>
      <c r="BE50" s="213"/>
      <c r="BF50" s="213"/>
      <c r="BG50" s="213"/>
    </row>
    <row r="51" spans="1:59" x14ac:dyDescent="0.2">
      <c r="A51" s="13"/>
      <c r="B51" s="13"/>
      <c r="C51" s="13"/>
      <c r="D51" s="13"/>
      <c r="E51" s="59"/>
      <c r="F51" s="13"/>
      <c r="G51" s="13"/>
      <c r="H51" s="13"/>
      <c r="I51" s="13"/>
      <c r="J51" s="13"/>
      <c r="K51" s="97"/>
      <c r="L51" s="97"/>
      <c r="M51" s="97"/>
      <c r="N51" s="97"/>
      <c r="O51" s="205"/>
      <c r="P51" s="213"/>
      <c r="Q51" s="213"/>
      <c r="R51" s="213"/>
      <c r="S51" s="213"/>
      <c r="T51" s="213"/>
      <c r="U51" s="213"/>
      <c r="V51" s="213"/>
      <c r="W51" s="213"/>
      <c r="X51" s="213"/>
      <c r="Y51" s="213"/>
      <c r="Z51" s="213"/>
      <c r="AA51" s="213"/>
      <c r="AB51" s="213"/>
      <c r="AC51" s="213"/>
      <c r="AD51" s="213"/>
      <c r="AE51" s="213"/>
      <c r="AF51" s="213"/>
      <c r="AG51" s="213"/>
      <c r="AH51" s="213"/>
      <c r="AI51" s="213"/>
      <c r="AJ51" s="213"/>
      <c r="AK51" s="213"/>
      <c r="AL51" s="213"/>
      <c r="AM51" s="213"/>
      <c r="AN51" s="213"/>
      <c r="AO51" s="213"/>
      <c r="AP51" s="213"/>
      <c r="AQ51" s="213"/>
      <c r="AR51" s="213"/>
      <c r="AS51" s="213"/>
      <c r="AT51" s="213"/>
      <c r="AU51" s="213"/>
      <c r="AV51" s="213"/>
      <c r="AW51" s="213"/>
      <c r="AX51" s="213"/>
      <c r="AY51" s="213"/>
      <c r="AZ51" s="213"/>
      <c r="BA51" s="213"/>
      <c r="BB51" s="213"/>
      <c r="BC51" s="213"/>
      <c r="BD51" s="213"/>
      <c r="BE51" s="213"/>
      <c r="BF51" s="213"/>
      <c r="BG51" s="213"/>
    </row>
    <row r="52" spans="1:59" x14ac:dyDescent="0.2">
      <c r="A52" s="13"/>
      <c r="B52" s="13"/>
      <c r="C52" s="13"/>
      <c r="D52" s="13"/>
      <c r="E52" s="59"/>
      <c r="F52" s="13"/>
      <c r="G52" s="13"/>
      <c r="H52" s="13"/>
      <c r="I52" s="13"/>
      <c r="J52" s="13"/>
      <c r="K52" s="97"/>
      <c r="L52" s="97"/>
      <c r="M52" s="97"/>
      <c r="N52" s="97"/>
      <c r="O52" s="205"/>
      <c r="P52" s="213"/>
      <c r="Q52" s="213"/>
      <c r="R52" s="213"/>
      <c r="S52" s="213"/>
      <c r="T52" s="213"/>
      <c r="U52" s="213"/>
      <c r="V52" s="213"/>
      <c r="W52" s="213"/>
      <c r="X52" s="213"/>
      <c r="Y52" s="213"/>
      <c r="Z52" s="213"/>
      <c r="AA52" s="213"/>
      <c r="AB52" s="213"/>
      <c r="AC52" s="213"/>
      <c r="AD52" s="213"/>
      <c r="AE52" s="213"/>
      <c r="AF52" s="213"/>
      <c r="AG52" s="213"/>
      <c r="AH52" s="213"/>
      <c r="AI52" s="213"/>
      <c r="AJ52" s="213"/>
      <c r="AK52" s="213"/>
      <c r="AL52" s="213"/>
      <c r="AM52" s="213"/>
      <c r="AN52" s="213"/>
      <c r="AO52" s="213"/>
      <c r="AP52" s="213"/>
      <c r="AQ52" s="213"/>
      <c r="AR52" s="213"/>
      <c r="AS52" s="213"/>
      <c r="AT52" s="213"/>
      <c r="AU52" s="213"/>
      <c r="AV52" s="213"/>
      <c r="AW52" s="213"/>
      <c r="AX52" s="213"/>
      <c r="AY52" s="213"/>
      <c r="AZ52" s="213"/>
      <c r="BA52" s="213"/>
      <c r="BB52" s="213"/>
      <c r="BC52" s="213"/>
      <c r="BD52" s="213"/>
      <c r="BE52" s="213"/>
      <c r="BF52" s="213"/>
      <c r="BG52" s="213"/>
    </row>
    <row r="53" spans="1:59" x14ac:dyDescent="0.2">
      <c r="A53" s="13"/>
      <c r="B53" s="13"/>
      <c r="C53" s="13"/>
      <c r="D53" s="13"/>
      <c r="E53" s="59"/>
      <c r="F53" s="13"/>
      <c r="G53" s="13"/>
      <c r="H53" s="13"/>
      <c r="I53" s="13"/>
      <c r="J53" s="13"/>
      <c r="K53" s="97"/>
      <c r="L53" s="97"/>
      <c r="M53" s="97"/>
      <c r="N53" s="97"/>
      <c r="O53" s="205"/>
      <c r="P53" s="213"/>
      <c r="Q53" s="213"/>
      <c r="R53" s="213"/>
      <c r="S53" s="213"/>
      <c r="T53" s="213"/>
      <c r="U53" s="213"/>
      <c r="V53" s="213"/>
      <c r="W53" s="213"/>
      <c r="X53" s="213"/>
      <c r="Y53" s="213"/>
      <c r="Z53" s="213"/>
      <c r="AA53" s="213"/>
      <c r="AB53" s="213"/>
      <c r="AC53" s="213"/>
      <c r="AD53" s="213"/>
      <c r="AE53" s="213"/>
      <c r="AF53" s="213"/>
      <c r="AG53" s="213"/>
      <c r="AH53" s="213"/>
      <c r="AI53" s="213"/>
      <c r="AJ53" s="213"/>
      <c r="AK53" s="213"/>
      <c r="AL53" s="213"/>
      <c r="AM53" s="213"/>
      <c r="AN53" s="213"/>
      <c r="AO53" s="213"/>
      <c r="AP53" s="213"/>
      <c r="AQ53" s="213"/>
      <c r="AR53" s="213"/>
      <c r="AS53" s="213"/>
      <c r="AT53" s="213"/>
      <c r="AU53" s="213"/>
      <c r="AV53" s="213"/>
      <c r="AW53" s="213"/>
      <c r="AX53" s="213"/>
      <c r="AY53" s="213"/>
      <c r="AZ53" s="213"/>
      <c r="BA53" s="213"/>
      <c r="BB53" s="213"/>
      <c r="BC53" s="213"/>
      <c r="BD53" s="213"/>
      <c r="BE53" s="213"/>
      <c r="BF53" s="213"/>
      <c r="BG53" s="213"/>
    </row>
    <row r="54" spans="1:59" x14ac:dyDescent="0.2">
      <c r="A54" s="14"/>
      <c r="B54" s="13"/>
      <c r="C54" s="13"/>
      <c r="D54" s="13"/>
      <c r="E54" s="59"/>
      <c r="F54" s="13"/>
      <c r="G54" s="13"/>
      <c r="H54" s="14"/>
      <c r="I54" s="13"/>
      <c r="J54" s="13"/>
      <c r="K54" s="157"/>
      <c r="L54" s="97"/>
      <c r="M54" s="97"/>
      <c r="N54" s="97"/>
      <c r="O54" s="205"/>
      <c r="P54" s="213"/>
      <c r="Q54" s="213"/>
      <c r="R54" s="213"/>
      <c r="S54" s="213"/>
      <c r="T54" s="213"/>
      <c r="U54" s="213"/>
      <c r="V54" s="213"/>
      <c r="W54" s="213"/>
      <c r="X54" s="213"/>
      <c r="Y54" s="213"/>
      <c r="Z54" s="213"/>
      <c r="AA54" s="213"/>
      <c r="AB54" s="213"/>
      <c r="AC54" s="213"/>
      <c r="AD54" s="213"/>
      <c r="AE54" s="213"/>
      <c r="AF54" s="213"/>
      <c r="AG54" s="213"/>
      <c r="AH54" s="213"/>
      <c r="AI54" s="213"/>
      <c r="AJ54" s="213"/>
      <c r="AK54" s="213"/>
      <c r="AL54" s="213"/>
      <c r="AM54" s="213"/>
      <c r="AN54" s="213"/>
      <c r="AO54" s="213"/>
      <c r="AP54" s="213"/>
      <c r="AQ54" s="213"/>
      <c r="AR54" s="213"/>
      <c r="AS54" s="213"/>
      <c r="AT54" s="213"/>
      <c r="AU54" s="213"/>
      <c r="AV54" s="213"/>
      <c r="AW54" s="213"/>
      <c r="AX54" s="213"/>
      <c r="AY54" s="213"/>
      <c r="AZ54" s="213"/>
      <c r="BA54" s="213"/>
      <c r="BB54" s="213"/>
      <c r="BC54" s="213"/>
      <c r="BD54" s="213"/>
      <c r="BE54" s="213"/>
      <c r="BF54" s="213"/>
      <c r="BG54" s="213"/>
    </row>
    <row r="55" spans="1:59" x14ac:dyDescent="0.2">
      <c r="A55" s="13"/>
      <c r="B55" s="13"/>
      <c r="C55" s="13"/>
      <c r="D55" s="13"/>
      <c r="E55" s="59"/>
      <c r="F55" s="13"/>
      <c r="G55" s="13"/>
      <c r="H55" s="13"/>
      <c r="I55" s="13"/>
      <c r="J55" s="13"/>
      <c r="K55" s="97"/>
      <c r="L55" s="97"/>
      <c r="M55" s="97"/>
      <c r="N55" s="97"/>
      <c r="O55" s="206"/>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row>
    <row r="56" spans="1:59" x14ac:dyDescent="0.2">
      <c r="A56" s="5"/>
      <c r="B56" s="5"/>
      <c r="C56" s="5"/>
      <c r="D56" s="5"/>
      <c r="E56" s="60"/>
      <c r="F56" s="5"/>
      <c r="G56" s="5"/>
      <c r="H56" s="5"/>
      <c r="I56" s="5"/>
      <c r="J56" s="5"/>
      <c r="K56" s="97"/>
      <c r="L56" s="97"/>
      <c r="M56" s="97"/>
      <c r="N56" s="97"/>
      <c r="O56" s="206"/>
      <c r="P56" s="213"/>
      <c r="Q56" s="213"/>
      <c r="R56" s="213"/>
      <c r="S56" s="213"/>
      <c r="T56" s="213"/>
      <c r="U56" s="213"/>
      <c r="V56" s="213"/>
      <c r="W56" s="213"/>
      <c r="X56" s="213"/>
      <c r="Y56" s="213"/>
      <c r="Z56" s="213"/>
      <c r="AA56" s="213"/>
      <c r="AB56" s="213"/>
      <c r="AC56" s="213"/>
      <c r="AD56" s="213"/>
      <c r="AE56" s="213"/>
      <c r="AF56" s="213"/>
      <c r="AG56" s="213"/>
      <c r="AH56" s="213"/>
      <c r="AI56" s="213"/>
      <c r="AJ56" s="213"/>
      <c r="AK56" s="213"/>
      <c r="AL56" s="213"/>
      <c r="AM56" s="213"/>
      <c r="AN56" s="213"/>
      <c r="AO56" s="213"/>
      <c r="AP56" s="213"/>
      <c r="AQ56" s="213"/>
      <c r="AR56" s="213"/>
      <c r="AS56" s="213"/>
      <c r="AT56" s="213"/>
      <c r="AU56" s="213"/>
      <c r="AV56" s="213"/>
      <c r="AW56" s="213"/>
      <c r="AX56" s="213"/>
      <c r="AY56" s="213"/>
      <c r="AZ56" s="213"/>
      <c r="BA56" s="213"/>
      <c r="BB56" s="213"/>
      <c r="BC56" s="213"/>
      <c r="BD56" s="213"/>
      <c r="BE56" s="213"/>
      <c r="BF56" s="213"/>
      <c r="BG56" s="213"/>
    </row>
    <row r="57" spans="1:59" x14ac:dyDescent="0.2">
      <c r="A57" s="5"/>
      <c r="B57" s="5"/>
      <c r="C57" s="5"/>
      <c r="D57" s="5"/>
      <c r="E57" s="201"/>
      <c r="F57" s="5"/>
      <c r="G57" s="5"/>
      <c r="H57" s="5"/>
      <c r="I57" s="5"/>
      <c r="J57" s="5"/>
      <c r="K57" s="97"/>
      <c r="L57" s="97"/>
      <c r="M57" s="97"/>
      <c r="N57" s="97"/>
      <c r="O57" s="206"/>
      <c r="P57" s="213"/>
      <c r="Q57" s="213"/>
      <c r="R57" s="213"/>
      <c r="S57" s="213"/>
      <c r="T57" s="213"/>
      <c r="U57" s="213"/>
      <c r="V57" s="213"/>
      <c r="W57" s="213"/>
      <c r="X57" s="213"/>
      <c r="Y57" s="213"/>
      <c r="Z57" s="213"/>
      <c r="AA57" s="213"/>
      <c r="AB57" s="213"/>
      <c r="AC57" s="213"/>
      <c r="AD57" s="213"/>
      <c r="AE57" s="213"/>
      <c r="AF57" s="213"/>
      <c r="AG57" s="213"/>
      <c r="AH57" s="213"/>
      <c r="AI57" s="213"/>
      <c r="AJ57" s="213"/>
      <c r="AK57" s="213"/>
      <c r="AL57" s="213"/>
      <c r="AM57" s="213"/>
      <c r="AN57" s="213"/>
      <c r="AO57" s="213"/>
      <c r="AP57" s="213"/>
      <c r="AQ57" s="213"/>
      <c r="AR57" s="213"/>
      <c r="AS57" s="213"/>
      <c r="AT57" s="213"/>
      <c r="AU57" s="213"/>
      <c r="AV57" s="213"/>
      <c r="AW57" s="213"/>
      <c r="AX57" s="213"/>
      <c r="AY57" s="213"/>
      <c r="AZ57" s="213"/>
      <c r="BA57" s="213"/>
      <c r="BB57" s="213"/>
      <c r="BC57" s="213"/>
      <c r="BD57" s="213"/>
      <c r="BE57" s="213"/>
      <c r="BF57" s="213"/>
      <c r="BG57" s="213"/>
    </row>
    <row r="58" spans="1:59" x14ac:dyDescent="0.2">
      <c r="A58" s="3"/>
      <c r="B58" s="5"/>
      <c r="C58" s="5"/>
      <c r="D58" s="5"/>
      <c r="E58" s="60"/>
      <c r="F58" s="5"/>
      <c r="G58" s="5"/>
      <c r="H58" s="3"/>
      <c r="I58" s="5"/>
      <c r="J58" s="3"/>
      <c r="K58" s="97"/>
      <c r="L58" s="97"/>
      <c r="M58" s="97"/>
      <c r="N58" s="97"/>
      <c r="O58" s="206"/>
      <c r="P58" s="213"/>
      <c r="Q58" s="213"/>
      <c r="R58" s="213"/>
      <c r="S58" s="213"/>
      <c r="T58" s="213"/>
      <c r="U58" s="213"/>
      <c r="V58" s="213"/>
      <c r="W58" s="213"/>
      <c r="X58" s="213"/>
      <c r="Y58" s="213"/>
      <c r="Z58" s="213"/>
      <c r="AA58" s="213"/>
      <c r="AB58" s="213"/>
      <c r="AC58" s="213"/>
      <c r="AD58" s="213"/>
      <c r="AE58" s="213"/>
      <c r="AF58" s="213"/>
      <c r="AG58" s="213"/>
      <c r="AH58" s="213"/>
      <c r="AI58" s="213"/>
      <c r="AJ58" s="213"/>
      <c r="AK58" s="213"/>
      <c r="AL58" s="213"/>
      <c r="AM58" s="213"/>
      <c r="AN58" s="213"/>
      <c r="AO58" s="213"/>
      <c r="AP58" s="213"/>
      <c r="AQ58" s="213"/>
      <c r="AR58" s="213"/>
      <c r="AS58" s="213"/>
      <c r="AT58" s="213"/>
      <c r="AU58" s="213"/>
      <c r="AV58" s="213"/>
      <c r="AW58" s="213"/>
      <c r="AX58" s="213"/>
      <c r="AY58" s="213"/>
      <c r="AZ58" s="213"/>
      <c r="BA58" s="213"/>
      <c r="BB58" s="213"/>
      <c r="BC58" s="213"/>
      <c r="BD58" s="213"/>
      <c r="BE58" s="213"/>
      <c r="BF58" s="213"/>
      <c r="BG58" s="213"/>
    </row>
    <row r="59" spans="1:59" x14ac:dyDescent="0.2">
      <c r="A59" s="3"/>
      <c r="B59" s="3"/>
      <c r="C59" s="5"/>
      <c r="D59" s="5"/>
      <c r="E59" s="60"/>
      <c r="F59" s="5"/>
      <c r="G59" s="5"/>
      <c r="H59" s="3"/>
      <c r="I59" s="5"/>
      <c r="J59" s="3"/>
      <c r="K59" s="97"/>
      <c r="L59" s="97"/>
      <c r="M59" s="97"/>
      <c r="N59" s="97"/>
      <c r="O59" s="205"/>
      <c r="P59" s="213"/>
      <c r="Q59" s="213"/>
      <c r="R59" s="213"/>
      <c r="S59" s="213"/>
      <c r="T59" s="213"/>
      <c r="U59" s="213"/>
      <c r="V59" s="213"/>
      <c r="W59" s="213"/>
      <c r="X59" s="213"/>
      <c r="Y59" s="213"/>
      <c r="Z59" s="213"/>
      <c r="AA59" s="213"/>
      <c r="AB59" s="213"/>
      <c r="AC59" s="213"/>
      <c r="AD59" s="213"/>
      <c r="AE59" s="213"/>
      <c r="AF59" s="213"/>
      <c r="AG59" s="213"/>
      <c r="AH59" s="213"/>
      <c r="AI59" s="213"/>
      <c r="AJ59" s="213"/>
      <c r="AK59" s="213"/>
      <c r="AL59" s="213"/>
      <c r="AM59" s="213"/>
      <c r="AN59" s="213"/>
      <c r="AO59" s="213"/>
      <c r="AP59" s="213"/>
      <c r="AQ59" s="213"/>
      <c r="AR59" s="213"/>
      <c r="AS59" s="213"/>
      <c r="AT59" s="213"/>
      <c r="AU59" s="213"/>
      <c r="AV59" s="213"/>
      <c r="AW59" s="213"/>
      <c r="AX59" s="213"/>
      <c r="AY59" s="213"/>
      <c r="AZ59" s="213"/>
      <c r="BA59" s="213"/>
      <c r="BB59" s="213"/>
      <c r="BC59" s="213"/>
      <c r="BD59" s="213"/>
      <c r="BE59" s="213"/>
      <c r="BF59" s="213"/>
      <c r="BG59" s="213"/>
    </row>
    <row r="60" spans="1:59" x14ac:dyDescent="0.2">
      <c r="A60" s="12"/>
      <c r="B60" s="13"/>
      <c r="C60" s="13"/>
      <c r="D60" s="13"/>
      <c r="E60" s="59"/>
      <c r="F60" s="13"/>
      <c r="G60" s="13"/>
      <c r="H60" s="13"/>
      <c r="I60" s="13"/>
      <c r="J60" s="13"/>
      <c r="K60" s="97"/>
      <c r="L60" s="97"/>
      <c r="M60" s="97"/>
      <c r="N60" s="97"/>
      <c r="O60" s="205"/>
      <c r="P60" s="213"/>
      <c r="Q60" s="213"/>
      <c r="R60" s="213"/>
      <c r="S60" s="213"/>
      <c r="T60" s="213"/>
      <c r="U60" s="213"/>
      <c r="V60" s="213"/>
      <c r="W60" s="213"/>
      <c r="X60" s="213"/>
      <c r="Y60" s="213"/>
      <c r="Z60" s="213"/>
      <c r="AA60" s="213"/>
      <c r="AB60" s="213"/>
      <c r="AC60" s="213"/>
      <c r="AD60" s="213"/>
      <c r="AE60" s="213"/>
      <c r="AF60" s="213"/>
      <c r="AG60" s="213"/>
      <c r="AH60" s="213"/>
      <c r="AI60" s="213"/>
      <c r="AJ60" s="213"/>
      <c r="AK60" s="213"/>
      <c r="AL60" s="213"/>
      <c r="AM60" s="213"/>
      <c r="AN60" s="213"/>
      <c r="AO60" s="213"/>
      <c r="AP60" s="213"/>
      <c r="AQ60" s="213"/>
      <c r="AR60" s="213"/>
      <c r="AS60" s="213"/>
      <c r="AT60" s="213"/>
      <c r="AU60" s="213"/>
      <c r="AV60" s="213"/>
      <c r="AW60" s="213"/>
      <c r="AX60" s="213"/>
      <c r="AY60" s="213"/>
      <c r="AZ60" s="213"/>
      <c r="BA60" s="213"/>
      <c r="BB60" s="213"/>
      <c r="BC60" s="213"/>
      <c r="BD60" s="213"/>
      <c r="BE60" s="213"/>
      <c r="BF60" s="213"/>
      <c r="BG60" s="213"/>
    </row>
    <row r="61" spans="1:59" x14ac:dyDescent="0.2">
      <c r="A61" s="14"/>
      <c r="B61" s="14"/>
      <c r="C61" s="13"/>
      <c r="D61" s="13"/>
      <c r="E61" s="158"/>
      <c r="F61" s="13"/>
      <c r="G61" s="14"/>
      <c r="H61" s="14"/>
      <c r="I61" s="13"/>
      <c r="J61" s="14"/>
      <c r="K61" s="97"/>
      <c r="L61" s="97"/>
      <c r="M61" s="97"/>
      <c r="N61" s="97"/>
      <c r="O61" s="205"/>
      <c r="P61" s="213"/>
      <c r="Q61" s="213"/>
      <c r="R61" s="213"/>
      <c r="S61" s="213"/>
      <c r="T61" s="213"/>
      <c r="U61" s="213"/>
      <c r="V61" s="213"/>
      <c r="W61" s="213"/>
      <c r="X61" s="213"/>
      <c r="Y61" s="213"/>
      <c r="Z61" s="213"/>
      <c r="AA61" s="213"/>
      <c r="AB61" s="213"/>
      <c r="AC61" s="213"/>
      <c r="AD61" s="213"/>
      <c r="AE61" s="213"/>
      <c r="AF61" s="213"/>
      <c r="AG61" s="213"/>
      <c r="AH61" s="213"/>
      <c r="AI61" s="213"/>
      <c r="AJ61" s="213"/>
      <c r="AK61" s="213"/>
      <c r="AL61" s="213"/>
      <c r="AM61" s="213"/>
      <c r="AN61" s="213"/>
      <c r="AO61" s="213"/>
      <c r="AP61" s="213"/>
      <c r="AQ61" s="213"/>
      <c r="AR61" s="213"/>
      <c r="AS61" s="213"/>
      <c r="AT61" s="213"/>
      <c r="AU61" s="213"/>
      <c r="AV61" s="213"/>
      <c r="AW61" s="213"/>
      <c r="AX61" s="213"/>
      <c r="AY61" s="213"/>
      <c r="AZ61" s="213"/>
      <c r="BA61" s="213"/>
      <c r="BB61" s="213"/>
      <c r="BC61" s="213"/>
      <c r="BD61" s="213"/>
      <c r="BE61" s="213"/>
      <c r="BF61" s="213"/>
      <c r="BG61" s="213"/>
    </row>
    <row r="62" spans="1:59" x14ac:dyDescent="0.2">
      <c r="A62" s="13"/>
      <c r="B62" s="13"/>
      <c r="C62" s="13"/>
      <c r="D62" s="13"/>
      <c r="E62" s="59"/>
      <c r="F62" s="13"/>
      <c r="G62" s="13"/>
      <c r="H62" s="13"/>
      <c r="I62" s="13"/>
      <c r="J62" s="13"/>
      <c r="K62" s="97"/>
      <c r="L62" s="97"/>
      <c r="M62" s="97"/>
      <c r="N62" s="97"/>
      <c r="O62" s="205"/>
      <c r="P62" s="213"/>
      <c r="Q62" s="213"/>
      <c r="R62" s="213"/>
      <c r="S62" s="213"/>
      <c r="T62" s="213"/>
      <c r="U62" s="213"/>
      <c r="V62" s="213"/>
      <c r="W62" s="213"/>
      <c r="X62" s="213"/>
      <c r="Y62" s="213"/>
      <c r="Z62" s="213"/>
      <c r="AA62" s="213"/>
      <c r="AB62" s="213"/>
      <c r="AC62" s="213"/>
      <c r="AD62" s="213"/>
      <c r="AE62" s="213"/>
      <c r="AF62" s="213"/>
      <c r="AG62" s="213"/>
      <c r="AH62" s="213"/>
      <c r="AI62" s="213"/>
      <c r="AJ62" s="213"/>
      <c r="AK62" s="213"/>
      <c r="AL62" s="213"/>
      <c r="AM62" s="213"/>
      <c r="AN62" s="213"/>
      <c r="AO62" s="213"/>
      <c r="AP62" s="213"/>
      <c r="AQ62" s="213"/>
      <c r="AR62" s="213"/>
      <c r="AS62" s="213"/>
      <c r="AT62" s="213"/>
      <c r="AU62" s="213"/>
      <c r="AV62" s="213"/>
      <c r="AW62" s="213"/>
      <c r="AX62" s="213"/>
      <c r="AY62" s="213"/>
      <c r="AZ62" s="213"/>
      <c r="BA62" s="213"/>
      <c r="BB62" s="213"/>
      <c r="BC62" s="213"/>
      <c r="BD62" s="213"/>
      <c r="BE62" s="213"/>
      <c r="BF62" s="213"/>
      <c r="BG62" s="213"/>
    </row>
    <row r="63" spans="1:59" x14ac:dyDescent="0.2">
      <c r="A63" s="13"/>
      <c r="B63" s="13"/>
      <c r="C63" s="13"/>
      <c r="D63" s="13"/>
      <c r="E63" s="59"/>
      <c r="F63" s="13"/>
      <c r="G63" s="13"/>
      <c r="H63" s="14"/>
      <c r="I63" s="13"/>
      <c r="J63" s="13"/>
      <c r="K63" s="97"/>
      <c r="L63" s="97"/>
      <c r="M63" s="97"/>
      <c r="N63" s="97"/>
      <c r="O63" s="205"/>
      <c r="P63" s="213"/>
      <c r="Q63" s="213"/>
      <c r="R63" s="213"/>
      <c r="S63" s="213"/>
      <c r="T63" s="213"/>
      <c r="U63" s="213"/>
      <c r="V63" s="213"/>
      <c r="W63" s="213"/>
      <c r="X63" s="213"/>
      <c r="Y63" s="213"/>
      <c r="Z63" s="213"/>
      <c r="AA63" s="213"/>
      <c r="AB63" s="213"/>
      <c r="AC63" s="213"/>
      <c r="AD63" s="213"/>
      <c r="AE63" s="213"/>
      <c r="AF63" s="213"/>
      <c r="AG63" s="213"/>
      <c r="AH63" s="213"/>
      <c r="AI63" s="213"/>
      <c r="AJ63" s="213"/>
      <c r="AK63" s="213"/>
      <c r="AL63" s="213"/>
      <c r="AM63" s="213"/>
      <c r="AN63" s="213"/>
      <c r="AO63" s="213"/>
      <c r="AP63" s="213"/>
      <c r="AQ63" s="213"/>
      <c r="AR63" s="213"/>
      <c r="AS63" s="213"/>
      <c r="AT63" s="213"/>
      <c r="AU63" s="213"/>
      <c r="AV63" s="213"/>
      <c r="AW63" s="213"/>
      <c r="AX63" s="213"/>
      <c r="AY63" s="213"/>
      <c r="AZ63" s="213"/>
      <c r="BA63" s="213"/>
      <c r="BB63" s="213"/>
      <c r="BC63" s="213"/>
      <c r="BD63" s="213"/>
      <c r="BE63" s="213"/>
      <c r="BF63" s="213"/>
      <c r="BG63" s="213"/>
    </row>
    <row r="64" spans="1:59" x14ac:dyDescent="0.2">
      <c r="A64" s="13"/>
      <c r="B64" s="13"/>
      <c r="C64" s="13"/>
      <c r="D64" s="13"/>
      <c r="E64" s="59"/>
      <c r="F64" s="13"/>
      <c r="G64" s="13"/>
      <c r="H64" s="13"/>
      <c r="I64" s="13"/>
      <c r="J64" s="13"/>
      <c r="K64" s="97"/>
      <c r="L64" s="97"/>
      <c r="M64" s="97"/>
      <c r="N64" s="97"/>
      <c r="O64" s="205"/>
      <c r="P64" s="213"/>
      <c r="Q64" s="213"/>
      <c r="R64" s="213"/>
      <c r="S64" s="213"/>
      <c r="T64" s="213"/>
      <c r="U64" s="213"/>
      <c r="V64" s="213"/>
      <c r="W64" s="213"/>
      <c r="X64" s="213"/>
      <c r="Y64" s="213"/>
      <c r="Z64" s="213"/>
      <c r="AA64" s="213"/>
      <c r="AB64" s="213"/>
      <c r="AC64" s="213"/>
      <c r="AD64" s="213"/>
      <c r="AE64" s="213"/>
      <c r="AF64" s="213"/>
      <c r="AG64" s="213"/>
      <c r="AH64" s="213"/>
      <c r="AI64" s="213"/>
      <c r="AJ64" s="213"/>
      <c r="AK64" s="213"/>
      <c r="AL64" s="213"/>
      <c r="AM64" s="213"/>
      <c r="AN64" s="213"/>
      <c r="AO64" s="213"/>
      <c r="AP64" s="213"/>
      <c r="AQ64" s="213"/>
      <c r="AR64" s="213"/>
      <c r="AS64" s="213"/>
      <c r="AT64" s="213"/>
      <c r="AU64" s="213"/>
      <c r="AV64" s="213"/>
      <c r="AW64" s="213"/>
      <c r="AX64" s="213"/>
      <c r="AY64" s="213"/>
      <c r="AZ64" s="213"/>
      <c r="BA64" s="213"/>
      <c r="BB64" s="213"/>
      <c r="BC64" s="213"/>
      <c r="BD64" s="213"/>
      <c r="BE64" s="213"/>
      <c r="BF64" s="213"/>
      <c r="BG64" s="213"/>
    </row>
    <row r="65" spans="1:59" x14ac:dyDescent="0.2">
      <c r="A65" s="5"/>
      <c r="B65" s="5"/>
      <c r="C65" s="5"/>
      <c r="D65" s="5"/>
      <c r="E65" s="60"/>
      <c r="F65" s="5"/>
      <c r="G65" s="5"/>
      <c r="H65" s="5"/>
      <c r="I65" s="5"/>
      <c r="J65" s="5"/>
      <c r="K65" s="97"/>
      <c r="L65" s="97"/>
      <c r="M65" s="97"/>
      <c r="N65" s="97"/>
      <c r="O65" s="205"/>
      <c r="P65" s="213"/>
      <c r="Q65" s="213"/>
      <c r="R65" s="213"/>
      <c r="S65" s="213"/>
      <c r="T65" s="213"/>
      <c r="U65" s="213"/>
      <c r="V65" s="213"/>
      <c r="W65" s="213"/>
      <c r="X65" s="213"/>
      <c r="Y65" s="213"/>
      <c r="Z65" s="213"/>
      <c r="AA65" s="213"/>
      <c r="AB65" s="213"/>
      <c r="AC65" s="213"/>
      <c r="AD65" s="213"/>
      <c r="AE65" s="213"/>
      <c r="AF65" s="213"/>
      <c r="AG65" s="213"/>
      <c r="AH65" s="213"/>
      <c r="AI65" s="213"/>
      <c r="AJ65" s="213"/>
      <c r="AK65" s="213"/>
      <c r="AL65" s="213"/>
      <c r="AM65" s="213"/>
      <c r="AN65" s="213"/>
      <c r="AO65" s="213"/>
      <c r="AP65" s="213"/>
      <c r="AQ65" s="213"/>
      <c r="AR65" s="213"/>
      <c r="AS65" s="213"/>
      <c r="AT65" s="213"/>
      <c r="AU65" s="213"/>
      <c r="AV65" s="213"/>
      <c r="AW65" s="213"/>
      <c r="AX65" s="213"/>
      <c r="AY65" s="213"/>
      <c r="AZ65" s="213"/>
      <c r="BA65" s="213"/>
      <c r="BB65" s="213"/>
      <c r="BC65" s="213"/>
      <c r="BD65" s="213"/>
      <c r="BE65" s="213"/>
      <c r="BF65" s="213"/>
      <c r="BG65" s="213"/>
    </row>
    <row r="66" spans="1:59" x14ac:dyDescent="0.2">
      <c r="A66" s="5"/>
      <c r="B66" s="5"/>
      <c r="C66" s="5"/>
      <c r="D66" s="5"/>
      <c r="E66" s="60"/>
      <c r="F66" s="5"/>
      <c r="G66" s="5"/>
      <c r="H66" s="5"/>
      <c r="I66" s="5"/>
      <c r="J66" s="5"/>
      <c r="K66" s="97"/>
      <c r="L66" s="97"/>
      <c r="M66" s="97"/>
      <c r="N66" s="97"/>
      <c r="O66" s="205"/>
      <c r="P66" s="213"/>
      <c r="Q66" s="213"/>
      <c r="R66" s="213"/>
      <c r="S66" s="213"/>
      <c r="T66" s="213"/>
      <c r="U66" s="213"/>
      <c r="V66" s="213"/>
      <c r="W66" s="213"/>
      <c r="X66" s="213"/>
      <c r="Y66" s="213"/>
      <c r="Z66" s="213"/>
      <c r="AA66" s="213"/>
      <c r="AB66" s="213"/>
      <c r="AC66" s="213"/>
      <c r="AD66" s="213"/>
      <c r="AE66" s="213"/>
      <c r="AF66" s="213"/>
      <c r="AG66" s="213"/>
      <c r="AH66" s="213"/>
      <c r="AI66" s="213"/>
      <c r="AJ66" s="213"/>
      <c r="AK66" s="213"/>
      <c r="AL66" s="213"/>
      <c r="AM66" s="213"/>
      <c r="AN66" s="213"/>
      <c r="AO66" s="213"/>
      <c r="AP66" s="213"/>
      <c r="AQ66" s="213"/>
      <c r="AR66" s="213"/>
      <c r="AS66" s="213"/>
      <c r="AT66" s="213"/>
      <c r="AU66" s="213"/>
      <c r="AV66" s="213"/>
      <c r="AW66" s="213"/>
      <c r="AX66" s="213"/>
      <c r="AY66" s="213"/>
      <c r="AZ66" s="213"/>
      <c r="BA66" s="213"/>
      <c r="BB66" s="213"/>
      <c r="BC66" s="213"/>
      <c r="BD66" s="213"/>
      <c r="BE66" s="213"/>
      <c r="BF66" s="213"/>
      <c r="BG66" s="213"/>
    </row>
    <row r="67" spans="1:59" x14ac:dyDescent="0.2">
      <c r="A67" s="14"/>
      <c r="B67" s="14"/>
      <c r="C67" s="13"/>
      <c r="D67" s="13"/>
      <c r="E67" s="158"/>
      <c r="F67" s="13"/>
      <c r="G67" s="13"/>
      <c r="H67" s="14"/>
      <c r="I67" s="13"/>
      <c r="J67" s="14"/>
      <c r="K67" s="97"/>
      <c r="L67" s="97"/>
      <c r="M67" s="97"/>
      <c r="N67" s="97"/>
      <c r="O67" s="205"/>
      <c r="P67" s="213"/>
      <c r="Q67" s="213"/>
      <c r="R67" s="213"/>
      <c r="S67" s="213"/>
      <c r="T67" s="213"/>
      <c r="U67" s="213"/>
      <c r="V67" s="213"/>
      <c r="W67" s="213"/>
      <c r="X67" s="213"/>
      <c r="Y67" s="213"/>
      <c r="Z67" s="213"/>
      <c r="AA67" s="213"/>
      <c r="AB67" s="213"/>
      <c r="AC67" s="213"/>
      <c r="AD67" s="213"/>
      <c r="AE67" s="213"/>
      <c r="AF67" s="213"/>
      <c r="AG67" s="213"/>
      <c r="AH67" s="213"/>
      <c r="AI67" s="213"/>
      <c r="AJ67" s="213"/>
      <c r="AK67" s="213"/>
      <c r="AL67" s="213"/>
      <c r="AM67" s="213"/>
      <c r="AN67" s="213"/>
      <c r="AO67" s="213"/>
      <c r="AP67" s="213"/>
      <c r="AQ67" s="213"/>
      <c r="AR67" s="213"/>
      <c r="AS67" s="213"/>
      <c r="AT67" s="213"/>
      <c r="AU67" s="213"/>
      <c r="AV67" s="213"/>
      <c r="AW67" s="213"/>
      <c r="AX67" s="213"/>
      <c r="AY67" s="213"/>
      <c r="AZ67" s="213"/>
      <c r="BA67" s="213"/>
      <c r="BB67" s="213"/>
      <c r="BC67" s="213"/>
      <c r="BD67" s="213"/>
      <c r="BE67" s="213"/>
      <c r="BF67" s="213"/>
      <c r="BG67" s="213"/>
    </row>
    <row r="68" spans="1:59" x14ac:dyDescent="0.2">
      <c r="A68" s="13"/>
      <c r="B68" s="13"/>
      <c r="C68" s="13"/>
      <c r="D68" s="13"/>
      <c r="E68" s="59"/>
      <c r="F68" s="13"/>
      <c r="G68" s="13"/>
      <c r="H68" s="13"/>
      <c r="I68" s="13"/>
      <c r="J68" s="13"/>
      <c r="K68" s="97"/>
      <c r="L68" s="97"/>
      <c r="M68" s="97"/>
      <c r="N68" s="97"/>
      <c r="O68" s="205"/>
      <c r="P68" s="213"/>
      <c r="Q68" s="213"/>
      <c r="R68" s="213"/>
      <c r="S68" s="213"/>
      <c r="T68" s="213"/>
      <c r="U68" s="213"/>
      <c r="V68" s="213"/>
      <c r="W68" s="213"/>
      <c r="X68" s="213"/>
      <c r="Y68" s="213"/>
      <c r="Z68" s="213"/>
      <c r="AA68" s="213"/>
      <c r="AB68" s="213"/>
      <c r="AC68" s="213"/>
      <c r="AD68" s="213"/>
      <c r="AE68" s="213"/>
      <c r="AF68" s="213"/>
      <c r="AG68" s="213"/>
      <c r="AH68" s="213"/>
      <c r="AI68" s="213"/>
      <c r="AJ68" s="213"/>
      <c r="AK68" s="213"/>
      <c r="AL68" s="213"/>
      <c r="AM68" s="213"/>
      <c r="AN68" s="213"/>
      <c r="AO68" s="213"/>
      <c r="AP68" s="213"/>
      <c r="AQ68" s="213"/>
      <c r="AR68" s="213"/>
      <c r="AS68" s="213"/>
      <c r="AT68" s="213"/>
      <c r="AU68" s="213"/>
      <c r="AV68" s="213"/>
      <c r="AW68" s="213"/>
      <c r="AX68" s="213"/>
      <c r="AY68" s="213"/>
      <c r="AZ68" s="213"/>
      <c r="BA68" s="213"/>
      <c r="BB68" s="213"/>
      <c r="BC68" s="213"/>
      <c r="BD68" s="213"/>
      <c r="BE68" s="213"/>
      <c r="BF68" s="213"/>
      <c r="BG68" s="213"/>
    </row>
    <row r="69" spans="1:59" x14ac:dyDescent="0.2">
      <c r="A69" s="13"/>
      <c r="B69" s="13"/>
      <c r="C69" s="13"/>
      <c r="D69" s="13"/>
      <c r="E69" s="59"/>
      <c r="F69" s="13"/>
      <c r="G69" s="13"/>
      <c r="H69" s="13"/>
      <c r="I69" s="13"/>
      <c r="J69" s="13"/>
      <c r="K69" s="97"/>
      <c r="L69" s="97"/>
      <c r="M69" s="97"/>
      <c r="N69" s="97"/>
      <c r="O69" s="205"/>
      <c r="P69" s="213"/>
      <c r="Q69" s="213"/>
      <c r="R69" s="213"/>
      <c r="S69" s="213"/>
      <c r="T69" s="213"/>
      <c r="U69" s="213"/>
      <c r="V69" s="213"/>
      <c r="W69" s="213"/>
      <c r="X69" s="213"/>
      <c r="Y69" s="213"/>
      <c r="Z69" s="213"/>
      <c r="AA69" s="213"/>
      <c r="AB69" s="213"/>
      <c r="AC69" s="213"/>
      <c r="AD69" s="213"/>
      <c r="AE69" s="213"/>
      <c r="AF69" s="213"/>
      <c r="AG69" s="213"/>
      <c r="AH69" s="213"/>
      <c r="AI69" s="213"/>
      <c r="AJ69" s="213"/>
      <c r="AK69" s="213"/>
      <c r="AL69" s="213"/>
      <c r="AM69" s="213"/>
      <c r="AN69" s="213"/>
      <c r="AO69" s="213"/>
      <c r="AP69" s="213"/>
      <c r="AQ69" s="213"/>
      <c r="AR69" s="213"/>
      <c r="AS69" s="213"/>
      <c r="AT69" s="213"/>
      <c r="AU69" s="213"/>
      <c r="AV69" s="213"/>
      <c r="AW69" s="213"/>
      <c r="AX69" s="213"/>
      <c r="AY69" s="213"/>
      <c r="AZ69" s="213"/>
      <c r="BA69" s="213"/>
      <c r="BB69" s="213"/>
      <c r="BC69" s="213"/>
      <c r="BD69" s="213"/>
      <c r="BE69" s="213"/>
      <c r="BF69" s="213"/>
      <c r="BG69" s="213"/>
    </row>
    <row r="70" spans="1:59" x14ac:dyDescent="0.2">
      <c r="A70" s="13"/>
      <c r="B70" s="13"/>
      <c r="C70" s="13"/>
      <c r="D70" s="13"/>
      <c r="E70" s="59"/>
      <c r="F70" s="13"/>
      <c r="G70" s="13"/>
      <c r="H70" s="13"/>
      <c r="I70" s="13"/>
      <c r="J70" s="13"/>
      <c r="K70" s="97"/>
      <c r="L70" s="97"/>
      <c r="M70" s="97"/>
      <c r="N70" s="97"/>
      <c r="O70" s="205"/>
      <c r="P70" s="213"/>
      <c r="Q70" s="213"/>
      <c r="R70" s="213"/>
      <c r="S70" s="213"/>
      <c r="T70" s="213"/>
      <c r="U70" s="213"/>
      <c r="V70" s="213"/>
      <c r="W70" s="213"/>
      <c r="X70" s="213"/>
      <c r="Y70" s="213"/>
      <c r="Z70" s="213"/>
      <c r="AA70" s="213"/>
      <c r="AB70" s="213"/>
      <c r="AC70" s="213"/>
      <c r="AD70" s="213"/>
      <c r="AE70" s="213"/>
      <c r="AF70" s="213"/>
      <c r="AG70" s="213"/>
      <c r="AH70" s="213"/>
      <c r="AI70" s="213"/>
      <c r="AJ70" s="213"/>
      <c r="AK70" s="213"/>
      <c r="AL70" s="213"/>
      <c r="AM70" s="213"/>
      <c r="AN70" s="213"/>
      <c r="AO70" s="213"/>
      <c r="AP70" s="213"/>
      <c r="AQ70" s="213"/>
      <c r="AR70" s="213"/>
      <c r="AS70" s="213"/>
      <c r="AT70" s="213"/>
      <c r="AU70" s="213"/>
      <c r="AV70" s="213"/>
      <c r="AW70" s="213"/>
      <c r="AX70" s="213"/>
      <c r="AY70" s="213"/>
      <c r="AZ70" s="213"/>
      <c r="BA70" s="213"/>
      <c r="BB70" s="213"/>
      <c r="BC70" s="213"/>
      <c r="BD70" s="213"/>
      <c r="BE70" s="213"/>
      <c r="BF70" s="213"/>
      <c r="BG70" s="213"/>
    </row>
    <row r="71" spans="1:59" x14ac:dyDescent="0.2">
      <c r="A71" s="13"/>
      <c r="B71" s="13"/>
      <c r="C71" s="13"/>
      <c r="D71" s="13"/>
      <c r="E71" s="59"/>
      <c r="F71" s="13"/>
      <c r="G71" s="13"/>
      <c r="H71" s="13"/>
      <c r="I71" s="13"/>
      <c r="J71" s="13"/>
      <c r="K71" s="97"/>
      <c r="L71" s="97"/>
      <c r="M71" s="97"/>
      <c r="N71" s="97"/>
      <c r="O71" s="205"/>
      <c r="P71" s="213"/>
      <c r="Q71" s="213"/>
      <c r="R71" s="213"/>
      <c r="S71" s="213"/>
      <c r="T71" s="213"/>
      <c r="U71" s="213"/>
      <c r="V71" s="213"/>
      <c r="W71" s="213"/>
      <c r="X71" s="213"/>
      <c r="Y71" s="213"/>
      <c r="Z71" s="213"/>
      <c r="AA71" s="213"/>
      <c r="AB71" s="213"/>
      <c r="AC71" s="213"/>
      <c r="AD71" s="213"/>
      <c r="AE71" s="213"/>
      <c r="AF71" s="213"/>
      <c r="AG71" s="213"/>
      <c r="AH71" s="213"/>
      <c r="AI71" s="213"/>
      <c r="AJ71" s="213"/>
      <c r="AK71" s="213"/>
      <c r="AL71" s="213"/>
      <c r="AM71" s="213"/>
      <c r="AN71" s="213"/>
      <c r="AO71" s="213"/>
      <c r="AP71" s="213"/>
      <c r="AQ71" s="213"/>
      <c r="AR71" s="213"/>
      <c r="AS71" s="213"/>
      <c r="AT71" s="213"/>
      <c r="AU71" s="213"/>
      <c r="AV71" s="213"/>
      <c r="AW71" s="213"/>
      <c r="AX71" s="213"/>
      <c r="AY71" s="213"/>
      <c r="AZ71" s="213"/>
      <c r="BA71" s="213"/>
      <c r="BB71" s="213"/>
      <c r="BC71" s="213"/>
      <c r="BD71" s="213"/>
      <c r="BE71" s="213"/>
      <c r="BF71" s="213"/>
      <c r="BG71" s="213"/>
    </row>
    <row r="72" spans="1:59" x14ac:dyDescent="0.2">
      <c r="A72" s="13"/>
      <c r="B72" s="13"/>
      <c r="C72" s="13"/>
      <c r="D72" s="13"/>
      <c r="E72" s="59"/>
      <c r="F72" s="13"/>
      <c r="G72" s="13"/>
      <c r="H72" s="13"/>
      <c r="I72" s="13"/>
      <c r="J72" s="13"/>
      <c r="K72" s="97"/>
      <c r="L72" s="97"/>
      <c r="M72" s="97"/>
      <c r="N72" s="97"/>
      <c r="O72" s="205"/>
      <c r="P72" s="213"/>
      <c r="Q72" s="213"/>
      <c r="R72" s="213"/>
      <c r="S72" s="213"/>
      <c r="T72" s="213"/>
      <c r="U72" s="213"/>
      <c r="V72" s="213"/>
      <c r="W72" s="213"/>
      <c r="X72" s="213"/>
      <c r="Y72" s="213"/>
      <c r="Z72" s="213"/>
      <c r="AA72" s="213"/>
      <c r="AB72" s="213"/>
      <c r="AC72" s="213"/>
      <c r="AD72" s="213"/>
      <c r="AE72" s="213"/>
      <c r="AF72" s="213"/>
      <c r="AG72" s="213"/>
      <c r="AH72" s="213"/>
      <c r="AI72" s="213"/>
      <c r="AJ72" s="213"/>
      <c r="AK72" s="213"/>
      <c r="AL72" s="213"/>
      <c r="AM72" s="213"/>
      <c r="AN72" s="213"/>
      <c r="AO72" s="213"/>
      <c r="AP72" s="213"/>
      <c r="AQ72" s="213"/>
      <c r="AR72" s="213"/>
      <c r="AS72" s="213"/>
      <c r="AT72" s="213"/>
      <c r="AU72" s="213"/>
      <c r="AV72" s="213"/>
      <c r="AW72" s="213"/>
      <c r="AX72" s="213"/>
      <c r="AY72" s="213"/>
      <c r="AZ72" s="213"/>
      <c r="BA72" s="213"/>
      <c r="BB72" s="213"/>
      <c r="BC72" s="213"/>
      <c r="BD72" s="213"/>
      <c r="BE72" s="213"/>
      <c r="BF72" s="213"/>
      <c r="BG72" s="213"/>
    </row>
    <row r="73" spans="1:59" x14ac:dyDescent="0.2">
      <c r="A73" s="13"/>
      <c r="B73" s="13"/>
      <c r="C73" s="13"/>
      <c r="D73" s="13"/>
      <c r="E73" s="59"/>
      <c r="F73" s="13"/>
      <c r="G73" s="13"/>
      <c r="H73" s="13"/>
      <c r="I73" s="13"/>
      <c r="J73" s="13"/>
      <c r="K73" s="97"/>
      <c r="L73" s="97"/>
      <c r="M73" s="97"/>
      <c r="N73" s="97"/>
      <c r="O73" s="205"/>
      <c r="P73" s="213"/>
      <c r="Q73" s="213"/>
      <c r="R73" s="213"/>
      <c r="S73" s="213"/>
      <c r="T73" s="213"/>
      <c r="U73" s="213"/>
      <c r="V73" s="213"/>
      <c r="W73" s="213"/>
      <c r="X73" s="213"/>
      <c r="Y73" s="213"/>
      <c r="Z73" s="213"/>
      <c r="AA73" s="213"/>
      <c r="AB73" s="213"/>
      <c r="AC73" s="213"/>
      <c r="AD73" s="213"/>
      <c r="AE73" s="213"/>
      <c r="AF73" s="213"/>
      <c r="AG73" s="213"/>
      <c r="AH73" s="213"/>
      <c r="AI73" s="213"/>
      <c r="AJ73" s="213"/>
      <c r="AK73" s="213"/>
      <c r="AL73" s="213"/>
      <c r="AM73" s="213"/>
      <c r="AN73" s="213"/>
      <c r="AO73" s="213"/>
      <c r="AP73" s="213"/>
      <c r="AQ73" s="213"/>
      <c r="AR73" s="213"/>
      <c r="AS73" s="213"/>
      <c r="AT73" s="213"/>
      <c r="AU73" s="213"/>
      <c r="AV73" s="213"/>
      <c r="AW73" s="213"/>
      <c r="AX73" s="213"/>
      <c r="AY73" s="213"/>
      <c r="AZ73" s="213"/>
      <c r="BA73" s="213"/>
      <c r="BB73" s="213"/>
      <c r="BC73" s="213"/>
      <c r="BD73" s="213"/>
      <c r="BE73" s="213"/>
      <c r="BF73" s="213"/>
      <c r="BG73" s="213"/>
    </row>
    <row r="74" spans="1:59" x14ac:dyDescent="0.2">
      <c r="A74" s="13"/>
      <c r="B74" s="13"/>
      <c r="C74" s="13"/>
      <c r="D74" s="13"/>
      <c r="E74" s="59"/>
      <c r="F74" s="13"/>
      <c r="G74" s="13"/>
      <c r="H74" s="13"/>
      <c r="I74" s="13"/>
      <c r="J74" s="13"/>
      <c r="K74" s="97"/>
      <c r="L74" s="97"/>
      <c r="M74" s="97"/>
      <c r="N74" s="97"/>
      <c r="O74" s="205"/>
      <c r="P74" s="213"/>
      <c r="Q74" s="213"/>
      <c r="R74" s="213"/>
      <c r="S74" s="213"/>
      <c r="T74" s="213"/>
      <c r="U74" s="213"/>
      <c r="V74" s="213"/>
      <c r="W74" s="213"/>
      <c r="X74" s="213"/>
      <c r="Y74" s="213"/>
      <c r="Z74" s="213"/>
      <c r="AA74" s="213"/>
      <c r="AB74" s="213"/>
      <c r="AC74" s="213"/>
      <c r="AD74" s="213"/>
      <c r="AE74" s="213"/>
      <c r="AF74" s="213"/>
      <c r="AG74" s="213"/>
      <c r="AH74" s="213"/>
      <c r="AI74" s="213"/>
      <c r="AJ74" s="213"/>
      <c r="AK74" s="213"/>
      <c r="AL74" s="213"/>
      <c r="AM74" s="213"/>
      <c r="AN74" s="213"/>
      <c r="AO74" s="213"/>
      <c r="AP74" s="213"/>
      <c r="AQ74" s="213"/>
      <c r="AR74" s="213"/>
      <c r="AS74" s="213"/>
      <c r="AT74" s="213"/>
      <c r="AU74" s="213"/>
      <c r="AV74" s="213"/>
      <c r="AW74" s="213"/>
      <c r="AX74" s="213"/>
      <c r="AY74" s="213"/>
      <c r="AZ74" s="213"/>
      <c r="BA74" s="213"/>
      <c r="BB74" s="213"/>
      <c r="BC74" s="213"/>
      <c r="BD74" s="213"/>
      <c r="BE74" s="213"/>
      <c r="BF74" s="213"/>
      <c r="BG74" s="213"/>
    </row>
    <row r="75" spans="1:59" x14ac:dyDescent="0.2">
      <c r="A75" s="13"/>
      <c r="B75" s="13"/>
      <c r="C75" s="13"/>
      <c r="D75" s="13"/>
      <c r="E75" s="59"/>
      <c r="F75" s="13"/>
      <c r="G75" s="13"/>
      <c r="H75" s="13"/>
      <c r="I75" s="13"/>
      <c r="J75" s="13"/>
      <c r="K75" s="97"/>
      <c r="L75" s="97"/>
      <c r="M75" s="97"/>
      <c r="N75" s="97"/>
      <c r="O75" s="205"/>
      <c r="P75" s="213"/>
      <c r="Q75" s="213"/>
      <c r="R75" s="213"/>
      <c r="S75" s="213"/>
      <c r="T75" s="213"/>
      <c r="U75" s="213"/>
      <c r="V75" s="213"/>
      <c r="W75" s="213"/>
      <c r="X75" s="213"/>
      <c r="Y75" s="213"/>
      <c r="Z75" s="213"/>
      <c r="AA75" s="213"/>
      <c r="AB75" s="213"/>
      <c r="AC75" s="213"/>
      <c r="AD75" s="213"/>
      <c r="AE75" s="213"/>
      <c r="AF75" s="213"/>
      <c r="AG75" s="213"/>
      <c r="AH75" s="213"/>
      <c r="AI75" s="213"/>
      <c r="AJ75" s="213"/>
      <c r="AK75" s="213"/>
      <c r="AL75" s="213"/>
      <c r="AM75" s="213"/>
      <c r="AN75" s="213"/>
      <c r="AO75" s="213"/>
      <c r="AP75" s="213"/>
      <c r="AQ75" s="213"/>
      <c r="AR75" s="213"/>
      <c r="AS75" s="213"/>
      <c r="AT75" s="213"/>
      <c r="AU75" s="213"/>
      <c r="AV75" s="213"/>
      <c r="AW75" s="213"/>
      <c r="AX75" s="213"/>
      <c r="AY75" s="213"/>
      <c r="AZ75" s="213"/>
      <c r="BA75" s="213"/>
      <c r="BB75" s="213"/>
      <c r="BC75" s="213"/>
      <c r="BD75" s="213"/>
      <c r="BE75" s="213"/>
      <c r="BF75" s="213"/>
      <c r="BG75" s="213"/>
    </row>
    <row r="76" spans="1:59" x14ac:dyDescent="0.2">
      <c r="A76" s="13"/>
      <c r="B76" s="13"/>
      <c r="C76" s="13"/>
      <c r="D76" s="13"/>
      <c r="E76" s="59"/>
      <c r="F76" s="13"/>
      <c r="G76" s="13"/>
      <c r="H76" s="13"/>
      <c r="I76" s="13"/>
      <c r="J76" s="13"/>
      <c r="K76" s="97"/>
      <c r="L76" s="97"/>
      <c r="M76" s="97"/>
      <c r="N76" s="97"/>
      <c r="O76" s="205"/>
      <c r="P76" s="213"/>
      <c r="Q76" s="213"/>
      <c r="R76" s="213"/>
      <c r="S76" s="213"/>
      <c r="T76" s="213"/>
      <c r="U76" s="213"/>
      <c r="V76" s="213"/>
      <c r="W76" s="213"/>
      <c r="X76" s="213"/>
      <c r="Y76" s="213"/>
      <c r="Z76" s="213"/>
      <c r="AA76" s="213"/>
      <c r="AB76" s="213"/>
      <c r="AC76" s="213"/>
      <c r="AD76" s="213"/>
      <c r="AE76" s="213"/>
      <c r="AF76" s="213"/>
      <c r="AG76" s="213"/>
      <c r="AH76" s="213"/>
      <c r="AI76" s="213"/>
      <c r="AJ76" s="213"/>
      <c r="AK76" s="213"/>
      <c r="AL76" s="213"/>
      <c r="AM76" s="213"/>
      <c r="AN76" s="213"/>
      <c r="AO76" s="213"/>
      <c r="AP76" s="213"/>
      <c r="AQ76" s="213"/>
      <c r="AR76" s="213"/>
      <c r="AS76" s="213"/>
      <c r="AT76" s="213"/>
      <c r="AU76" s="213"/>
      <c r="AV76" s="213"/>
      <c r="AW76" s="213"/>
      <c r="AX76" s="213"/>
      <c r="AY76" s="213"/>
      <c r="AZ76" s="213"/>
      <c r="BA76" s="213"/>
      <c r="BB76" s="213"/>
      <c r="BC76" s="213"/>
      <c r="BD76" s="213"/>
      <c r="BE76" s="213"/>
      <c r="BF76" s="213"/>
      <c r="BG76" s="213"/>
    </row>
    <row r="77" spans="1:59" x14ac:dyDescent="0.2">
      <c r="A77" s="13"/>
      <c r="B77" s="13"/>
      <c r="C77" s="13"/>
      <c r="D77" s="13"/>
      <c r="E77" s="59"/>
      <c r="F77" s="13"/>
      <c r="G77" s="13"/>
      <c r="H77" s="13"/>
      <c r="I77" s="13"/>
      <c r="J77" s="13"/>
      <c r="K77" s="97"/>
      <c r="L77" s="97"/>
      <c r="M77" s="97"/>
      <c r="N77" s="97"/>
      <c r="O77" s="205"/>
      <c r="P77" s="213"/>
      <c r="Q77" s="213"/>
      <c r="R77" s="213"/>
      <c r="S77" s="213"/>
      <c r="T77" s="213"/>
      <c r="U77" s="213"/>
      <c r="V77" s="213"/>
      <c r="W77" s="213"/>
      <c r="X77" s="213"/>
      <c r="Y77" s="213"/>
      <c r="Z77" s="213"/>
      <c r="AA77" s="213"/>
      <c r="AB77" s="213"/>
      <c r="AC77" s="213"/>
      <c r="AD77" s="213"/>
      <c r="AE77" s="213"/>
      <c r="AF77" s="213"/>
      <c r="AG77" s="213"/>
      <c r="AH77" s="213"/>
      <c r="AI77" s="213"/>
      <c r="AJ77" s="213"/>
      <c r="AK77" s="213"/>
      <c r="AL77" s="213"/>
      <c r="AM77" s="213"/>
      <c r="AN77" s="213"/>
      <c r="AO77" s="213"/>
      <c r="AP77" s="213"/>
      <c r="AQ77" s="213"/>
      <c r="AR77" s="213"/>
      <c r="AS77" s="213"/>
      <c r="AT77" s="213"/>
      <c r="AU77" s="213"/>
      <c r="AV77" s="213"/>
      <c r="AW77" s="213"/>
      <c r="AX77" s="213"/>
      <c r="AY77" s="213"/>
      <c r="AZ77" s="213"/>
      <c r="BA77" s="213"/>
      <c r="BB77" s="213"/>
      <c r="BC77" s="213"/>
      <c r="BD77" s="213"/>
      <c r="BE77" s="213"/>
      <c r="BF77" s="213"/>
      <c r="BG77" s="213"/>
    </row>
    <row r="78" spans="1:59" x14ac:dyDescent="0.2">
      <c r="A78" s="13"/>
      <c r="B78" s="13"/>
      <c r="C78" s="13"/>
      <c r="D78" s="13"/>
      <c r="E78" s="59"/>
      <c r="F78" s="13"/>
      <c r="G78" s="13"/>
      <c r="H78" s="13"/>
      <c r="I78" s="13"/>
      <c r="J78" s="13"/>
      <c r="K78" s="97"/>
      <c r="L78" s="97"/>
      <c r="M78" s="97"/>
      <c r="N78" s="97"/>
      <c r="O78" s="205"/>
      <c r="P78" s="213"/>
      <c r="Q78" s="213"/>
      <c r="R78" s="213"/>
      <c r="S78" s="213"/>
      <c r="T78" s="213"/>
      <c r="U78" s="213"/>
      <c r="V78" s="213"/>
      <c r="W78" s="213"/>
      <c r="X78" s="213"/>
      <c r="Y78" s="213"/>
      <c r="Z78" s="213"/>
      <c r="AA78" s="213"/>
      <c r="AB78" s="213"/>
      <c r="AC78" s="213"/>
      <c r="AD78" s="213"/>
      <c r="AE78" s="213"/>
      <c r="AF78" s="213"/>
      <c r="AG78" s="213"/>
      <c r="AH78" s="213"/>
      <c r="AI78" s="213"/>
      <c r="AJ78" s="213"/>
      <c r="AK78" s="213"/>
      <c r="AL78" s="213"/>
      <c r="AM78" s="213"/>
      <c r="AN78" s="213"/>
      <c r="AO78" s="213"/>
      <c r="AP78" s="213"/>
      <c r="AQ78" s="213"/>
      <c r="AR78" s="213"/>
      <c r="AS78" s="213"/>
      <c r="AT78" s="213"/>
      <c r="AU78" s="213"/>
      <c r="AV78" s="213"/>
      <c r="AW78" s="213"/>
      <c r="AX78" s="213"/>
      <c r="AY78" s="213"/>
      <c r="AZ78" s="213"/>
      <c r="BA78" s="213"/>
      <c r="BB78" s="213"/>
      <c r="BC78" s="213"/>
      <c r="BD78" s="213"/>
      <c r="BE78" s="213"/>
      <c r="BF78" s="213"/>
      <c r="BG78" s="213"/>
    </row>
    <row r="79" spans="1:59" x14ac:dyDescent="0.2">
      <c r="A79" s="13"/>
      <c r="B79" s="13"/>
      <c r="C79" s="13"/>
      <c r="D79" s="13"/>
      <c r="E79" s="59"/>
      <c r="F79" s="13"/>
      <c r="G79" s="13"/>
      <c r="H79" s="13"/>
      <c r="I79" s="13"/>
      <c r="J79" s="13"/>
      <c r="K79" s="97"/>
      <c r="L79" s="97"/>
      <c r="M79" s="97"/>
      <c r="N79" s="97"/>
      <c r="O79" s="205"/>
      <c r="P79" s="213"/>
      <c r="Q79" s="213"/>
      <c r="R79" s="213"/>
      <c r="S79" s="213"/>
      <c r="T79" s="213"/>
      <c r="U79" s="213"/>
      <c r="V79" s="213"/>
      <c r="W79" s="213"/>
      <c r="X79" s="213"/>
      <c r="Y79" s="213"/>
      <c r="Z79" s="213"/>
      <c r="AA79" s="213"/>
      <c r="AB79" s="213"/>
      <c r="AC79" s="213"/>
      <c r="AD79" s="213"/>
      <c r="AE79" s="213"/>
      <c r="AF79" s="213"/>
      <c r="AG79" s="213"/>
      <c r="AH79" s="213"/>
      <c r="AI79" s="213"/>
      <c r="AJ79" s="213"/>
      <c r="AK79" s="213"/>
      <c r="AL79" s="213"/>
      <c r="AM79" s="213"/>
      <c r="AN79" s="213"/>
      <c r="AO79" s="213"/>
      <c r="AP79" s="213"/>
      <c r="AQ79" s="213"/>
      <c r="AR79" s="213"/>
      <c r="AS79" s="213"/>
      <c r="AT79" s="213"/>
      <c r="AU79" s="213"/>
      <c r="AV79" s="213"/>
      <c r="AW79" s="213"/>
      <c r="AX79" s="213"/>
      <c r="AY79" s="213"/>
      <c r="AZ79" s="213"/>
      <c r="BA79" s="213"/>
      <c r="BB79" s="213"/>
      <c r="BC79" s="213"/>
      <c r="BD79" s="213"/>
      <c r="BE79" s="213"/>
      <c r="BF79" s="213"/>
      <c r="BG79" s="213"/>
    </row>
    <row r="80" spans="1:59" x14ac:dyDescent="0.2">
      <c r="A80" s="13"/>
      <c r="B80" s="13"/>
      <c r="C80" s="13"/>
      <c r="D80" s="13"/>
      <c r="E80" s="59"/>
      <c r="F80" s="13"/>
      <c r="G80" s="13"/>
      <c r="H80" s="13"/>
      <c r="I80" s="13"/>
      <c r="J80" s="13"/>
      <c r="K80" s="97"/>
      <c r="L80" s="97"/>
      <c r="M80" s="97"/>
      <c r="N80" s="97"/>
      <c r="O80" s="205"/>
      <c r="P80" s="213"/>
      <c r="Q80" s="213"/>
      <c r="R80" s="213"/>
      <c r="S80" s="213"/>
      <c r="T80" s="213"/>
      <c r="U80" s="213"/>
      <c r="V80" s="213"/>
      <c r="W80" s="213"/>
      <c r="X80" s="213"/>
      <c r="Y80" s="213"/>
      <c r="Z80" s="213"/>
      <c r="AA80" s="213"/>
      <c r="AB80" s="213"/>
      <c r="AC80" s="213"/>
      <c r="AD80" s="213"/>
      <c r="AE80" s="213"/>
      <c r="AF80" s="213"/>
      <c r="AG80" s="213"/>
      <c r="AH80" s="213"/>
      <c r="AI80" s="213"/>
      <c r="AJ80" s="213"/>
      <c r="AK80" s="213"/>
      <c r="AL80" s="213"/>
      <c r="AM80" s="213"/>
      <c r="AN80" s="213"/>
      <c r="AO80" s="213"/>
      <c r="AP80" s="213"/>
      <c r="AQ80" s="213"/>
      <c r="AR80" s="213"/>
      <c r="AS80" s="213"/>
      <c r="AT80" s="213"/>
      <c r="AU80" s="213"/>
      <c r="AV80" s="213"/>
      <c r="AW80" s="213"/>
      <c r="AX80" s="213"/>
      <c r="AY80" s="213"/>
      <c r="AZ80" s="213"/>
      <c r="BA80" s="213"/>
      <c r="BB80" s="213"/>
      <c r="BC80" s="213"/>
      <c r="BD80" s="213"/>
      <c r="BE80" s="213"/>
      <c r="BF80" s="213"/>
      <c r="BG80" s="213"/>
    </row>
    <row r="81" spans="1:59" x14ac:dyDescent="0.2">
      <c r="A81" s="13"/>
      <c r="B81" s="13"/>
      <c r="C81" s="13"/>
      <c r="D81" s="13"/>
      <c r="E81" s="59"/>
      <c r="F81" s="13"/>
      <c r="G81" s="13"/>
      <c r="H81" s="13"/>
      <c r="I81" s="13"/>
      <c r="J81" s="13"/>
      <c r="K81" s="97"/>
      <c r="L81" s="97"/>
      <c r="M81" s="97"/>
      <c r="N81" s="97"/>
      <c r="O81" s="205"/>
      <c r="P81" s="213"/>
      <c r="Q81" s="213"/>
      <c r="R81" s="213"/>
      <c r="S81" s="213"/>
      <c r="T81" s="213"/>
      <c r="U81" s="213"/>
      <c r="V81" s="213"/>
      <c r="W81" s="213"/>
      <c r="X81" s="213"/>
      <c r="Y81" s="213"/>
      <c r="Z81" s="213"/>
      <c r="AA81" s="213"/>
      <c r="AB81" s="213"/>
      <c r="AC81" s="213"/>
      <c r="AD81" s="213"/>
      <c r="AE81" s="213"/>
      <c r="AF81" s="213"/>
      <c r="AG81" s="213"/>
      <c r="AH81" s="213"/>
      <c r="AI81" s="213"/>
      <c r="AJ81" s="213"/>
      <c r="AK81" s="213"/>
      <c r="AL81" s="213"/>
      <c r="AM81" s="213"/>
      <c r="AN81" s="213"/>
      <c r="AO81" s="213"/>
      <c r="AP81" s="213"/>
      <c r="AQ81" s="213"/>
      <c r="AR81" s="213"/>
      <c r="AS81" s="213"/>
      <c r="AT81" s="213"/>
      <c r="AU81" s="213"/>
      <c r="AV81" s="213"/>
      <c r="AW81" s="213"/>
      <c r="AX81" s="213"/>
      <c r="AY81" s="213"/>
      <c r="AZ81" s="213"/>
      <c r="BA81" s="213"/>
      <c r="BB81" s="213"/>
      <c r="BC81" s="213"/>
      <c r="BD81" s="213"/>
      <c r="BE81" s="213"/>
      <c r="BF81" s="213"/>
      <c r="BG81" s="213"/>
    </row>
    <row r="82" spans="1:59" x14ac:dyDescent="0.2">
      <c r="A82" s="13"/>
      <c r="B82" s="13"/>
      <c r="C82" s="13"/>
      <c r="D82" s="13"/>
      <c r="E82" s="59"/>
      <c r="F82" s="13"/>
      <c r="G82" s="13"/>
      <c r="H82" s="13"/>
      <c r="I82" s="13"/>
      <c r="J82" s="13"/>
      <c r="K82" s="97"/>
      <c r="L82" s="97"/>
      <c r="M82" s="97"/>
      <c r="N82" s="97"/>
      <c r="O82" s="205"/>
      <c r="P82" s="213"/>
      <c r="Q82" s="213"/>
      <c r="R82" s="213"/>
      <c r="S82" s="213"/>
      <c r="T82" s="213"/>
      <c r="U82" s="213"/>
      <c r="V82" s="213"/>
      <c r="W82" s="213"/>
      <c r="X82" s="213"/>
      <c r="Y82" s="213"/>
      <c r="Z82" s="213"/>
      <c r="AA82" s="213"/>
      <c r="AB82" s="213"/>
      <c r="AC82" s="213"/>
      <c r="AD82" s="213"/>
      <c r="AE82" s="213"/>
      <c r="AF82" s="213"/>
      <c r="AG82" s="213"/>
      <c r="AH82" s="213"/>
      <c r="AI82" s="213"/>
      <c r="AJ82" s="213"/>
      <c r="AK82" s="213"/>
      <c r="AL82" s="213"/>
      <c r="AM82" s="213"/>
      <c r="AN82" s="213"/>
      <c r="AO82" s="213"/>
      <c r="AP82" s="213"/>
      <c r="AQ82" s="213"/>
      <c r="AR82" s="213"/>
      <c r="AS82" s="213"/>
      <c r="AT82" s="213"/>
      <c r="AU82" s="213"/>
      <c r="AV82" s="213"/>
      <c r="AW82" s="213"/>
      <c r="AX82" s="213"/>
      <c r="AY82" s="213"/>
      <c r="AZ82" s="213"/>
      <c r="BA82" s="213"/>
      <c r="BB82" s="213"/>
      <c r="BC82" s="213"/>
      <c r="BD82" s="213"/>
      <c r="BE82" s="213"/>
      <c r="BF82" s="213"/>
      <c r="BG82" s="213"/>
    </row>
    <row r="83" spans="1:59" x14ac:dyDescent="0.2">
      <c r="A83" s="13"/>
      <c r="B83" s="13"/>
      <c r="C83" s="13"/>
      <c r="D83" s="13"/>
      <c r="E83" s="59"/>
      <c r="F83" s="13"/>
      <c r="G83" s="13"/>
      <c r="H83" s="13"/>
      <c r="I83" s="13"/>
      <c r="J83" s="13"/>
      <c r="K83" s="97"/>
      <c r="L83" s="97"/>
      <c r="M83" s="97"/>
      <c r="N83" s="97"/>
      <c r="O83" s="205"/>
      <c r="P83" s="213"/>
      <c r="Q83" s="213"/>
      <c r="R83" s="213"/>
      <c r="S83" s="213"/>
      <c r="T83" s="213"/>
      <c r="U83" s="213"/>
      <c r="V83" s="213"/>
      <c r="W83" s="213"/>
      <c r="X83" s="213"/>
      <c r="Y83" s="213"/>
      <c r="Z83" s="213"/>
      <c r="AA83" s="213"/>
      <c r="AB83" s="213"/>
      <c r="AC83" s="213"/>
      <c r="AD83" s="213"/>
      <c r="AE83" s="213"/>
      <c r="AF83" s="213"/>
      <c r="AG83" s="213"/>
      <c r="AH83" s="213"/>
      <c r="AI83" s="213"/>
      <c r="AJ83" s="213"/>
      <c r="AK83" s="213"/>
      <c r="AL83" s="213"/>
      <c r="AM83" s="213"/>
      <c r="AN83" s="213"/>
      <c r="AO83" s="213"/>
      <c r="AP83" s="213"/>
      <c r="AQ83" s="213"/>
      <c r="AR83" s="213"/>
      <c r="AS83" s="213"/>
      <c r="AT83" s="213"/>
      <c r="AU83" s="213"/>
      <c r="AV83" s="213"/>
      <c r="AW83" s="213"/>
      <c r="AX83" s="213"/>
      <c r="AY83" s="213"/>
      <c r="AZ83" s="213"/>
      <c r="BA83" s="213"/>
      <c r="BB83" s="213"/>
      <c r="BC83" s="213"/>
      <c r="BD83" s="213"/>
      <c r="BE83" s="213"/>
      <c r="BF83" s="213"/>
      <c r="BG83" s="213"/>
    </row>
    <row r="84" spans="1:59" x14ac:dyDescent="0.2">
      <c r="A84" s="13"/>
      <c r="B84" s="13"/>
      <c r="C84" s="13"/>
      <c r="D84" s="13"/>
      <c r="E84" s="59"/>
      <c r="F84" s="13"/>
      <c r="G84" s="13"/>
      <c r="H84" s="13"/>
      <c r="I84" s="13"/>
      <c r="J84" s="13"/>
      <c r="K84" s="97"/>
      <c r="L84" s="97"/>
      <c r="M84" s="97"/>
      <c r="N84" s="97"/>
      <c r="O84" s="205"/>
      <c r="P84" s="213"/>
      <c r="Q84" s="213"/>
      <c r="R84" s="213"/>
      <c r="S84" s="213"/>
      <c r="T84" s="213"/>
      <c r="U84" s="213"/>
      <c r="V84" s="213"/>
      <c r="W84" s="213"/>
      <c r="X84" s="213"/>
      <c r="Y84" s="213"/>
      <c r="Z84" s="213"/>
      <c r="AA84" s="213"/>
      <c r="AB84" s="213"/>
      <c r="AC84" s="213"/>
      <c r="AD84" s="213"/>
      <c r="AE84" s="213"/>
      <c r="AF84" s="213"/>
      <c r="AG84" s="213"/>
      <c r="AH84" s="213"/>
      <c r="AI84" s="213"/>
      <c r="AJ84" s="213"/>
      <c r="AK84" s="213"/>
      <c r="AL84" s="213"/>
      <c r="AM84" s="213"/>
      <c r="AN84" s="213"/>
      <c r="AO84" s="213"/>
      <c r="AP84" s="213"/>
      <c r="AQ84" s="213"/>
      <c r="AR84" s="213"/>
      <c r="AS84" s="213"/>
      <c r="AT84" s="213"/>
      <c r="AU84" s="213"/>
      <c r="AV84" s="213"/>
      <c r="AW84" s="213"/>
      <c r="AX84" s="213"/>
      <c r="AY84" s="213"/>
      <c r="AZ84" s="213"/>
      <c r="BA84" s="213"/>
      <c r="BB84" s="213"/>
      <c r="BC84" s="213"/>
      <c r="BD84" s="213"/>
      <c r="BE84" s="213"/>
      <c r="BF84" s="213"/>
      <c r="BG84" s="213"/>
    </row>
    <row r="85" spans="1:59" x14ac:dyDescent="0.2">
      <c r="A85" s="13"/>
      <c r="B85" s="13"/>
      <c r="C85" s="13"/>
      <c r="D85" s="13"/>
      <c r="E85" s="59"/>
      <c r="F85" s="13"/>
      <c r="G85" s="13"/>
      <c r="H85" s="13"/>
      <c r="I85" s="13"/>
      <c r="J85" s="13"/>
      <c r="K85" s="97"/>
      <c r="L85" s="97"/>
      <c r="M85" s="97"/>
      <c r="N85" s="97"/>
      <c r="O85" s="205"/>
      <c r="P85" s="213"/>
      <c r="Q85" s="213"/>
      <c r="R85" s="213"/>
      <c r="S85" s="213"/>
      <c r="T85" s="213"/>
      <c r="U85" s="213"/>
      <c r="V85" s="213"/>
      <c r="W85" s="213"/>
      <c r="X85" s="213"/>
      <c r="Y85" s="213"/>
      <c r="Z85" s="213"/>
      <c r="AA85" s="213"/>
      <c r="AB85" s="213"/>
      <c r="AC85" s="213"/>
      <c r="AD85" s="213"/>
      <c r="AE85" s="213"/>
      <c r="AF85" s="213"/>
      <c r="AG85" s="213"/>
      <c r="AH85" s="213"/>
      <c r="AI85" s="213"/>
      <c r="AJ85" s="213"/>
      <c r="AK85" s="213"/>
      <c r="AL85" s="213"/>
      <c r="AM85" s="213"/>
      <c r="AN85" s="213"/>
      <c r="AO85" s="213"/>
      <c r="AP85" s="213"/>
      <c r="AQ85" s="213"/>
      <c r="AR85" s="213"/>
      <c r="AS85" s="213"/>
      <c r="AT85" s="213"/>
      <c r="AU85" s="213"/>
      <c r="AV85" s="213"/>
      <c r="AW85" s="213"/>
      <c r="AX85" s="213"/>
      <c r="AY85" s="213"/>
      <c r="AZ85" s="213"/>
      <c r="BA85" s="213"/>
      <c r="BB85" s="213"/>
      <c r="BC85" s="213"/>
      <c r="BD85" s="213"/>
      <c r="BE85" s="213"/>
      <c r="BF85" s="213"/>
      <c r="BG85" s="213"/>
    </row>
    <row r="86" spans="1:59" x14ac:dyDescent="0.2">
      <c r="A86" s="13"/>
      <c r="B86" s="13"/>
      <c r="C86" s="13"/>
      <c r="D86" s="13"/>
      <c r="E86" s="59"/>
      <c r="F86" s="13"/>
      <c r="G86" s="13"/>
      <c r="H86" s="13"/>
      <c r="I86" s="13"/>
      <c r="J86" s="13"/>
      <c r="K86" s="97"/>
      <c r="L86" s="97"/>
      <c r="M86" s="97"/>
      <c r="N86" s="97"/>
      <c r="O86" s="205"/>
      <c r="P86" s="213"/>
      <c r="Q86" s="213"/>
      <c r="R86" s="213"/>
      <c r="S86" s="213"/>
      <c r="T86" s="213"/>
      <c r="U86" s="213"/>
      <c r="V86" s="213"/>
      <c r="W86" s="213"/>
      <c r="X86" s="213"/>
      <c r="Y86" s="213"/>
      <c r="Z86" s="213"/>
      <c r="AA86" s="213"/>
      <c r="AB86" s="213"/>
      <c r="AC86" s="213"/>
      <c r="AD86" s="213"/>
      <c r="AE86" s="213"/>
      <c r="AF86" s="213"/>
      <c r="AG86" s="213"/>
      <c r="AH86" s="213"/>
      <c r="AI86" s="213"/>
      <c r="AJ86" s="213"/>
      <c r="AK86" s="213"/>
      <c r="AL86" s="213"/>
      <c r="AM86" s="213"/>
      <c r="AN86" s="213"/>
      <c r="AO86" s="213"/>
      <c r="AP86" s="213"/>
      <c r="AQ86" s="213"/>
      <c r="AR86" s="213"/>
      <c r="AS86" s="213"/>
      <c r="AT86" s="213"/>
      <c r="AU86" s="213"/>
      <c r="AV86" s="213"/>
      <c r="AW86" s="213"/>
      <c r="AX86" s="213"/>
      <c r="AY86" s="213"/>
      <c r="AZ86" s="213"/>
      <c r="BA86" s="213"/>
      <c r="BB86" s="213"/>
      <c r="BC86" s="213"/>
      <c r="BD86" s="213"/>
      <c r="BE86" s="213"/>
      <c r="BF86" s="213"/>
      <c r="BG86" s="213"/>
    </row>
    <row r="87" spans="1:59" x14ac:dyDescent="0.2">
      <c r="A87" s="13"/>
      <c r="B87" s="13"/>
      <c r="C87" s="13"/>
      <c r="D87" s="13"/>
      <c r="E87" s="59"/>
      <c r="F87" s="13"/>
      <c r="G87" s="13"/>
      <c r="H87" s="13"/>
      <c r="I87" s="13"/>
      <c r="J87" s="13"/>
      <c r="K87" s="97"/>
      <c r="L87" s="97"/>
      <c r="M87" s="97"/>
      <c r="N87" s="97"/>
      <c r="O87" s="205"/>
      <c r="P87" s="213"/>
      <c r="Q87" s="213"/>
      <c r="R87" s="213"/>
      <c r="S87" s="213"/>
      <c r="T87" s="213"/>
      <c r="U87" s="213"/>
      <c r="V87" s="213"/>
      <c r="W87" s="213"/>
      <c r="X87" s="213"/>
      <c r="Y87" s="213"/>
      <c r="Z87" s="213"/>
      <c r="AA87" s="213"/>
      <c r="AB87" s="213"/>
      <c r="AC87" s="213"/>
      <c r="AD87" s="213"/>
      <c r="AE87" s="213"/>
      <c r="AF87" s="213"/>
      <c r="AG87" s="213"/>
      <c r="AH87" s="213"/>
      <c r="AI87" s="213"/>
      <c r="AJ87" s="213"/>
      <c r="AK87" s="213"/>
      <c r="AL87" s="213"/>
      <c r="AM87" s="213"/>
      <c r="AN87" s="213"/>
      <c r="AO87" s="213"/>
      <c r="AP87" s="213"/>
      <c r="AQ87" s="213"/>
      <c r="AR87" s="213"/>
      <c r="AS87" s="213"/>
      <c r="AT87" s="213"/>
      <c r="AU87" s="213"/>
      <c r="AV87" s="213"/>
      <c r="AW87" s="213"/>
      <c r="AX87" s="213"/>
      <c r="AY87" s="213"/>
      <c r="AZ87" s="213"/>
      <c r="BA87" s="213"/>
      <c r="BB87" s="213"/>
      <c r="BC87" s="213"/>
      <c r="BD87" s="213"/>
      <c r="BE87" s="213"/>
      <c r="BF87" s="213"/>
      <c r="BG87" s="213"/>
    </row>
    <row r="88" spans="1:59" x14ac:dyDescent="0.2">
      <c r="A88" s="13"/>
      <c r="B88" s="13"/>
      <c r="C88" s="13"/>
      <c r="D88" s="13"/>
      <c r="E88" s="59"/>
      <c r="F88" s="13"/>
      <c r="G88" s="13"/>
      <c r="H88" s="13"/>
      <c r="I88" s="13"/>
      <c r="J88" s="13"/>
      <c r="K88" s="97"/>
      <c r="L88" s="97"/>
      <c r="M88" s="97"/>
      <c r="N88" s="97"/>
      <c r="O88" s="205"/>
      <c r="P88" s="213"/>
      <c r="Q88" s="213"/>
      <c r="R88" s="213"/>
      <c r="S88" s="213"/>
      <c r="T88" s="213"/>
      <c r="U88" s="213"/>
      <c r="V88" s="213"/>
      <c r="W88" s="213"/>
      <c r="X88" s="213"/>
      <c r="Y88" s="213"/>
      <c r="Z88" s="213"/>
      <c r="AA88" s="213"/>
      <c r="AB88" s="213"/>
      <c r="AC88" s="213"/>
      <c r="AD88" s="213"/>
      <c r="AE88" s="213"/>
      <c r="AF88" s="213"/>
      <c r="AG88" s="213"/>
      <c r="AH88" s="213"/>
      <c r="AI88" s="213"/>
      <c r="AJ88" s="213"/>
      <c r="AK88" s="213"/>
      <c r="AL88" s="213"/>
      <c r="AM88" s="213"/>
      <c r="AN88" s="213"/>
      <c r="AO88" s="213"/>
      <c r="AP88" s="213"/>
      <c r="AQ88" s="213"/>
      <c r="AR88" s="213"/>
      <c r="AS88" s="213"/>
      <c r="AT88" s="213"/>
      <c r="AU88" s="213"/>
      <c r="AV88" s="213"/>
      <c r="AW88" s="213"/>
      <c r="AX88" s="213"/>
      <c r="AY88" s="213"/>
      <c r="AZ88" s="213"/>
      <c r="BA88" s="213"/>
      <c r="BB88" s="213"/>
      <c r="BC88" s="213"/>
      <c r="BD88" s="213"/>
      <c r="BE88" s="213"/>
      <c r="BF88" s="213"/>
      <c r="BG88" s="213"/>
    </row>
    <row r="89" spans="1:59" x14ac:dyDescent="0.2">
      <c r="A89" s="13"/>
      <c r="B89" s="13"/>
      <c r="C89" s="13"/>
      <c r="D89" s="13"/>
      <c r="E89" s="59"/>
      <c r="F89" s="13"/>
      <c r="G89" s="13"/>
      <c r="H89" s="13"/>
      <c r="I89" s="13"/>
      <c r="J89" s="13"/>
      <c r="K89" s="97"/>
      <c r="L89" s="97"/>
      <c r="M89" s="97"/>
      <c r="N89" s="97"/>
      <c r="O89" s="205"/>
      <c r="P89" s="213"/>
      <c r="Q89" s="213"/>
      <c r="R89" s="213"/>
      <c r="S89" s="213"/>
      <c r="T89" s="213"/>
      <c r="U89" s="213"/>
      <c r="V89" s="213"/>
      <c r="W89" s="213"/>
      <c r="X89" s="213"/>
      <c r="Y89" s="213"/>
      <c r="Z89" s="213"/>
      <c r="AA89" s="213"/>
      <c r="AB89" s="213"/>
      <c r="AC89" s="213"/>
      <c r="AD89" s="213"/>
      <c r="AE89" s="213"/>
      <c r="AF89" s="213"/>
      <c r="AG89" s="213"/>
      <c r="AH89" s="213"/>
      <c r="AI89" s="213"/>
      <c r="AJ89" s="213"/>
      <c r="AK89" s="213"/>
      <c r="AL89" s="213"/>
      <c r="AM89" s="213"/>
      <c r="AN89" s="213"/>
      <c r="AO89" s="213"/>
      <c r="AP89" s="213"/>
      <c r="AQ89" s="213"/>
      <c r="AR89" s="213"/>
      <c r="AS89" s="213"/>
      <c r="AT89" s="213"/>
      <c r="AU89" s="213"/>
      <c r="AV89" s="213"/>
      <c r="AW89" s="213"/>
      <c r="AX89" s="213"/>
      <c r="AY89" s="213"/>
      <c r="AZ89" s="213"/>
      <c r="BA89" s="213"/>
      <c r="BB89" s="213"/>
      <c r="BC89" s="213"/>
      <c r="BD89" s="213"/>
      <c r="BE89" s="213"/>
      <c r="BF89" s="213"/>
      <c r="BG89" s="213"/>
    </row>
    <row r="90" spans="1:59" x14ac:dyDescent="0.2">
      <c r="A90" s="13"/>
      <c r="B90" s="13"/>
      <c r="C90" s="13"/>
      <c r="D90" s="13"/>
      <c r="E90" s="59"/>
      <c r="F90" s="13"/>
      <c r="G90" s="13"/>
      <c r="H90" s="13"/>
      <c r="I90" s="13"/>
      <c r="J90" s="13"/>
      <c r="K90" s="97"/>
      <c r="L90" s="97"/>
      <c r="M90" s="97"/>
      <c r="N90" s="97"/>
      <c r="O90" s="205"/>
      <c r="P90" s="213"/>
      <c r="Q90" s="213"/>
      <c r="R90" s="213"/>
      <c r="S90" s="213"/>
      <c r="T90" s="213"/>
      <c r="U90" s="213"/>
      <c r="V90" s="213"/>
      <c r="W90" s="213"/>
      <c r="X90" s="213"/>
      <c r="Y90" s="213"/>
      <c r="Z90" s="213"/>
      <c r="AA90" s="213"/>
      <c r="AB90" s="213"/>
      <c r="AC90" s="213"/>
      <c r="AD90" s="213"/>
      <c r="AE90" s="213"/>
      <c r="AF90" s="213"/>
      <c r="AG90" s="213"/>
      <c r="AH90" s="213"/>
      <c r="AI90" s="213"/>
      <c r="AJ90" s="213"/>
      <c r="AK90" s="213"/>
      <c r="AL90" s="213"/>
      <c r="AM90" s="213"/>
      <c r="AN90" s="213"/>
      <c r="AO90" s="213"/>
      <c r="AP90" s="213"/>
      <c r="AQ90" s="213"/>
      <c r="AR90" s="213"/>
      <c r="AS90" s="213"/>
      <c r="AT90" s="213"/>
      <c r="AU90" s="213"/>
      <c r="AV90" s="213"/>
      <c r="AW90" s="213"/>
      <c r="AX90" s="213"/>
      <c r="AY90" s="213"/>
      <c r="AZ90" s="213"/>
      <c r="BA90" s="213"/>
      <c r="BB90" s="213"/>
      <c r="BC90" s="213"/>
      <c r="BD90" s="213"/>
      <c r="BE90" s="213"/>
      <c r="BF90" s="213"/>
      <c r="BG90" s="213"/>
    </row>
    <row r="91" spans="1:59" x14ac:dyDescent="0.2">
      <c r="A91" s="13"/>
      <c r="B91" s="13"/>
      <c r="C91" s="13"/>
      <c r="D91" s="13"/>
      <c r="E91" s="59"/>
      <c r="F91" s="13"/>
      <c r="G91" s="13"/>
      <c r="H91" s="13"/>
      <c r="I91" s="13"/>
      <c r="J91" s="13"/>
      <c r="K91" s="97"/>
      <c r="L91" s="97"/>
      <c r="M91" s="97"/>
      <c r="N91" s="97"/>
      <c r="O91" s="205"/>
      <c r="P91" s="213"/>
      <c r="Q91" s="213"/>
      <c r="R91" s="213"/>
      <c r="S91" s="213"/>
      <c r="T91" s="213"/>
      <c r="U91" s="213"/>
      <c r="V91" s="213"/>
      <c r="W91" s="213"/>
      <c r="X91" s="213"/>
      <c r="Y91" s="213"/>
      <c r="Z91" s="213"/>
      <c r="AA91" s="213"/>
      <c r="AB91" s="213"/>
      <c r="AC91" s="213"/>
      <c r="AD91" s="213"/>
      <c r="AE91" s="213"/>
      <c r="AF91" s="213"/>
      <c r="AG91" s="213"/>
      <c r="AH91" s="213"/>
      <c r="AI91" s="213"/>
      <c r="AJ91" s="213"/>
      <c r="AK91" s="213"/>
      <c r="AL91" s="213"/>
      <c r="AM91" s="213"/>
      <c r="AN91" s="213"/>
      <c r="AO91" s="213"/>
      <c r="AP91" s="213"/>
      <c r="AQ91" s="213"/>
      <c r="AR91" s="213"/>
      <c r="AS91" s="213"/>
      <c r="AT91" s="213"/>
      <c r="AU91" s="213"/>
      <c r="AV91" s="213"/>
      <c r="AW91" s="213"/>
      <c r="AX91" s="213"/>
      <c r="AY91" s="213"/>
      <c r="AZ91" s="213"/>
      <c r="BA91" s="213"/>
      <c r="BB91" s="213"/>
      <c r="BC91" s="213"/>
      <c r="BD91" s="213"/>
      <c r="BE91" s="213"/>
      <c r="BF91" s="213"/>
      <c r="BG91" s="213"/>
    </row>
    <row r="92" spans="1:59" x14ac:dyDescent="0.2">
      <c r="A92" s="13"/>
      <c r="B92" s="13"/>
      <c r="C92" s="13"/>
      <c r="D92" s="13"/>
      <c r="E92" s="59"/>
      <c r="F92" s="13"/>
      <c r="G92" s="13"/>
      <c r="H92" s="13"/>
      <c r="I92" s="13"/>
      <c r="J92" s="13"/>
      <c r="K92" s="97"/>
      <c r="L92" s="97"/>
      <c r="M92" s="97"/>
      <c r="N92" s="97"/>
      <c r="O92" s="205"/>
      <c r="P92" s="213"/>
      <c r="Q92" s="213"/>
      <c r="R92" s="213"/>
      <c r="S92" s="213"/>
      <c r="T92" s="213"/>
      <c r="U92" s="213"/>
      <c r="V92" s="213"/>
      <c r="W92" s="213"/>
      <c r="X92" s="213"/>
      <c r="Y92" s="213"/>
      <c r="Z92" s="213"/>
      <c r="AA92" s="213"/>
      <c r="AB92" s="213"/>
      <c r="AC92" s="213"/>
      <c r="AD92" s="213"/>
      <c r="AE92" s="213"/>
      <c r="AF92" s="213"/>
      <c r="AG92" s="213"/>
      <c r="AH92" s="213"/>
      <c r="AI92" s="213"/>
      <c r="AJ92" s="213"/>
      <c r="AK92" s="213"/>
      <c r="AL92" s="213"/>
      <c r="AM92" s="213"/>
      <c r="AN92" s="213"/>
      <c r="AO92" s="213"/>
      <c r="AP92" s="213"/>
      <c r="AQ92" s="213"/>
      <c r="AR92" s="213"/>
      <c r="AS92" s="213"/>
      <c r="AT92" s="213"/>
      <c r="AU92" s="213"/>
      <c r="AV92" s="213"/>
      <c r="AW92" s="213"/>
      <c r="AX92" s="213"/>
      <c r="AY92" s="213"/>
      <c r="AZ92" s="213"/>
      <c r="BA92" s="213"/>
      <c r="BB92" s="213"/>
      <c r="BC92" s="213"/>
      <c r="BD92" s="213"/>
      <c r="BE92" s="213"/>
      <c r="BF92" s="213"/>
      <c r="BG92" s="213"/>
    </row>
    <row r="93" spans="1:59" x14ac:dyDescent="0.2">
      <c r="A93" s="13"/>
      <c r="B93" s="13"/>
      <c r="C93" s="13"/>
      <c r="D93" s="13"/>
      <c r="E93" s="59"/>
      <c r="F93" s="13"/>
      <c r="G93" s="13"/>
      <c r="H93" s="13"/>
      <c r="I93" s="13"/>
      <c r="J93" s="13"/>
      <c r="K93" s="97"/>
      <c r="L93" s="97"/>
      <c r="M93" s="97"/>
      <c r="N93" s="97"/>
      <c r="O93" s="205"/>
      <c r="P93" s="213"/>
      <c r="Q93" s="213"/>
      <c r="R93" s="213"/>
      <c r="S93" s="213"/>
      <c r="T93" s="213"/>
      <c r="U93" s="213"/>
      <c r="V93" s="213"/>
      <c r="W93" s="213"/>
      <c r="X93" s="213"/>
      <c r="Y93" s="213"/>
      <c r="Z93" s="213"/>
      <c r="AA93" s="213"/>
      <c r="AB93" s="213"/>
      <c r="AC93" s="213"/>
      <c r="AD93" s="213"/>
      <c r="AE93" s="213"/>
      <c r="AF93" s="213"/>
      <c r="AG93" s="213"/>
      <c r="AH93" s="213"/>
      <c r="AI93" s="213"/>
      <c r="AJ93" s="213"/>
      <c r="AK93" s="213"/>
      <c r="AL93" s="213"/>
      <c r="AM93" s="213"/>
      <c r="AN93" s="213"/>
      <c r="AO93" s="213"/>
      <c r="AP93" s="213"/>
      <c r="AQ93" s="213"/>
      <c r="AR93" s="213"/>
      <c r="AS93" s="213"/>
      <c r="AT93" s="213"/>
      <c r="AU93" s="213"/>
      <c r="AV93" s="213"/>
      <c r="AW93" s="213"/>
      <c r="AX93" s="213"/>
      <c r="AY93" s="213"/>
      <c r="AZ93" s="213"/>
      <c r="BA93" s="213"/>
      <c r="BB93" s="213"/>
      <c r="BC93" s="213"/>
      <c r="BD93" s="213"/>
      <c r="BE93" s="213"/>
      <c r="BF93" s="213"/>
      <c r="BG93" s="213"/>
    </row>
    <row r="94" spans="1:59" x14ac:dyDescent="0.2">
      <c r="A94" s="13"/>
      <c r="B94" s="13"/>
      <c r="C94" s="13"/>
      <c r="D94" s="13"/>
      <c r="E94" s="59"/>
      <c r="F94" s="13"/>
      <c r="G94" s="13"/>
      <c r="H94" s="13"/>
      <c r="I94" s="13"/>
      <c r="J94" s="13"/>
      <c r="K94" s="97"/>
      <c r="L94" s="97"/>
      <c r="M94" s="97"/>
      <c r="N94" s="97"/>
      <c r="O94" s="205"/>
      <c r="P94" s="213"/>
      <c r="Q94" s="213"/>
      <c r="R94" s="213"/>
      <c r="S94" s="213"/>
      <c r="T94" s="213"/>
      <c r="U94" s="213"/>
      <c r="V94" s="213"/>
      <c r="W94" s="213"/>
      <c r="X94" s="213"/>
      <c r="Y94" s="213"/>
      <c r="Z94" s="213"/>
      <c r="AA94" s="213"/>
      <c r="AB94" s="213"/>
      <c r="AC94" s="213"/>
      <c r="AD94" s="213"/>
      <c r="AE94" s="213"/>
      <c r="AF94" s="213"/>
      <c r="AG94" s="213"/>
      <c r="AH94" s="213"/>
      <c r="AI94" s="213"/>
      <c r="AJ94" s="213"/>
      <c r="AK94" s="213"/>
      <c r="AL94" s="213"/>
      <c r="AM94" s="213"/>
      <c r="AN94" s="213"/>
      <c r="AO94" s="213"/>
      <c r="AP94" s="213"/>
      <c r="AQ94" s="213"/>
      <c r="AR94" s="213"/>
      <c r="AS94" s="213"/>
      <c r="AT94" s="213"/>
      <c r="AU94" s="213"/>
      <c r="AV94" s="213"/>
      <c r="AW94" s="213"/>
      <c r="AX94" s="213"/>
      <c r="AY94" s="213"/>
      <c r="AZ94" s="213"/>
      <c r="BA94" s="213"/>
      <c r="BB94" s="213"/>
      <c r="BC94" s="213"/>
      <c r="BD94" s="213"/>
      <c r="BE94" s="213"/>
      <c r="BF94" s="213"/>
      <c r="BG94" s="213"/>
    </row>
    <row r="95" spans="1:59" x14ac:dyDescent="0.2">
      <c r="A95" s="13"/>
      <c r="B95" s="13"/>
      <c r="C95" s="13"/>
      <c r="D95" s="13"/>
      <c r="E95" s="59"/>
      <c r="F95" s="13"/>
      <c r="G95" s="13"/>
      <c r="H95" s="13"/>
      <c r="I95" s="13"/>
      <c r="J95" s="13"/>
      <c r="K95" s="97"/>
      <c r="L95" s="97"/>
      <c r="M95" s="97"/>
      <c r="N95" s="97"/>
      <c r="O95" s="205"/>
      <c r="P95" s="213"/>
      <c r="Q95" s="213"/>
      <c r="R95" s="213"/>
      <c r="S95" s="213"/>
      <c r="T95" s="213"/>
      <c r="U95" s="213"/>
      <c r="V95" s="213"/>
      <c r="W95" s="213"/>
      <c r="X95" s="213"/>
      <c r="Y95" s="213"/>
      <c r="Z95" s="213"/>
      <c r="AA95" s="213"/>
      <c r="AB95" s="213"/>
      <c r="AC95" s="213"/>
      <c r="AD95" s="213"/>
      <c r="AE95" s="213"/>
      <c r="AF95" s="213"/>
      <c r="AG95" s="213"/>
      <c r="AH95" s="213"/>
      <c r="AI95" s="213"/>
      <c r="AJ95" s="213"/>
      <c r="AK95" s="213"/>
      <c r="AL95" s="213"/>
      <c r="AM95" s="213"/>
      <c r="AN95" s="213"/>
      <c r="AO95" s="213"/>
      <c r="AP95" s="213"/>
      <c r="AQ95" s="213"/>
      <c r="AR95" s="213"/>
      <c r="AS95" s="213"/>
      <c r="AT95" s="213"/>
      <c r="AU95" s="213"/>
      <c r="AV95" s="213"/>
      <c r="AW95" s="213"/>
      <c r="AX95" s="213"/>
      <c r="AY95" s="213"/>
      <c r="AZ95" s="213"/>
      <c r="BA95" s="213"/>
      <c r="BB95" s="213"/>
      <c r="BC95" s="213"/>
      <c r="BD95" s="213"/>
      <c r="BE95" s="213"/>
      <c r="BF95" s="213"/>
      <c r="BG95" s="213"/>
    </row>
    <row r="96" spans="1:59" x14ac:dyDescent="0.2">
      <c r="A96" s="13"/>
      <c r="B96" s="13"/>
      <c r="C96" s="13"/>
      <c r="D96" s="13"/>
      <c r="E96" s="59"/>
      <c r="F96" s="13"/>
      <c r="G96" s="13"/>
      <c r="H96" s="13"/>
      <c r="I96" s="13"/>
      <c r="J96" s="13"/>
      <c r="K96" s="97"/>
      <c r="L96" s="97"/>
      <c r="M96" s="97"/>
      <c r="N96" s="97"/>
      <c r="O96" s="205"/>
      <c r="P96" s="213"/>
      <c r="Q96" s="213"/>
      <c r="R96" s="213"/>
      <c r="S96" s="213"/>
      <c r="T96" s="213"/>
      <c r="U96" s="213"/>
      <c r="V96" s="213"/>
      <c r="W96" s="213"/>
      <c r="X96" s="213"/>
      <c r="Y96" s="213"/>
      <c r="Z96" s="213"/>
      <c r="AA96" s="213"/>
      <c r="AB96" s="213"/>
      <c r="AC96" s="213"/>
      <c r="AD96" s="213"/>
      <c r="AE96" s="213"/>
      <c r="AF96" s="213"/>
      <c r="AG96" s="213"/>
      <c r="AH96" s="213"/>
      <c r="AI96" s="213"/>
      <c r="AJ96" s="213"/>
      <c r="AK96" s="213"/>
      <c r="AL96" s="213"/>
      <c r="AM96" s="213"/>
      <c r="AN96" s="213"/>
      <c r="AO96" s="213"/>
      <c r="AP96" s="213"/>
      <c r="AQ96" s="213"/>
      <c r="AR96" s="213"/>
      <c r="AS96" s="213"/>
      <c r="AT96" s="213"/>
      <c r="AU96" s="213"/>
      <c r="AV96" s="213"/>
      <c r="AW96" s="213"/>
      <c r="AX96" s="213"/>
      <c r="AY96" s="213"/>
      <c r="AZ96" s="213"/>
      <c r="BA96" s="213"/>
      <c r="BB96" s="213"/>
      <c r="BC96" s="213"/>
      <c r="BD96" s="213"/>
      <c r="BE96" s="213"/>
      <c r="BF96" s="213"/>
      <c r="BG96" s="213"/>
    </row>
    <row r="97" spans="1:59" x14ac:dyDescent="0.2">
      <c r="A97" s="13"/>
      <c r="B97" s="13"/>
      <c r="C97" s="13"/>
      <c r="D97" s="13"/>
      <c r="E97" s="59"/>
      <c r="F97" s="13"/>
      <c r="G97" s="13"/>
      <c r="H97" s="13"/>
      <c r="I97" s="13"/>
      <c r="J97" s="13"/>
      <c r="K97" s="97"/>
      <c r="L97" s="97"/>
      <c r="M97" s="97"/>
      <c r="N97" s="97"/>
      <c r="O97" s="205"/>
      <c r="P97" s="213"/>
      <c r="Q97" s="213"/>
      <c r="R97" s="213"/>
      <c r="S97" s="213"/>
      <c r="T97" s="213"/>
      <c r="U97" s="213"/>
      <c r="V97" s="213"/>
      <c r="W97" s="213"/>
      <c r="X97" s="213"/>
      <c r="Y97" s="213"/>
      <c r="Z97" s="213"/>
      <c r="AA97" s="213"/>
      <c r="AB97" s="213"/>
      <c r="AC97" s="213"/>
      <c r="AD97" s="213"/>
      <c r="AE97" s="213"/>
      <c r="AF97" s="213"/>
      <c r="AG97" s="213"/>
      <c r="AH97" s="213"/>
      <c r="AI97" s="213"/>
      <c r="AJ97" s="213"/>
      <c r="AK97" s="213"/>
      <c r="AL97" s="213"/>
      <c r="AM97" s="213"/>
      <c r="AN97" s="213"/>
      <c r="AO97" s="213"/>
      <c r="AP97" s="213"/>
      <c r="AQ97" s="213"/>
      <c r="AR97" s="213"/>
      <c r="AS97" s="213"/>
      <c r="AT97" s="213"/>
      <c r="AU97" s="213"/>
      <c r="AV97" s="213"/>
      <c r="AW97" s="213"/>
      <c r="AX97" s="213"/>
      <c r="AY97" s="213"/>
      <c r="AZ97" s="213"/>
      <c r="BA97" s="213"/>
      <c r="BB97" s="213"/>
      <c r="BC97" s="213"/>
      <c r="BD97" s="213"/>
      <c r="BE97" s="213"/>
      <c r="BF97" s="213"/>
      <c r="BG97" s="213"/>
    </row>
    <row r="98" spans="1:59" x14ac:dyDescent="0.2">
      <c r="A98" s="13"/>
      <c r="B98" s="13"/>
      <c r="C98" s="13"/>
      <c r="D98" s="13"/>
      <c r="E98" s="59"/>
      <c r="F98" s="13"/>
      <c r="G98" s="13"/>
      <c r="H98" s="13"/>
      <c r="I98" s="13"/>
      <c r="J98" s="13"/>
      <c r="K98" s="97"/>
      <c r="L98" s="97"/>
      <c r="M98" s="97"/>
      <c r="N98" s="97"/>
      <c r="O98" s="205"/>
      <c r="P98" s="213"/>
      <c r="Q98" s="213"/>
      <c r="R98" s="213"/>
      <c r="S98" s="213"/>
      <c r="T98" s="213"/>
      <c r="U98" s="213"/>
      <c r="V98" s="213"/>
      <c r="W98" s="213"/>
      <c r="X98" s="213"/>
      <c r="Y98" s="213"/>
      <c r="Z98" s="213"/>
      <c r="AA98" s="213"/>
      <c r="AB98" s="213"/>
      <c r="AC98" s="213"/>
      <c r="AD98" s="213"/>
      <c r="AE98" s="213"/>
      <c r="AF98" s="213"/>
      <c r="AG98" s="213"/>
      <c r="AH98" s="213"/>
      <c r="AI98" s="213"/>
      <c r="AJ98" s="213"/>
      <c r="AK98" s="213"/>
      <c r="AL98" s="213"/>
      <c r="AM98" s="213"/>
      <c r="AN98" s="213"/>
      <c r="AO98" s="213"/>
      <c r="AP98" s="213"/>
      <c r="AQ98" s="213"/>
      <c r="AR98" s="213"/>
      <c r="AS98" s="213"/>
      <c r="AT98" s="213"/>
      <c r="AU98" s="213"/>
      <c r="AV98" s="213"/>
      <c r="AW98" s="213"/>
      <c r="AX98" s="213"/>
      <c r="AY98" s="213"/>
      <c r="AZ98" s="213"/>
      <c r="BA98" s="213"/>
      <c r="BB98" s="213"/>
      <c r="BC98" s="213"/>
      <c r="BD98" s="213"/>
      <c r="BE98" s="213"/>
      <c r="BF98" s="213"/>
      <c r="BG98" s="213"/>
    </row>
    <row r="99" spans="1:59" x14ac:dyDescent="0.2">
      <c r="A99" s="13"/>
      <c r="B99" s="13"/>
      <c r="C99" s="13"/>
      <c r="D99" s="13"/>
      <c r="E99" s="59"/>
      <c r="F99" s="13"/>
      <c r="G99" s="13"/>
      <c r="H99" s="13"/>
      <c r="I99" s="13"/>
      <c r="J99" s="13"/>
      <c r="K99" s="97"/>
      <c r="L99" s="97"/>
      <c r="M99" s="97"/>
      <c r="N99" s="97"/>
      <c r="O99" s="205"/>
      <c r="P99" s="213"/>
      <c r="Q99" s="213"/>
      <c r="R99" s="213"/>
      <c r="S99" s="213"/>
      <c r="T99" s="213"/>
      <c r="U99" s="213"/>
      <c r="V99" s="213"/>
      <c r="W99" s="213"/>
      <c r="X99" s="213"/>
      <c r="Y99" s="213"/>
      <c r="Z99" s="213"/>
      <c r="AA99" s="213"/>
      <c r="AB99" s="213"/>
      <c r="AC99" s="213"/>
      <c r="AD99" s="213"/>
      <c r="AE99" s="213"/>
      <c r="AF99" s="213"/>
      <c r="AG99" s="213"/>
      <c r="AH99" s="213"/>
      <c r="AI99" s="213"/>
      <c r="AJ99" s="213"/>
      <c r="AK99" s="213"/>
      <c r="AL99" s="213"/>
      <c r="AM99" s="213"/>
      <c r="AN99" s="213"/>
      <c r="AO99" s="213"/>
      <c r="AP99" s="213"/>
      <c r="AQ99" s="213"/>
      <c r="AR99" s="213"/>
      <c r="AS99" s="213"/>
      <c r="AT99" s="213"/>
      <c r="AU99" s="213"/>
      <c r="AV99" s="213"/>
      <c r="AW99" s="213"/>
      <c r="AX99" s="213"/>
      <c r="AY99" s="213"/>
      <c r="AZ99" s="213"/>
      <c r="BA99" s="213"/>
      <c r="BB99" s="213"/>
      <c r="BC99" s="213"/>
      <c r="BD99" s="213"/>
      <c r="BE99" s="213"/>
      <c r="BF99" s="213"/>
      <c r="BG99" s="213"/>
    </row>
    <row r="100" spans="1:59" x14ac:dyDescent="0.2">
      <c r="A100" s="13"/>
      <c r="B100" s="13"/>
      <c r="C100" s="13"/>
      <c r="D100" s="13"/>
      <c r="E100" s="59"/>
      <c r="F100" s="13"/>
      <c r="G100" s="13"/>
      <c r="H100" s="13"/>
      <c r="I100" s="13"/>
      <c r="J100" s="13"/>
      <c r="K100" s="97"/>
      <c r="L100" s="97"/>
      <c r="M100" s="97"/>
      <c r="N100" s="97"/>
      <c r="O100" s="205"/>
      <c r="P100" s="213"/>
      <c r="Q100" s="213"/>
      <c r="R100" s="213"/>
      <c r="S100" s="213"/>
      <c r="T100" s="213"/>
      <c r="U100" s="213"/>
      <c r="V100" s="213"/>
      <c r="W100" s="213"/>
      <c r="X100" s="213"/>
      <c r="Y100" s="213"/>
      <c r="Z100" s="213"/>
      <c r="AA100" s="213"/>
      <c r="AB100" s="213"/>
      <c r="AC100" s="213"/>
      <c r="AD100" s="213"/>
      <c r="AE100" s="213"/>
      <c r="AF100" s="213"/>
      <c r="AG100" s="213"/>
      <c r="AH100" s="213"/>
      <c r="AI100" s="213"/>
      <c r="AJ100" s="213"/>
      <c r="AK100" s="213"/>
      <c r="AL100" s="213"/>
      <c r="AM100" s="213"/>
      <c r="AN100" s="213"/>
      <c r="AO100" s="213"/>
      <c r="AP100" s="213"/>
      <c r="AQ100" s="213"/>
      <c r="AR100" s="213"/>
      <c r="AS100" s="213"/>
      <c r="AT100" s="213"/>
      <c r="AU100" s="213"/>
      <c r="AV100" s="213"/>
      <c r="AW100" s="213"/>
      <c r="AX100" s="213"/>
      <c r="AY100" s="213"/>
      <c r="AZ100" s="213"/>
      <c r="BA100" s="213"/>
      <c r="BB100" s="213"/>
      <c r="BC100" s="213"/>
      <c r="BD100" s="213"/>
      <c r="BE100" s="213"/>
      <c r="BF100" s="213"/>
      <c r="BG100" s="213"/>
    </row>
    <row r="101" spans="1:59" x14ac:dyDescent="0.2">
      <c r="A101" s="13"/>
      <c r="B101" s="13"/>
      <c r="C101" s="13"/>
      <c r="D101" s="13"/>
      <c r="E101" s="59"/>
      <c r="F101" s="13"/>
      <c r="G101" s="13"/>
      <c r="H101" s="13"/>
      <c r="I101" s="13"/>
      <c r="J101" s="13"/>
      <c r="K101" s="97"/>
      <c r="L101" s="97"/>
      <c r="M101" s="97"/>
      <c r="N101" s="97"/>
      <c r="O101" s="205"/>
      <c r="P101" s="213"/>
      <c r="Q101" s="213"/>
      <c r="R101" s="213"/>
      <c r="S101" s="213"/>
      <c r="T101" s="213"/>
      <c r="U101" s="213"/>
      <c r="V101" s="213"/>
      <c r="W101" s="213"/>
      <c r="X101" s="213"/>
      <c r="Y101" s="213"/>
      <c r="Z101" s="213"/>
      <c r="AA101" s="213"/>
      <c r="AB101" s="213"/>
      <c r="AC101" s="213"/>
      <c r="AD101" s="213"/>
      <c r="AE101" s="213"/>
      <c r="AF101" s="213"/>
      <c r="AG101" s="213"/>
      <c r="AH101" s="213"/>
      <c r="AI101" s="213"/>
      <c r="AJ101" s="213"/>
      <c r="AK101" s="213"/>
      <c r="AL101" s="213"/>
      <c r="AM101" s="213"/>
      <c r="AN101" s="213"/>
      <c r="AO101" s="213"/>
      <c r="AP101" s="213"/>
      <c r="AQ101" s="213"/>
      <c r="AR101" s="213"/>
      <c r="AS101" s="213"/>
      <c r="AT101" s="213"/>
      <c r="AU101" s="213"/>
      <c r="AV101" s="213"/>
      <c r="AW101" s="213"/>
      <c r="AX101" s="213"/>
      <c r="AY101" s="213"/>
      <c r="AZ101" s="213"/>
      <c r="BA101" s="213"/>
      <c r="BB101" s="213"/>
      <c r="BC101" s="213"/>
      <c r="BD101" s="213"/>
      <c r="BE101" s="213"/>
      <c r="BF101" s="213"/>
      <c r="BG101" s="213"/>
    </row>
    <row r="102" spans="1:59" x14ac:dyDescent="0.2">
      <c r="A102" s="13"/>
      <c r="B102" s="13"/>
      <c r="C102" s="13"/>
      <c r="D102" s="13"/>
      <c r="E102" s="59"/>
      <c r="F102" s="13"/>
      <c r="G102" s="13"/>
      <c r="H102" s="13"/>
      <c r="I102" s="13"/>
      <c r="J102" s="13"/>
      <c r="K102" s="97"/>
      <c r="L102" s="97"/>
      <c r="M102" s="97"/>
      <c r="N102" s="97"/>
      <c r="O102" s="205"/>
      <c r="P102" s="213"/>
      <c r="Q102" s="213"/>
      <c r="R102" s="213"/>
      <c r="S102" s="213"/>
      <c r="T102" s="213"/>
      <c r="U102" s="213"/>
      <c r="V102" s="213"/>
      <c r="W102" s="213"/>
      <c r="X102" s="213"/>
      <c r="Y102" s="213"/>
      <c r="Z102" s="213"/>
      <c r="AA102" s="213"/>
      <c r="AB102" s="213"/>
      <c r="AC102" s="213"/>
      <c r="AD102" s="213"/>
      <c r="AE102" s="213"/>
      <c r="AF102" s="213"/>
      <c r="AG102" s="213"/>
      <c r="AH102" s="213"/>
      <c r="AI102" s="213"/>
      <c r="AJ102" s="213"/>
      <c r="AK102" s="213"/>
      <c r="AL102" s="213"/>
      <c r="AM102" s="213"/>
      <c r="AN102" s="213"/>
      <c r="AO102" s="213"/>
      <c r="AP102" s="213"/>
      <c r="AQ102" s="213"/>
      <c r="AR102" s="213"/>
      <c r="AS102" s="213"/>
      <c r="AT102" s="213"/>
      <c r="AU102" s="213"/>
      <c r="AV102" s="213"/>
      <c r="AW102" s="213"/>
      <c r="AX102" s="213"/>
      <c r="AY102" s="213"/>
      <c r="AZ102" s="213"/>
      <c r="BA102" s="213"/>
      <c r="BB102" s="213"/>
      <c r="BC102" s="213"/>
      <c r="BD102" s="213"/>
      <c r="BE102" s="213"/>
      <c r="BF102" s="213"/>
      <c r="BG102" s="213"/>
    </row>
    <row r="103" spans="1:59" x14ac:dyDescent="0.2">
      <c r="A103" s="13"/>
      <c r="B103" s="13"/>
      <c r="C103" s="13"/>
      <c r="D103" s="13"/>
      <c r="E103" s="59"/>
      <c r="F103" s="13"/>
      <c r="G103" s="13"/>
      <c r="H103" s="13"/>
      <c r="I103" s="13"/>
      <c r="J103" s="13"/>
      <c r="K103" s="97"/>
      <c r="L103" s="97"/>
      <c r="M103" s="97"/>
      <c r="N103" s="97"/>
      <c r="O103" s="205"/>
      <c r="P103" s="213"/>
      <c r="Q103" s="213"/>
      <c r="R103" s="213"/>
      <c r="S103" s="213"/>
      <c r="T103" s="213"/>
      <c r="U103" s="213"/>
      <c r="V103" s="213"/>
      <c r="W103" s="213"/>
      <c r="X103" s="213"/>
      <c r="Y103" s="213"/>
      <c r="Z103" s="213"/>
      <c r="AA103" s="213"/>
      <c r="AB103" s="213"/>
      <c r="AC103" s="213"/>
      <c r="AD103" s="213"/>
      <c r="AE103" s="213"/>
      <c r="AF103" s="213"/>
      <c r="AG103" s="213"/>
      <c r="AH103" s="213"/>
      <c r="AI103" s="213"/>
      <c r="AJ103" s="213"/>
      <c r="AK103" s="213"/>
      <c r="AL103" s="213"/>
      <c r="AM103" s="213"/>
      <c r="AN103" s="213"/>
      <c r="AO103" s="213"/>
      <c r="AP103" s="213"/>
      <c r="AQ103" s="213"/>
      <c r="AR103" s="213"/>
      <c r="AS103" s="213"/>
      <c r="AT103" s="213"/>
      <c r="AU103" s="213"/>
      <c r="AV103" s="213"/>
      <c r="AW103" s="213"/>
      <c r="AX103" s="213"/>
      <c r="AY103" s="213"/>
      <c r="AZ103" s="213"/>
      <c r="BA103" s="213"/>
      <c r="BB103" s="213"/>
      <c r="BC103" s="213"/>
      <c r="BD103" s="213"/>
      <c r="BE103" s="213"/>
      <c r="BF103" s="213"/>
      <c r="BG103" s="213"/>
    </row>
    <row r="104" spans="1:59" x14ac:dyDescent="0.2">
      <c r="A104" s="13"/>
      <c r="B104" s="13"/>
      <c r="C104" s="13"/>
      <c r="D104" s="13"/>
      <c r="E104" s="59"/>
      <c r="F104" s="13"/>
      <c r="G104" s="13"/>
      <c r="H104" s="13"/>
      <c r="I104" s="13"/>
      <c r="J104" s="13"/>
      <c r="K104" s="97"/>
      <c r="L104" s="97"/>
      <c r="M104" s="97"/>
      <c r="N104" s="97"/>
      <c r="O104" s="205"/>
      <c r="P104" s="213"/>
      <c r="Q104" s="213"/>
      <c r="R104" s="213"/>
      <c r="S104" s="213"/>
      <c r="T104" s="213"/>
      <c r="U104" s="213"/>
      <c r="V104" s="213"/>
      <c r="W104" s="213"/>
      <c r="X104" s="213"/>
      <c r="Y104" s="213"/>
      <c r="Z104" s="213"/>
      <c r="AA104" s="213"/>
      <c r="AB104" s="213"/>
      <c r="AC104" s="213"/>
      <c r="AD104" s="213"/>
      <c r="AE104" s="213"/>
      <c r="AF104" s="213"/>
      <c r="AG104" s="213"/>
      <c r="AH104" s="213"/>
      <c r="AI104" s="213"/>
      <c r="AJ104" s="213"/>
      <c r="AK104" s="213"/>
      <c r="AL104" s="213"/>
      <c r="AM104" s="213"/>
      <c r="AN104" s="213"/>
      <c r="AO104" s="213"/>
      <c r="AP104" s="213"/>
      <c r="AQ104" s="213"/>
      <c r="AR104" s="213"/>
      <c r="AS104" s="213"/>
      <c r="AT104" s="213"/>
      <c r="AU104" s="213"/>
      <c r="AV104" s="213"/>
      <c r="AW104" s="213"/>
      <c r="AX104" s="213"/>
      <c r="AY104" s="213"/>
      <c r="AZ104" s="213"/>
      <c r="BA104" s="213"/>
      <c r="BB104" s="213"/>
      <c r="BC104" s="213"/>
      <c r="BD104" s="213"/>
      <c r="BE104" s="213"/>
      <c r="BF104" s="213"/>
      <c r="BG104" s="213"/>
    </row>
    <row r="105" spans="1:59" x14ac:dyDescent="0.2">
      <c r="A105" s="13"/>
      <c r="B105" s="13"/>
      <c r="C105" s="13"/>
      <c r="D105" s="13"/>
      <c r="E105" s="59"/>
      <c r="F105" s="13"/>
      <c r="G105" s="13"/>
      <c r="H105" s="13"/>
      <c r="I105" s="13"/>
      <c r="J105" s="13"/>
      <c r="K105" s="97"/>
      <c r="L105" s="97"/>
      <c r="M105" s="97"/>
      <c r="N105" s="97"/>
      <c r="O105" s="205"/>
      <c r="P105" s="213"/>
      <c r="Q105" s="213"/>
      <c r="R105" s="213"/>
      <c r="S105" s="213"/>
      <c r="T105" s="213"/>
      <c r="U105" s="213"/>
      <c r="V105" s="213"/>
      <c r="W105" s="213"/>
      <c r="X105" s="213"/>
      <c r="Y105" s="213"/>
      <c r="Z105" s="213"/>
      <c r="AA105" s="213"/>
      <c r="AB105" s="213"/>
      <c r="AC105" s="213"/>
      <c r="AD105" s="213"/>
      <c r="AE105" s="213"/>
      <c r="AF105" s="213"/>
      <c r="AG105" s="213"/>
      <c r="AH105" s="213"/>
      <c r="AI105" s="213"/>
      <c r="AJ105" s="213"/>
      <c r="AK105" s="213"/>
      <c r="AL105" s="213"/>
      <c r="AM105" s="213"/>
      <c r="AN105" s="213"/>
      <c r="AO105" s="213"/>
      <c r="AP105" s="213"/>
      <c r="AQ105" s="213"/>
      <c r="AR105" s="213"/>
      <c r="AS105" s="213"/>
      <c r="AT105" s="213"/>
      <c r="AU105" s="213"/>
      <c r="AV105" s="213"/>
      <c r="AW105" s="213"/>
      <c r="AX105" s="213"/>
      <c r="AY105" s="213"/>
      <c r="AZ105" s="213"/>
      <c r="BA105" s="213"/>
      <c r="BB105" s="213"/>
      <c r="BC105" s="213"/>
      <c r="BD105" s="213"/>
      <c r="BE105" s="213"/>
      <c r="BF105" s="213"/>
      <c r="BG105" s="213"/>
    </row>
    <row r="106" spans="1:59" x14ac:dyDescent="0.2">
      <c r="A106" s="13"/>
      <c r="B106" s="13"/>
      <c r="C106" s="13"/>
      <c r="D106" s="13"/>
      <c r="E106" s="59"/>
      <c r="F106" s="13"/>
      <c r="G106" s="13"/>
      <c r="H106" s="13"/>
      <c r="I106" s="13"/>
      <c r="J106" s="13"/>
      <c r="K106" s="97"/>
      <c r="L106" s="97"/>
      <c r="M106" s="97"/>
      <c r="N106" s="97"/>
      <c r="O106" s="205"/>
      <c r="P106" s="213"/>
      <c r="Q106" s="213"/>
      <c r="R106" s="213"/>
      <c r="S106" s="213"/>
      <c r="T106" s="213"/>
      <c r="U106" s="213"/>
      <c r="V106" s="213"/>
      <c r="W106" s="213"/>
      <c r="X106" s="213"/>
      <c r="Y106" s="213"/>
      <c r="Z106" s="213"/>
      <c r="AA106" s="213"/>
      <c r="AB106" s="213"/>
      <c r="AC106" s="213"/>
      <c r="AD106" s="213"/>
      <c r="AE106" s="213"/>
      <c r="AF106" s="213"/>
      <c r="AG106" s="213"/>
      <c r="AH106" s="213"/>
      <c r="AI106" s="213"/>
      <c r="AJ106" s="213"/>
      <c r="AK106" s="213"/>
      <c r="AL106" s="213"/>
      <c r="AM106" s="213"/>
      <c r="AN106" s="213"/>
      <c r="AO106" s="213"/>
      <c r="AP106" s="213"/>
      <c r="AQ106" s="213"/>
      <c r="AR106" s="213"/>
      <c r="AS106" s="213"/>
      <c r="AT106" s="213"/>
      <c r="AU106" s="213"/>
      <c r="AV106" s="213"/>
      <c r="AW106" s="213"/>
      <c r="AX106" s="213"/>
      <c r="AY106" s="213"/>
      <c r="AZ106" s="213"/>
      <c r="BA106" s="213"/>
      <c r="BB106" s="213"/>
      <c r="BC106" s="213"/>
      <c r="BD106" s="213"/>
      <c r="BE106" s="213"/>
      <c r="BF106" s="213"/>
      <c r="BG106" s="213"/>
    </row>
    <row r="107" spans="1:59" x14ac:dyDescent="0.2">
      <c r="A107" s="13"/>
      <c r="B107" s="13"/>
      <c r="C107" s="13"/>
      <c r="D107" s="13"/>
      <c r="E107" s="59"/>
      <c r="F107" s="13"/>
      <c r="G107" s="13"/>
      <c r="H107" s="13"/>
      <c r="I107" s="13"/>
      <c r="J107" s="13"/>
      <c r="K107" s="97"/>
      <c r="L107" s="97"/>
      <c r="M107" s="97"/>
      <c r="N107" s="97"/>
      <c r="O107" s="205"/>
      <c r="P107" s="213"/>
      <c r="Q107" s="213"/>
      <c r="R107" s="213"/>
      <c r="S107" s="213"/>
      <c r="T107" s="213"/>
      <c r="U107" s="213"/>
      <c r="V107" s="213"/>
      <c r="W107" s="213"/>
      <c r="X107" s="213"/>
      <c r="Y107" s="213"/>
      <c r="Z107" s="213"/>
      <c r="AA107" s="213"/>
      <c r="AB107" s="213"/>
      <c r="AC107" s="213"/>
      <c r="AD107" s="213"/>
      <c r="AE107" s="213"/>
      <c r="AF107" s="213"/>
      <c r="AG107" s="213"/>
      <c r="AH107" s="213"/>
      <c r="AI107" s="213"/>
      <c r="AJ107" s="213"/>
      <c r="AK107" s="213"/>
      <c r="AL107" s="213"/>
      <c r="AM107" s="213"/>
      <c r="AN107" s="213"/>
      <c r="AO107" s="213"/>
      <c r="AP107" s="213"/>
      <c r="AQ107" s="213"/>
      <c r="AR107" s="213"/>
      <c r="AS107" s="213"/>
      <c r="AT107" s="213"/>
      <c r="AU107" s="213"/>
      <c r="AV107" s="213"/>
      <c r="AW107" s="213"/>
      <c r="AX107" s="213"/>
      <c r="AY107" s="213"/>
      <c r="AZ107" s="213"/>
      <c r="BA107" s="213"/>
      <c r="BB107" s="213"/>
      <c r="BC107" s="213"/>
      <c r="BD107" s="213"/>
      <c r="BE107" s="213"/>
      <c r="BF107" s="213"/>
      <c r="BG107" s="213"/>
    </row>
    <row r="108" spans="1:59" x14ac:dyDescent="0.2">
      <c r="A108" s="13"/>
      <c r="B108" s="13"/>
      <c r="C108" s="13"/>
      <c r="D108" s="13"/>
      <c r="E108" s="59"/>
      <c r="F108" s="13"/>
      <c r="G108" s="13"/>
      <c r="H108" s="13"/>
      <c r="I108" s="13"/>
      <c r="J108" s="13"/>
      <c r="K108" s="97"/>
      <c r="L108" s="97"/>
      <c r="M108" s="97"/>
      <c r="N108" s="97"/>
      <c r="O108" s="205"/>
      <c r="P108" s="213"/>
      <c r="Q108" s="213"/>
      <c r="R108" s="213"/>
      <c r="S108" s="213"/>
      <c r="T108" s="213"/>
      <c r="U108" s="213"/>
      <c r="V108" s="213"/>
      <c r="W108" s="213"/>
      <c r="X108" s="213"/>
      <c r="Y108" s="213"/>
      <c r="Z108" s="213"/>
      <c r="AA108" s="213"/>
      <c r="AB108" s="213"/>
      <c r="AC108" s="213"/>
      <c r="AD108" s="213"/>
      <c r="AE108" s="213"/>
      <c r="AF108" s="213"/>
      <c r="AG108" s="213"/>
      <c r="AH108" s="213"/>
      <c r="AI108" s="213"/>
      <c r="AJ108" s="213"/>
      <c r="AK108" s="213"/>
      <c r="AL108" s="213"/>
      <c r="AM108" s="213"/>
      <c r="AN108" s="213"/>
      <c r="AO108" s="213"/>
      <c r="AP108" s="213"/>
      <c r="AQ108" s="213"/>
      <c r="AR108" s="213"/>
      <c r="AS108" s="213"/>
      <c r="AT108" s="213"/>
      <c r="AU108" s="213"/>
      <c r="AV108" s="213"/>
      <c r="AW108" s="213"/>
      <c r="AX108" s="213"/>
      <c r="AY108" s="213"/>
      <c r="AZ108" s="213"/>
      <c r="BA108" s="213"/>
      <c r="BB108" s="213"/>
      <c r="BC108" s="213"/>
      <c r="BD108" s="213"/>
      <c r="BE108" s="213"/>
      <c r="BF108" s="213"/>
      <c r="BG108" s="213"/>
    </row>
    <row r="109" spans="1:59" x14ac:dyDescent="0.2">
      <c r="A109" s="13"/>
      <c r="B109" s="13"/>
      <c r="C109" s="13"/>
      <c r="D109" s="13"/>
      <c r="E109" s="59"/>
      <c r="F109" s="13"/>
      <c r="G109" s="13"/>
      <c r="H109" s="13"/>
      <c r="I109" s="13"/>
      <c r="J109" s="13"/>
      <c r="K109" s="97"/>
      <c r="L109" s="97"/>
      <c r="M109" s="97"/>
      <c r="N109" s="97"/>
      <c r="O109" s="205"/>
      <c r="P109" s="213"/>
      <c r="Q109" s="213"/>
      <c r="R109" s="213"/>
      <c r="S109" s="213"/>
      <c r="T109" s="213"/>
      <c r="U109" s="213"/>
      <c r="V109" s="213"/>
      <c r="W109" s="213"/>
      <c r="X109" s="213"/>
      <c r="Y109" s="213"/>
      <c r="Z109" s="213"/>
      <c r="AA109" s="213"/>
      <c r="AB109" s="213"/>
      <c r="AC109" s="213"/>
      <c r="AD109" s="213"/>
      <c r="AE109" s="213"/>
      <c r="AF109" s="213"/>
      <c r="AG109" s="213"/>
      <c r="AH109" s="213"/>
      <c r="AI109" s="213"/>
      <c r="AJ109" s="213"/>
      <c r="AK109" s="213"/>
      <c r="AL109" s="213"/>
      <c r="AM109" s="213"/>
      <c r="AN109" s="213"/>
      <c r="AO109" s="213"/>
      <c r="AP109" s="213"/>
      <c r="AQ109" s="213"/>
      <c r="AR109" s="213"/>
      <c r="AS109" s="213"/>
      <c r="AT109" s="213"/>
      <c r="AU109" s="213"/>
      <c r="AV109" s="213"/>
      <c r="AW109" s="213"/>
      <c r="AX109" s="213"/>
      <c r="AY109" s="213"/>
      <c r="AZ109" s="213"/>
      <c r="BA109" s="213"/>
      <c r="BB109" s="213"/>
      <c r="BC109" s="213"/>
      <c r="BD109" s="213"/>
      <c r="BE109" s="213"/>
      <c r="BF109" s="213"/>
      <c r="BG109" s="213"/>
    </row>
    <row r="110" spans="1:59" x14ac:dyDescent="0.2">
      <c r="A110" s="13"/>
      <c r="B110" s="13"/>
      <c r="C110" s="13"/>
      <c r="D110" s="13"/>
      <c r="E110" s="59"/>
      <c r="F110" s="13"/>
      <c r="G110" s="13"/>
      <c r="H110" s="13"/>
      <c r="I110" s="13"/>
      <c r="J110" s="13"/>
      <c r="K110" s="97"/>
      <c r="L110" s="97"/>
      <c r="M110" s="97"/>
      <c r="N110" s="97"/>
      <c r="O110" s="205"/>
      <c r="P110" s="213"/>
      <c r="Q110" s="213"/>
      <c r="R110" s="213"/>
      <c r="S110" s="213"/>
      <c r="T110" s="213"/>
      <c r="U110" s="213"/>
      <c r="V110" s="213"/>
      <c r="W110" s="213"/>
      <c r="X110" s="213"/>
      <c r="Y110" s="213"/>
      <c r="Z110" s="213"/>
      <c r="AA110" s="213"/>
      <c r="AB110" s="213"/>
      <c r="AC110" s="213"/>
      <c r="AD110" s="213"/>
      <c r="AE110" s="213"/>
      <c r="AF110" s="213"/>
      <c r="AG110" s="213"/>
      <c r="AH110" s="213"/>
      <c r="AI110" s="213"/>
      <c r="AJ110" s="213"/>
      <c r="AK110" s="213"/>
      <c r="AL110" s="213"/>
      <c r="AM110" s="213"/>
      <c r="AN110" s="213"/>
      <c r="AO110" s="213"/>
      <c r="AP110" s="213"/>
      <c r="AQ110" s="213"/>
      <c r="AR110" s="213"/>
      <c r="AS110" s="213"/>
      <c r="AT110" s="213"/>
      <c r="AU110" s="213"/>
      <c r="AV110" s="213"/>
      <c r="AW110" s="213"/>
      <c r="AX110" s="213"/>
      <c r="AY110" s="213"/>
      <c r="AZ110" s="213"/>
      <c r="BA110" s="213"/>
      <c r="BB110" s="213"/>
      <c r="BC110" s="213"/>
      <c r="BD110" s="213"/>
      <c r="BE110" s="213"/>
      <c r="BF110" s="213"/>
      <c r="BG110" s="213"/>
    </row>
    <row r="111" spans="1:59" x14ac:dyDescent="0.2">
      <c r="A111" s="13"/>
      <c r="B111" s="13"/>
      <c r="C111" s="13"/>
      <c r="D111" s="13"/>
      <c r="E111" s="59"/>
      <c r="F111" s="13"/>
      <c r="G111" s="13"/>
      <c r="H111" s="13"/>
      <c r="I111" s="13"/>
      <c r="J111" s="13"/>
      <c r="K111" s="97"/>
      <c r="L111" s="97"/>
      <c r="M111" s="97"/>
      <c r="N111" s="97"/>
      <c r="O111" s="205"/>
      <c r="P111" s="213"/>
      <c r="Q111" s="213"/>
      <c r="R111" s="213"/>
      <c r="S111" s="213"/>
      <c r="T111" s="213"/>
      <c r="U111" s="213"/>
      <c r="V111" s="213"/>
      <c r="W111" s="213"/>
      <c r="X111" s="213"/>
      <c r="Y111" s="213"/>
      <c r="Z111" s="213"/>
      <c r="AA111" s="213"/>
      <c r="AB111" s="213"/>
      <c r="AC111" s="213"/>
      <c r="AD111" s="213"/>
      <c r="AE111" s="213"/>
      <c r="AF111" s="213"/>
      <c r="AG111" s="213"/>
      <c r="AH111" s="213"/>
      <c r="AI111" s="213"/>
      <c r="AJ111" s="213"/>
      <c r="AK111" s="213"/>
      <c r="AL111" s="213"/>
      <c r="AM111" s="213"/>
      <c r="AN111" s="213"/>
      <c r="AO111" s="213"/>
      <c r="AP111" s="213"/>
      <c r="AQ111" s="213"/>
      <c r="AR111" s="213"/>
      <c r="AS111" s="213"/>
      <c r="AT111" s="213"/>
      <c r="AU111" s="213"/>
      <c r="AV111" s="213"/>
      <c r="AW111" s="213"/>
      <c r="AX111" s="213"/>
      <c r="AY111" s="213"/>
      <c r="AZ111" s="213"/>
      <c r="BA111" s="213"/>
      <c r="BB111" s="213"/>
      <c r="BC111" s="213"/>
      <c r="BD111" s="213"/>
      <c r="BE111" s="213"/>
      <c r="BF111" s="213"/>
      <c r="BG111" s="213"/>
    </row>
    <row r="112" spans="1:59" x14ac:dyDescent="0.2">
      <c r="A112" s="13"/>
      <c r="B112" s="13"/>
      <c r="C112" s="13"/>
      <c r="D112" s="13"/>
      <c r="E112" s="59"/>
      <c r="F112" s="13"/>
      <c r="G112" s="13"/>
      <c r="H112" s="13"/>
      <c r="I112" s="13"/>
      <c r="J112" s="13"/>
      <c r="K112" s="97"/>
      <c r="L112" s="97"/>
      <c r="M112" s="97"/>
      <c r="N112" s="97"/>
      <c r="O112" s="205"/>
      <c r="P112" s="213"/>
      <c r="Q112" s="213"/>
      <c r="R112" s="213"/>
      <c r="S112" s="213"/>
      <c r="T112" s="213"/>
      <c r="U112" s="213"/>
      <c r="V112" s="213"/>
      <c r="W112" s="213"/>
      <c r="X112" s="213"/>
      <c r="Y112" s="213"/>
      <c r="Z112" s="213"/>
      <c r="AA112" s="213"/>
      <c r="AB112" s="213"/>
      <c r="AC112" s="213"/>
      <c r="AD112" s="213"/>
      <c r="AE112" s="213"/>
      <c r="AF112" s="213"/>
      <c r="AG112" s="213"/>
      <c r="AH112" s="213"/>
      <c r="AI112" s="213"/>
      <c r="AJ112" s="213"/>
      <c r="AK112" s="213"/>
      <c r="AL112" s="213"/>
      <c r="AM112" s="213"/>
      <c r="AN112" s="213"/>
      <c r="AO112" s="213"/>
      <c r="AP112" s="213"/>
      <c r="AQ112" s="213"/>
      <c r="AR112" s="213"/>
      <c r="AS112" s="213"/>
      <c r="AT112" s="213"/>
      <c r="AU112" s="213"/>
      <c r="AV112" s="213"/>
      <c r="AW112" s="213"/>
      <c r="AX112" s="213"/>
      <c r="AY112" s="213"/>
      <c r="AZ112" s="213"/>
      <c r="BA112" s="213"/>
      <c r="BB112" s="213"/>
      <c r="BC112" s="213"/>
      <c r="BD112" s="213"/>
      <c r="BE112" s="213"/>
      <c r="BF112" s="213"/>
      <c r="BG112" s="213"/>
    </row>
    <row r="113" spans="1:59" x14ac:dyDescent="0.2">
      <c r="A113" s="13"/>
      <c r="B113" s="13"/>
      <c r="C113" s="13"/>
      <c r="D113" s="13"/>
      <c r="E113" s="59"/>
      <c r="F113" s="13"/>
      <c r="G113" s="13"/>
      <c r="H113" s="13"/>
      <c r="I113" s="13"/>
      <c r="J113" s="13"/>
      <c r="K113" s="97"/>
      <c r="L113" s="97"/>
      <c r="M113" s="97"/>
      <c r="N113" s="97"/>
      <c r="O113" s="205"/>
      <c r="P113" s="213"/>
      <c r="Q113" s="213"/>
      <c r="R113" s="213"/>
      <c r="S113" s="213"/>
      <c r="T113" s="213"/>
      <c r="U113" s="213"/>
      <c r="V113" s="213"/>
      <c r="W113" s="213"/>
      <c r="X113" s="213"/>
      <c r="Y113" s="213"/>
      <c r="Z113" s="213"/>
      <c r="AA113" s="213"/>
      <c r="AB113" s="213"/>
      <c r="AC113" s="213"/>
      <c r="AD113" s="213"/>
      <c r="AE113" s="213"/>
      <c r="AF113" s="213"/>
      <c r="AG113" s="213"/>
      <c r="AH113" s="213"/>
      <c r="AI113" s="213"/>
      <c r="AJ113" s="213"/>
      <c r="AK113" s="213"/>
      <c r="AL113" s="213"/>
      <c r="AM113" s="213"/>
      <c r="AN113" s="213"/>
      <c r="AO113" s="213"/>
      <c r="AP113" s="213"/>
      <c r="AQ113" s="213"/>
      <c r="AR113" s="213"/>
      <c r="AS113" s="213"/>
      <c r="AT113" s="213"/>
      <c r="AU113" s="213"/>
      <c r="AV113" s="213"/>
      <c r="AW113" s="213"/>
      <c r="AX113" s="213"/>
      <c r="AY113" s="213"/>
      <c r="AZ113" s="213"/>
      <c r="BA113" s="213"/>
      <c r="BB113" s="213"/>
      <c r="BC113" s="213"/>
      <c r="BD113" s="213"/>
      <c r="BE113" s="213"/>
      <c r="BF113" s="213"/>
      <c r="BG113" s="213"/>
    </row>
    <row r="114" spans="1:59" x14ac:dyDescent="0.2">
      <c r="A114" s="13"/>
      <c r="B114" s="13"/>
      <c r="C114" s="13"/>
      <c r="D114" s="13"/>
      <c r="E114" s="59"/>
      <c r="F114" s="13"/>
      <c r="G114" s="13"/>
      <c r="H114" s="13"/>
      <c r="I114" s="13"/>
      <c r="J114" s="13"/>
      <c r="K114" s="97"/>
      <c r="L114" s="97"/>
      <c r="M114" s="97"/>
      <c r="N114" s="97"/>
      <c r="O114" s="205"/>
      <c r="P114" s="213"/>
      <c r="Q114" s="213"/>
      <c r="R114" s="213"/>
      <c r="S114" s="213"/>
      <c r="T114" s="213"/>
      <c r="U114" s="213"/>
      <c r="V114" s="213"/>
      <c r="W114" s="213"/>
      <c r="X114" s="213"/>
      <c r="Y114" s="213"/>
      <c r="Z114" s="213"/>
      <c r="AA114" s="213"/>
      <c r="AB114" s="213"/>
      <c r="AC114" s="213"/>
      <c r="AD114" s="213"/>
      <c r="AE114" s="213"/>
      <c r="AF114" s="213"/>
      <c r="AG114" s="213"/>
      <c r="AH114" s="213"/>
      <c r="AI114" s="213"/>
      <c r="AJ114" s="213"/>
      <c r="AK114" s="213"/>
      <c r="AL114" s="213"/>
      <c r="AM114" s="213"/>
      <c r="AN114" s="213"/>
      <c r="AO114" s="213"/>
      <c r="AP114" s="213"/>
      <c r="AQ114" s="213"/>
      <c r="AR114" s="213"/>
      <c r="AS114" s="213"/>
      <c r="AT114" s="213"/>
      <c r="AU114" s="213"/>
      <c r="AV114" s="213"/>
      <c r="AW114" s="213"/>
      <c r="AX114" s="213"/>
      <c r="AY114" s="213"/>
      <c r="AZ114" s="213"/>
      <c r="BA114" s="213"/>
      <c r="BB114" s="213"/>
      <c r="BC114" s="213"/>
      <c r="BD114" s="213"/>
      <c r="BE114" s="213"/>
      <c r="BF114" s="213"/>
      <c r="BG114" s="213"/>
    </row>
    <row r="115" spans="1:59" x14ac:dyDescent="0.2">
      <c r="A115" s="13"/>
      <c r="B115" s="13"/>
      <c r="C115" s="13"/>
      <c r="D115" s="13"/>
      <c r="E115" s="59"/>
      <c r="F115" s="13"/>
      <c r="G115" s="13"/>
      <c r="H115" s="13"/>
      <c r="I115" s="13"/>
      <c r="J115" s="13"/>
      <c r="K115" s="97"/>
      <c r="L115" s="97"/>
      <c r="M115" s="97"/>
      <c r="N115" s="97"/>
      <c r="O115" s="205"/>
      <c r="P115" s="213"/>
      <c r="Q115" s="213"/>
      <c r="R115" s="213"/>
      <c r="S115" s="213"/>
      <c r="T115" s="213"/>
      <c r="U115" s="213"/>
      <c r="V115" s="213"/>
      <c r="W115" s="213"/>
      <c r="X115" s="213"/>
      <c r="Y115" s="213"/>
      <c r="Z115" s="213"/>
      <c r="AA115" s="213"/>
      <c r="AB115" s="213"/>
      <c r="AC115" s="213"/>
      <c r="AD115" s="213"/>
      <c r="AE115" s="213"/>
      <c r="AF115" s="213"/>
      <c r="AG115" s="213"/>
      <c r="AH115" s="213"/>
      <c r="AI115" s="213"/>
      <c r="AJ115" s="213"/>
      <c r="AK115" s="213"/>
      <c r="AL115" s="213"/>
      <c r="AM115" s="213"/>
      <c r="AN115" s="213"/>
      <c r="AO115" s="213"/>
      <c r="AP115" s="213"/>
      <c r="AQ115" s="213"/>
      <c r="AR115" s="213"/>
      <c r="AS115" s="213"/>
      <c r="AT115" s="213"/>
      <c r="AU115" s="213"/>
      <c r="AV115" s="213"/>
      <c r="AW115" s="213"/>
      <c r="AX115" s="213"/>
      <c r="AY115" s="213"/>
      <c r="AZ115" s="213"/>
      <c r="BA115" s="213"/>
      <c r="BB115" s="213"/>
      <c r="BC115" s="213"/>
      <c r="BD115" s="213"/>
      <c r="BE115" s="213"/>
      <c r="BF115" s="213"/>
      <c r="BG115" s="213"/>
    </row>
    <row r="116" spans="1:59" x14ac:dyDescent="0.2">
      <c r="A116" s="13"/>
      <c r="B116" s="13"/>
      <c r="C116" s="13"/>
      <c r="D116" s="13"/>
      <c r="E116" s="59"/>
      <c r="F116" s="13"/>
      <c r="G116" s="13"/>
      <c r="H116" s="13"/>
      <c r="I116" s="13"/>
      <c r="J116" s="13"/>
      <c r="K116" s="97"/>
      <c r="L116" s="97"/>
      <c r="M116" s="97"/>
      <c r="N116" s="97"/>
      <c r="O116" s="205"/>
      <c r="P116" s="213"/>
      <c r="Q116" s="213"/>
      <c r="R116" s="213"/>
      <c r="S116" s="213"/>
      <c r="T116" s="213"/>
      <c r="U116" s="213"/>
      <c r="V116" s="213"/>
      <c r="W116" s="213"/>
      <c r="X116" s="213"/>
      <c r="Y116" s="213"/>
      <c r="Z116" s="213"/>
      <c r="AA116" s="213"/>
      <c r="AB116" s="213"/>
      <c r="AC116" s="213"/>
      <c r="AD116" s="213"/>
      <c r="AE116" s="213"/>
      <c r="AF116" s="213"/>
      <c r="AG116" s="213"/>
      <c r="AH116" s="213"/>
      <c r="AI116" s="213"/>
      <c r="AJ116" s="213"/>
      <c r="AK116" s="213"/>
      <c r="AL116" s="213"/>
      <c r="AM116" s="213"/>
      <c r="AN116" s="213"/>
      <c r="AO116" s="213"/>
      <c r="AP116" s="213"/>
      <c r="AQ116" s="213"/>
      <c r="AR116" s="213"/>
      <c r="AS116" s="213"/>
      <c r="AT116" s="213"/>
      <c r="AU116" s="213"/>
      <c r="AV116" s="213"/>
      <c r="AW116" s="213"/>
      <c r="AX116" s="213"/>
      <c r="AY116" s="213"/>
      <c r="AZ116" s="213"/>
      <c r="BA116" s="213"/>
      <c r="BB116" s="213"/>
      <c r="BC116" s="213"/>
      <c r="BD116" s="213"/>
      <c r="BE116" s="213"/>
      <c r="BF116" s="213"/>
      <c r="BG116" s="213"/>
    </row>
    <row r="117" spans="1:59" x14ac:dyDescent="0.2">
      <c r="A117" s="13"/>
      <c r="B117" s="13"/>
      <c r="C117" s="13"/>
      <c r="D117" s="13"/>
      <c r="E117" s="59"/>
      <c r="F117" s="13"/>
      <c r="G117" s="13"/>
      <c r="H117" s="13"/>
      <c r="I117" s="13"/>
      <c r="J117" s="13"/>
      <c r="K117" s="97"/>
      <c r="L117" s="97"/>
      <c r="M117" s="97"/>
      <c r="N117" s="97"/>
      <c r="O117" s="205"/>
      <c r="P117" s="213"/>
      <c r="Q117" s="213"/>
      <c r="R117" s="213"/>
      <c r="S117" s="213"/>
      <c r="T117" s="213"/>
      <c r="U117" s="213"/>
      <c r="V117" s="213"/>
      <c r="W117" s="213"/>
      <c r="X117" s="213"/>
      <c r="Y117" s="213"/>
      <c r="Z117" s="213"/>
      <c r="AA117" s="213"/>
      <c r="AB117" s="213"/>
      <c r="AC117" s="213"/>
      <c r="AD117" s="213"/>
      <c r="AE117" s="213"/>
      <c r="AF117" s="213"/>
      <c r="AG117" s="213"/>
      <c r="AH117" s="213"/>
      <c r="AI117" s="213"/>
      <c r="AJ117" s="213"/>
      <c r="AK117" s="213"/>
      <c r="AL117" s="213"/>
      <c r="AM117" s="213"/>
      <c r="AN117" s="213"/>
      <c r="AO117" s="213"/>
      <c r="AP117" s="213"/>
      <c r="AQ117" s="213"/>
      <c r="AR117" s="213"/>
      <c r="AS117" s="213"/>
      <c r="AT117" s="213"/>
      <c r="AU117" s="213"/>
      <c r="AV117" s="213"/>
      <c r="AW117" s="213"/>
      <c r="AX117" s="213"/>
      <c r="AY117" s="213"/>
      <c r="AZ117" s="213"/>
      <c r="BA117" s="213"/>
      <c r="BB117" s="213"/>
      <c r="BC117" s="213"/>
      <c r="BD117" s="213"/>
      <c r="BE117" s="213"/>
      <c r="BF117" s="213"/>
      <c r="BG117" s="213"/>
    </row>
    <row r="118" spans="1:59" x14ac:dyDescent="0.2">
      <c r="A118" s="13"/>
      <c r="B118" s="13"/>
      <c r="C118" s="13"/>
      <c r="D118" s="13"/>
      <c r="E118" s="59"/>
      <c r="F118" s="13"/>
      <c r="G118" s="13"/>
      <c r="H118" s="13"/>
      <c r="I118" s="13"/>
      <c r="J118" s="13"/>
      <c r="K118" s="97"/>
      <c r="L118" s="97"/>
      <c r="M118" s="97"/>
      <c r="N118" s="97"/>
      <c r="O118" s="205"/>
      <c r="P118" s="213"/>
      <c r="Q118" s="213"/>
      <c r="R118" s="213"/>
      <c r="S118" s="213"/>
      <c r="T118" s="213"/>
      <c r="U118" s="213"/>
      <c r="V118" s="213"/>
      <c r="W118" s="213"/>
      <c r="X118" s="213"/>
      <c r="Y118" s="213"/>
      <c r="Z118" s="213"/>
      <c r="AA118" s="213"/>
      <c r="AB118" s="213"/>
      <c r="AC118" s="213"/>
      <c r="AD118" s="213"/>
      <c r="AE118" s="213"/>
      <c r="AF118" s="213"/>
      <c r="AG118" s="213"/>
      <c r="AH118" s="213"/>
      <c r="AI118" s="213"/>
      <c r="AJ118" s="213"/>
      <c r="AK118" s="213"/>
      <c r="AL118" s="213"/>
      <c r="AM118" s="213"/>
      <c r="AN118" s="213"/>
      <c r="AO118" s="213"/>
      <c r="AP118" s="213"/>
      <c r="AQ118" s="213"/>
      <c r="AR118" s="213"/>
      <c r="AS118" s="213"/>
      <c r="AT118" s="213"/>
      <c r="AU118" s="213"/>
      <c r="AV118" s="213"/>
      <c r="AW118" s="213"/>
      <c r="AX118" s="213"/>
      <c r="AY118" s="213"/>
      <c r="AZ118" s="213"/>
      <c r="BA118" s="213"/>
      <c r="BB118" s="213"/>
      <c r="BC118" s="213"/>
      <c r="BD118" s="213"/>
      <c r="BE118" s="213"/>
      <c r="BF118" s="213"/>
      <c r="BG118" s="213"/>
    </row>
    <row r="119" spans="1:59" x14ac:dyDescent="0.2">
      <c r="A119" s="13"/>
      <c r="B119" s="13"/>
      <c r="C119" s="13"/>
      <c r="D119" s="13"/>
      <c r="E119" s="59"/>
      <c r="F119" s="13"/>
      <c r="G119" s="13"/>
      <c r="H119" s="13"/>
      <c r="I119" s="13"/>
      <c r="J119" s="13"/>
      <c r="K119" s="97"/>
      <c r="L119" s="97"/>
      <c r="M119" s="97"/>
      <c r="N119" s="97"/>
      <c r="O119" s="205"/>
      <c r="P119" s="213"/>
      <c r="Q119" s="213"/>
      <c r="R119" s="213"/>
      <c r="S119" s="213"/>
      <c r="T119" s="213"/>
      <c r="U119" s="213"/>
      <c r="V119" s="213"/>
      <c r="W119" s="213"/>
      <c r="X119" s="213"/>
      <c r="Y119" s="213"/>
      <c r="Z119" s="213"/>
      <c r="AA119" s="213"/>
      <c r="AB119" s="213"/>
      <c r="AC119" s="213"/>
      <c r="AD119" s="213"/>
      <c r="AE119" s="213"/>
      <c r="AF119" s="213"/>
      <c r="AG119" s="213"/>
      <c r="AH119" s="213"/>
      <c r="AI119" s="213"/>
      <c r="AJ119" s="213"/>
      <c r="AK119" s="213"/>
      <c r="AL119" s="213"/>
      <c r="AM119" s="213"/>
      <c r="AN119" s="213"/>
      <c r="AO119" s="213"/>
      <c r="AP119" s="213"/>
      <c r="AQ119" s="213"/>
      <c r="AR119" s="213"/>
      <c r="AS119" s="213"/>
      <c r="AT119" s="213"/>
      <c r="AU119" s="213"/>
      <c r="AV119" s="213"/>
      <c r="AW119" s="213"/>
      <c r="AX119" s="213"/>
      <c r="AY119" s="213"/>
      <c r="AZ119" s="213"/>
      <c r="BA119" s="213"/>
      <c r="BB119" s="213"/>
      <c r="BC119" s="213"/>
      <c r="BD119" s="213"/>
      <c r="BE119" s="213"/>
      <c r="BF119" s="213"/>
      <c r="BG119" s="213"/>
    </row>
    <row r="120" spans="1:59" x14ac:dyDescent="0.2">
      <c r="A120" s="13"/>
      <c r="B120" s="13"/>
      <c r="C120" s="13"/>
      <c r="D120" s="13"/>
      <c r="E120" s="59"/>
      <c r="F120" s="13"/>
      <c r="G120" s="13"/>
      <c r="H120" s="13"/>
      <c r="I120" s="13"/>
      <c r="J120" s="13"/>
      <c r="K120" s="97"/>
      <c r="L120" s="97"/>
      <c r="M120" s="97"/>
      <c r="N120" s="97"/>
      <c r="O120" s="205"/>
      <c r="P120" s="213"/>
      <c r="Q120" s="213"/>
      <c r="R120" s="213"/>
      <c r="S120" s="213"/>
      <c r="T120" s="213"/>
      <c r="U120" s="213"/>
      <c r="V120" s="213"/>
      <c r="W120" s="213"/>
      <c r="X120" s="213"/>
      <c r="Y120" s="213"/>
      <c r="Z120" s="213"/>
      <c r="AA120" s="213"/>
      <c r="AB120" s="213"/>
      <c r="AC120" s="213"/>
      <c r="AD120" s="213"/>
      <c r="AE120" s="213"/>
      <c r="AF120" s="213"/>
      <c r="AG120" s="213"/>
      <c r="AH120" s="213"/>
      <c r="AI120" s="213"/>
      <c r="AJ120" s="213"/>
      <c r="AK120" s="213"/>
      <c r="AL120" s="213"/>
      <c r="AM120" s="213"/>
      <c r="AN120" s="213"/>
      <c r="AO120" s="213"/>
      <c r="AP120" s="213"/>
      <c r="AQ120" s="213"/>
      <c r="AR120" s="213"/>
      <c r="AS120" s="213"/>
      <c r="AT120" s="213"/>
      <c r="AU120" s="213"/>
      <c r="AV120" s="213"/>
      <c r="AW120" s="213"/>
      <c r="AX120" s="213"/>
      <c r="AY120" s="213"/>
      <c r="AZ120" s="213"/>
      <c r="BA120" s="213"/>
      <c r="BB120" s="213"/>
      <c r="BC120" s="213"/>
      <c r="BD120" s="213"/>
      <c r="BE120" s="213"/>
      <c r="BF120" s="213"/>
      <c r="BG120" s="213"/>
    </row>
    <row r="121" spans="1:59" x14ac:dyDescent="0.2">
      <c r="A121" s="13"/>
      <c r="B121" s="13"/>
      <c r="C121" s="13"/>
      <c r="D121" s="13"/>
      <c r="E121" s="59"/>
      <c r="F121" s="13"/>
      <c r="G121" s="13"/>
      <c r="H121" s="13"/>
      <c r="I121" s="13"/>
      <c r="J121" s="13"/>
      <c r="K121" s="97"/>
      <c r="L121" s="97"/>
      <c r="M121" s="97"/>
      <c r="N121" s="97"/>
      <c r="O121" s="205"/>
      <c r="P121" s="213"/>
      <c r="Q121" s="213"/>
      <c r="R121" s="213"/>
      <c r="S121" s="213"/>
      <c r="T121" s="213"/>
      <c r="U121" s="213"/>
      <c r="V121" s="213"/>
      <c r="W121" s="213"/>
      <c r="X121" s="213"/>
      <c r="Y121" s="213"/>
      <c r="Z121" s="213"/>
      <c r="AA121" s="213"/>
      <c r="AB121" s="213"/>
      <c r="AC121" s="213"/>
      <c r="AD121" s="213"/>
      <c r="AE121" s="213"/>
      <c r="AF121" s="213"/>
      <c r="AG121" s="213"/>
      <c r="AH121" s="213"/>
      <c r="AI121" s="213"/>
      <c r="AJ121" s="213"/>
      <c r="AK121" s="213"/>
      <c r="AL121" s="213"/>
      <c r="AM121" s="213"/>
      <c r="AN121" s="213"/>
      <c r="AO121" s="213"/>
      <c r="AP121" s="213"/>
      <c r="AQ121" s="213"/>
      <c r="AR121" s="213"/>
      <c r="AS121" s="213"/>
      <c r="AT121" s="213"/>
      <c r="AU121" s="213"/>
      <c r="AV121" s="213"/>
      <c r="AW121" s="213"/>
      <c r="AX121" s="213"/>
      <c r="AY121" s="213"/>
      <c r="AZ121" s="213"/>
      <c r="BA121" s="213"/>
      <c r="BB121" s="213"/>
      <c r="BC121" s="213"/>
      <c r="BD121" s="213"/>
      <c r="BE121" s="213"/>
      <c r="BF121" s="213"/>
      <c r="BG121" s="213"/>
    </row>
    <row r="122" spans="1:59" x14ac:dyDescent="0.2">
      <c r="A122" s="13"/>
      <c r="B122" s="13"/>
      <c r="C122" s="13"/>
      <c r="D122" s="13"/>
      <c r="E122" s="59"/>
      <c r="F122" s="13"/>
      <c r="G122" s="13"/>
      <c r="H122" s="13"/>
      <c r="I122" s="13"/>
      <c r="J122" s="13"/>
      <c r="K122" s="97"/>
      <c r="L122" s="97"/>
      <c r="M122" s="97"/>
      <c r="N122" s="97"/>
      <c r="O122" s="205"/>
      <c r="P122" s="213"/>
      <c r="Q122" s="213"/>
      <c r="R122" s="213"/>
      <c r="S122" s="213"/>
      <c r="T122" s="213"/>
      <c r="U122" s="213"/>
      <c r="V122" s="213"/>
      <c r="W122" s="213"/>
      <c r="X122" s="213"/>
      <c r="Y122" s="213"/>
      <c r="Z122" s="213"/>
      <c r="AA122" s="213"/>
      <c r="AB122" s="213"/>
      <c r="AC122" s="213"/>
      <c r="AD122" s="213"/>
      <c r="AE122" s="213"/>
      <c r="AF122" s="213"/>
      <c r="AG122" s="213"/>
      <c r="AH122" s="213"/>
      <c r="AI122" s="213"/>
      <c r="AJ122" s="213"/>
      <c r="AK122" s="213"/>
      <c r="AL122" s="213"/>
      <c r="AM122" s="213"/>
      <c r="AN122" s="213"/>
      <c r="AO122" s="213"/>
      <c r="AP122" s="213"/>
      <c r="AQ122" s="213"/>
      <c r="AR122" s="213"/>
      <c r="AS122" s="213"/>
      <c r="AT122" s="213"/>
      <c r="AU122" s="213"/>
      <c r="AV122" s="213"/>
      <c r="AW122" s="213"/>
      <c r="AX122" s="213"/>
      <c r="AY122" s="213"/>
      <c r="AZ122" s="213"/>
      <c r="BA122" s="213"/>
      <c r="BB122" s="213"/>
      <c r="BC122" s="213"/>
      <c r="BD122" s="213"/>
      <c r="BE122" s="213"/>
      <c r="BF122" s="213"/>
      <c r="BG122" s="213"/>
    </row>
    <row r="123" spans="1:59" x14ac:dyDescent="0.2">
      <c r="A123" s="13"/>
      <c r="B123" s="13"/>
      <c r="C123" s="13"/>
      <c r="D123" s="13"/>
      <c r="E123" s="59"/>
      <c r="F123" s="13"/>
      <c r="G123" s="13"/>
      <c r="H123" s="13"/>
      <c r="I123" s="13"/>
      <c r="J123" s="13"/>
      <c r="K123" s="97"/>
      <c r="L123" s="97"/>
      <c r="M123" s="97"/>
      <c r="N123" s="97"/>
      <c r="O123" s="205"/>
      <c r="P123" s="213"/>
      <c r="Q123" s="213"/>
      <c r="R123" s="213"/>
      <c r="S123" s="213"/>
      <c r="T123" s="213"/>
      <c r="U123" s="213"/>
      <c r="V123" s="213"/>
      <c r="W123" s="213"/>
      <c r="X123" s="213"/>
      <c r="Y123" s="213"/>
      <c r="Z123" s="213"/>
      <c r="AA123" s="213"/>
      <c r="AB123" s="213"/>
      <c r="AC123" s="213"/>
      <c r="AD123" s="213"/>
      <c r="AE123" s="213"/>
      <c r="AF123" s="213"/>
      <c r="AG123" s="213"/>
      <c r="AH123" s="213"/>
      <c r="AI123" s="213"/>
      <c r="AJ123" s="213"/>
      <c r="AK123" s="213"/>
      <c r="AL123" s="213"/>
      <c r="AM123" s="213"/>
      <c r="AN123" s="213"/>
      <c r="AO123" s="213"/>
      <c r="AP123" s="213"/>
      <c r="AQ123" s="213"/>
      <c r="AR123" s="213"/>
      <c r="AS123" s="213"/>
      <c r="AT123" s="213"/>
      <c r="AU123" s="213"/>
      <c r="AV123" s="213"/>
      <c r="AW123" s="213"/>
      <c r="AX123" s="213"/>
      <c r="AY123" s="213"/>
      <c r="AZ123" s="213"/>
      <c r="BA123" s="213"/>
      <c r="BB123" s="213"/>
      <c r="BC123" s="213"/>
      <c r="BD123" s="213"/>
      <c r="BE123" s="213"/>
      <c r="BF123" s="213"/>
      <c r="BG123" s="213"/>
    </row>
    <row r="124" spans="1:59" x14ac:dyDescent="0.2">
      <c r="A124" s="13"/>
      <c r="B124" s="13"/>
      <c r="C124" s="13"/>
      <c r="D124" s="13"/>
      <c r="E124" s="59"/>
      <c r="F124" s="13"/>
      <c r="G124" s="13"/>
      <c r="H124" s="13"/>
      <c r="I124" s="13"/>
      <c r="J124" s="13"/>
      <c r="K124" s="97"/>
      <c r="L124" s="97"/>
      <c r="M124" s="97"/>
      <c r="N124" s="97"/>
      <c r="O124" s="205"/>
      <c r="P124" s="213"/>
      <c r="Q124" s="213"/>
      <c r="R124" s="213"/>
      <c r="S124" s="213"/>
      <c r="T124" s="213"/>
      <c r="U124" s="213"/>
      <c r="V124" s="213"/>
      <c r="W124" s="213"/>
      <c r="X124" s="213"/>
      <c r="Y124" s="213"/>
      <c r="Z124" s="213"/>
      <c r="AA124" s="213"/>
      <c r="AB124" s="213"/>
      <c r="AC124" s="213"/>
      <c r="AD124" s="213"/>
      <c r="AE124" s="213"/>
      <c r="AF124" s="213"/>
      <c r="AG124" s="213"/>
      <c r="AH124" s="213"/>
      <c r="AI124" s="213"/>
      <c r="AJ124" s="213"/>
      <c r="AK124" s="213"/>
      <c r="AL124" s="213"/>
      <c r="AM124" s="213"/>
      <c r="AN124" s="213"/>
      <c r="AO124" s="213"/>
      <c r="AP124" s="213"/>
      <c r="AQ124" s="213"/>
      <c r="AR124" s="213"/>
      <c r="AS124" s="213"/>
      <c r="AT124" s="213"/>
      <c r="AU124" s="213"/>
      <c r="AV124" s="213"/>
      <c r="AW124" s="213"/>
      <c r="AX124" s="213"/>
      <c r="AY124" s="213"/>
      <c r="AZ124" s="213"/>
      <c r="BA124" s="213"/>
      <c r="BB124" s="213"/>
      <c r="BC124" s="213"/>
      <c r="BD124" s="213"/>
      <c r="BE124" s="213"/>
      <c r="BF124" s="213"/>
      <c r="BG124" s="213"/>
    </row>
    <row r="125" spans="1:59" x14ac:dyDescent="0.2">
      <c r="A125" s="13"/>
      <c r="B125" s="13"/>
      <c r="C125" s="13"/>
      <c r="D125" s="13"/>
      <c r="E125" s="59"/>
      <c r="F125" s="13"/>
      <c r="G125" s="13"/>
      <c r="H125" s="13"/>
      <c r="I125" s="13"/>
      <c r="J125" s="13"/>
      <c r="K125" s="97"/>
      <c r="L125" s="97"/>
      <c r="M125" s="97"/>
      <c r="N125" s="97"/>
      <c r="O125" s="205"/>
      <c r="P125" s="213"/>
      <c r="Q125" s="213"/>
      <c r="R125" s="213"/>
      <c r="S125" s="213"/>
      <c r="T125" s="213"/>
      <c r="U125" s="213"/>
      <c r="V125" s="213"/>
      <c r="W125" s="213"/>
      <c r="X125" s="213"/>
      <c r="Y125" s="213"/>
      <c r="Z125" s="213"/>
      <c r="AA125" s="213"/>
      <c r="AB125" s="213"/>
      <c r="AC125" s="213"/>
      <c r="AD125" s="213"/>
      <c r="AE125" s="213"/>
      <c r="AF125" s="213"/>
      <c r="AG125" s="213"/>
      <c r="AH125" s="213"/>
      <c r="AI125" s="213"/>
      <c r="AJ125" s="213"/>
      <c r="AK125" s="213"/>
      <c r="AL125" s="213"/>
      <c r="AM125" s="213"/>
      <c r="AN125" s="213"/>
      <c r="AO125" s="213"/>
      <c r="AP125" s="213"/>
      <c r="AQ125" s="213"/>
      <c r="AR125" s="213"/>
      <c r="AS125" s="213"/>
      <c r="AT125" s="213"/>
      <c r="AU125" s="213"/>
      <c r="AV125" s="213"/>
      <c r="AW125" s="213"/>
      <c r="AX125" s="213"/>
      <c r="AY125" s="213"/>
      <c r="AZ125" s="213"/>
      <c r="BA125" s="213"/>
      <c r="BB125" s="213"/>
      <c r="BC125" s="213"/>
      <c r="BD125" s="213"/>
      <c r="BE125" s="213"/>
      <c r="BF125" s="213"/>
      <c r="BG125" s="213"/>
    </row>
    <row r="126" spans="1:59" x14ac:dyDescent="0.2">
      <c r="A126" s="13"/>
      <c r="B126" s="13"/>
      <c r="C126" s="13"/>
      <c r="D126" s="13"/>
      <c r="E126" s="59"/>
      <c r="F126" s="13"/>
      <c r="G126" s="13"/>
      <c r="H126" s="13"/>
      <c r="I126" s="13"/>
      <c r="J126" s="13"/>
      <c r="K126" s="97"/>
      <c r="L126" s="97"/>
      <c r="M126" s="97"/>
      <c r="N126" s="97"/>
      <c r="O126" s="205"/>
      <c r="P126" s="213"/>
      <c r="Q126" s="213"/>
      <c r="R126" s="213"/>
      <c r="S126" s="213"/>
      <c r="T126" s="213"/>
      <c r="U126" s="213"/>
      <c r="V126" s="213"/>
      <c r="W126" s="213"/>
      <c r="X126" s="213"/>
      <c r="Y126" s="213"/>
      <c r="Z126" s="213"/>
      <c r="AA126" s="213"/>
      <c r="AB126" s="213"/>
      <c r="AC126" s="213"/>
      <c r="AD126" s="213"/>
      <c r="AE126" s="213"/>
      <c r="AF126" s="213"/>
      <c r="AG126" s="213"/>
      <c r="AH126" s="213"/>
      <c r="AI126" s="213"/>
      <c r="AJ126" s="213"/>
      <c r="AK126" s="213"/>
      <c r="AL126" s="213"/>
      <c r="AM126" s="213"/>
      <c r="AN126" s="213"/>
      <c r="AO126" s="213"/>
      <c r="AP126" s="213"/>
      <c r="AQ126" s="213"/>
      <c r="AR126" s="213"/>
      <c r="AS126" s="213"/>
      <c r="AT126" s="213"/>
      <c r="AU126" s="213"/>
      <c r="AV126" s="213"/>
      <c r="AW126" s="213"/>
      <c r="AX126" s="213"/>
      <c r="AY126" s="213"/>
      <c r="AZ126" s="213"/>
      <c r="BA126" s="213"/>
      <c r="BB126" s="213"/>
      <c r="BC126" s="213"/>
      <c r="BD126" s="213"/>
      <c r="BE126" s="213"/>
      <c r="BF126" s="213"/>
      <c r="BG126" s="213"/>
    </row>
    <row r="127" spans="1:59" x14ac:dyDescent="0.2">
      <c r="A127" s="13"/>
      <c r="B127" s="13"/>
      <c r="C127" s="13"/>
      <c r="D127" s="13"/>
      <c r="E127" s="59"/>
      <c r="F127" s="13"/>
      <c r="G127" s="13"/>
      <c r="H127" s="13"/>
      <c r="I127" s="13"/>
      <c r="J127" s="13"/>
      <c r="K127" s="97"/>
      <c r="L127" s="97"/>
      <c r="M127" s="97"/>
      <c r="N127" s="97"/>
      <c r="O127" s="205"/>
      <c r="P127" s="213"/>
      <c r="Q127" s="213"/>
      <c r="R127" s="213"/>
      <c r="S127" s="213"/>
      <c r="T127" s="213"/>
      <c r="U127" s="213"/>
      <c r="V127" s="213"/>
      <c r="W127" s="213"/>
      <c r="X127" s="213"/>
      <c r="Y127" s="213"/>
      <c r="Z127" s="213"/>
      <c r="AA127" s="213"/>
      <c r="AB127" s="213"/>
      <c r="AC127" s="213"/>
      <c r="AD127" s="213"/>
      <c r="AE127" s="213"/>
      <c r="AF127" s="213"/>
      <c r="AG127" s="213"/>
      <c r="AH127" s="213"/>
      <c r="AI127" s="213"/>
      <c r="AJ127" s="213"/>
      <c r="AK127" s="213"/>
      <c r="AL127" s="213"/>
      <c r="AM127" s="213"/>
      <c r="AN127" s="213"/>
      <c r="AO127" s="213"/>
      <c r="AP127" s="213"/>
      <c r="AQ127" s="213"/>
      <c r="AR127" s="213"/>
      <c r="AS127" s="213"/>
      <c r="AT127" s="213"/>
      <c r="AU127" s="213"/>
      <c r="AV127" s="213"/>
      <c r="AW127" s="213"/>
      <c r="AX127" s="213"/>
      <c r="AY127" s="213"/>
      <c r="AZ127" s="213"/>
      <c r="BA127" s="213"/>
      <c r="BB127" s="213"/>
      <c r="BC127" s="213"/>
      <c r="BD127" s="213"/>
      <c r="BE127" s="213"/>
      <c r="BF127" s="213"/>
      <c r="BG127" s="213"/>
    </row>
    <row r="128" spans="1:59" x14ac:dyDescent="0.2">
      <c r="A128" s="13"/>
      <c r="B128" s="13"/>
      <c r="C128" s="13"/>
      <c r="D128" s="13"/>
      <c r="E128" s="59"/>
      <c r="F128" s="13"/>
      <c r="G128" s="13"/>
      <c r="H128" s="13"/>
      <c r="I128" s="13"/>
      <c r="J128" s="13"/>
      <c r="K128" s="97"/>
      <c r="L128" s="97"/>
      <c r="M128" s="97"/>
      <c r="N128" s="97"/>
      <c r="O128" s="205"/>
      <c r="P128" s="213"/>
      <c r="Q128" s="213"/>
      <c r="R128" s="213"/>
      <c r="S128" s="213"/>
      <c r="T128" s="213"/>
      <c r="U128" s="213"/>
      <c r="V128" s="213"/>
      <c r="W128" s="213"/>
      <c r="X128" s="213"/>
      <c r="Y128" s="213"/>
      <c r="Z128" s="213"/>
      <c r="AA128" s="213"/>
      <c r="AB128" s="213"/>
      <c r="AC128" s="213"/>
      <c r="AD128" s="213"/>
      <c r="AE128" s="213"/>
      <c r="AF128" s="213"/>
      <c r="AG128" s="213"/>
      <c r="AH128" s="213"/>
      <c r="AI128" s="213"/>
      <c r="AJ128" s="213"/>
      <c r="AK128" s="213"/>
      <c r="AL128" s="213"/>
      <c r="AM128" s="213"/>
      <c r="AN128" s="213"/>
      <c r="AO128" s="213"/>
      <c r="AP128" s="213"/>
      <c r="AQ128" s="213"/>
      <c r="AR128" s="213"/>
      <c r="AS128" s="213"/>
      <c r="AT128" s="213"/>
      <c r="AU128" s="213"/>
      <c r="AV128" s="213"/>
      <c r="AW128" s="213"/>
      <c r="AX128" s="213"/>
      <c r="AY128" s="213"/>
      <c r="AZ128" s="213"/>
      <c r="BA128" s="213"/>
      <c r="BB128" s="213"/>
      <c r="BC128" s="213"/>
      <c r="BD128" s="213"/>
      <c r="BE128" s="213"/>
      <c r="BF128" s="213"/>
      <c r="BG128" s="213"/>
    </row>
    <row r="129" spans="1:59" x14ac:dyDescent="0.2">
      <c r="A129" s="13"/>
      <c r="B129" s="13"/>
      <c r="C129" s="13"/>
      <c r="D129" s="13"/>
      <c r="E129" s="59"/>
      <c r="F129" s="13"/>
      <c r="G129" s="13"/>
      <c r="H129" s="13"/>
      <c r="I129" s="13"/>
      <c r="J129" s="13"/>
      <c r="K129" s="97"/>
      <c r="L129" s="97"/>
      <c r="M129" s="97"/>
      <c r="N129" s="97"/>
      <c r="O129" s="205"/>
      <c r="P129" s="213"/>
      <c r="Q129" s="213"/>
      <c r="R129" s="213"/>
      <c r="S129" s="213"/>
      <c r="T129" s="213"/>
      <c r="U129" s="213"/>
      <c r="V129" s="213"/>
      <c r="W129" s="213"/>
      <c r="X129" s="213"/>
      <c r="Y129" s="213"/>
      <c r="Z129" s="213"/>
      <c r="AA129" s="213"/>
      <c r="AB129" s="213"/>
      <c r="AC129" s="213"/>
      <c r="AD129" s="213"/>
      <c r="AE129" s="213"/>
      <c r="AF129" s="213"/>
      <c r="AG129" s="213"/>
      <c r="AH129" s="213"/>
      <c r="AI129" s="213"/>
      <c r="AJ129" s="213"/>
      <c r="AK129" s="213"/>
      <c r="AL129" s="213"/>
      <c r="AM129" s="213"/>
      <c r="AN129" s="213"/>
      <c r="AO129" s="213"/>
      <c r="AP129" s="213"/>
      <c r="AQ129" s="213"/>
      <c r="AR129" s="213"/>
      <c r="AS129" s="213"/>
      <c r="AT129" s="213"/>
      <c r="AU129" s="213"/>
      <c r="AV129" s="213"/>
      <c r="AW129" s="213"/>
      <c r="AX129" s="213"/>
      <c r="AY129" s="213"/>
      <c r="AZ129" s="213"/>
      <c r="BA129" s="213"/>
      <c r="BB129" s="213"/>
      <c r="BC129" s="213"/>
      <c r="BD129" s="213"/>
      <c r="BE129" s="213"/>
      <c r="BF129" s="213"/>
      <c r="BG129" s="213"/>
    </row>
    <row r="130" spans="1:59" x14ac:dyDescent="0.2">
      <c r="A130" s="13"/>
      <c r="B130" s="13"/>
      <c r="C130" s="13"/>
      <c r="D130" s="13"/>
      <c r="E130" s="59"/>
      <c r="F130" s="13"/>
      <c r="G130" s="13"/>
      <c r="H130" s="13"/>
      <c r="I130" s="13"/>
      <c r="J130" s="13"/>
      <c r="K130" s="97"/>
      <c r="L130" s="97"/>
      <c r="M130" s="97"/>
      <c r="N130" s="97"/>
      <c r="O130" s="205"/>
      <c r="P130" s="213"/>
      <c r="Q130" s="213"/>
      <c r="R130" s="213"/>
      <c r="S130" s="213"/>
      <c r="T130" s="213"/>
      <c r="U130" s="213"/>
      <c r="V130" s="213"/>
      <c r="W130" s="213"/>
      <c r="X130" s="213"/>
      <c r="Y130" s="213"/>
      <c r="Z130" s="213"/>
      <c r="AA130" s="213"/>
      <c r="AB130" s="213"/>
      <c r="AC130" s="213"/>
      <c r="AD130" s="213"/>
      <c r="AE130" s="213"/>
      <c r="AF130" s="213"/>
      <c r="AG130" s="213"/>
      <c r="AH130" s="213"/>
      <c r="AI130" s="213"/>
      <c r="AJ130" s="213"/>
      <c r="AK130" s="213"/>
      <c r="AL130" s="213"/>
      <c r="AM130" s="213"/>
      <c r="AN130" s="213"/>
      <c r="AO130" s="213"/>
      <c r="AP130" s="213"/>
      <c r="AQ130" s="213"/>
      <c r="AR130" s="213"/>
      <c r="AS130" s="213"/>
      <c r="AT130" s="213"/>
      <c r="AU130" s="213"/>
      <c r="AV130" s="213"/>
      <c r="AW130" s="213"/>
      <c r="AX130" s="213"/>
      <c r="AY130" s="213"/>
      <c r="AZ130" s="213"/>
      <c r="BA130" s="213"/>
      <c r="BB130" s="213"/>
      <c r="BC130" s="213"/>
      <c r="BD130" s="213"/>
      <c r="BE130" s="213"/>
      <c r="BF130" s="213"/>
      <c r="BG130" s="213"/>
    </row>
    <row r="131" spans="1:59" x14ac:dyDescent="0.2">
      <c r="A131" s="13"/>
      <c r="B131" s="13"/>
      <c r="C131" s="13"/>
      <c r="D131" s="13"/>
      <c r="E131" s="59"/>
      <c r="F131" s="13"/>
      <c r="G131" s="13"/>
      <c r="H131" s="13"/>
      <c r="I131" s="13"/>
      <c r="J131" s="13"/>
      <c r="K131" s="97"/>
      <c r="L131" s="97"/>
      <c r="M131" s="97"/>
      <c r="N131" s="97"/>
      <c r="O131" s="205"/>
      <c r="P131" s="213"/>
      <c r="Q131" s="213"/>
      <c r="R131" s="213"/>
      <c r="S131" s="213"/>
      <c r="T131" s="213"/>
      <c r="U131" s="213"/>
      <c r="V131" s="213"/>
      <c r="W131" s="213"/>
      <c r="X131" s="213"/>
      <c r="Y131" s="213"/>
      <c r="Z131" s="213"/>
      <c r="AA131" s="213"/>
      <c r="AB131" s="213"/>
      <c r="AC131" s="213"/>
      <c r="AD131" s="213"/>
      <c r="AE131" s="213"/>
      <c r="AF131" s="213"/>
      <c r="AG131" s="213"/>
      <c r="AH131" s="213"/>
      <c r="AI131" s="213"/>
      <c r="AJ131" s="213"/>
      <c r="AK131" s="213"/>
      <c r="AL131" s="213"/>
      <c r="AM131" s="213"/>
      <c r="AN131" s="213"/>
      <c r="AO131" s="213"/>
      <c r="AP131" s="213"/>
      <c r="AQ131" s="213"/>
      <c r="AR131" s="213"/>
      <c r="AS131" s="213"/>
      <c r="AT131" s="213"/>
      <c r="AU131" s="213"/>
      <c r="AV131" s="213"/>
      <c r="AW131" s="213"/>
      <c r="AX131" s="213"/>
      <c r="AY131" s="213"/>
      <c r="AZ131" s="213"/>
      <c r="BA131" s="213"/>
      <c r="BB131" s="213"/>
      <c r="BC131" s="213"/>
      <c r="BD131" s="213"/>
      <c r="BE131" s="213"/>
      <c r="BF131" s="213"/>
      <c r="BG131" s="213"/>
    </row>
    <row r="132" spans="1:59" x14ac:dyDescent="0.2">
      <c r="A132" s="13"/>
      <c r="B132" s="13"/>
      <c r="C132" s="13"/>
      <c r="D132" s="13"/>
      <c r="E132" s="59"/>
      <c r="F132" s="13"/>
      <c r="G132" s="13"/>
      <c r="H132" s="13"/>
      <c r="I132" s="13"/>
      <c r="J132" s="13"/>
      <c r="K132" s="97"/>
      <c r="L132" s="97"/>
      <c r="M132" s="97"/>
      <c r="N132" s="97"/>
      <c r="O132" s="205"/>
      <c r="P132" s="213"/>
      <c r="Q132" s="213"/>
      <c r="R132" s="213"/>
      <c r="S132" s="213"/>
      <c r="T132" s="213"/>
      <c r="U132" s="213"/>
      <c r="V132" s="213"/>
      <c r="W132" s="213"/>
      <c r="X132" s="213"/>
      <c r="Y132" s="213"/>
      <c r="Z132" s="213"/>
      <c r="AA132" s="213"/>
      <c r="AB132" s="213"/>
      <c r="AC132" s="213"/>
      <c r="AD132" s="213"/>
      <c r="AE132" s="213"/>
      <c r="AF132" s="213"/>
      <c r="AG132" s="213"/>
      <c r="AH132" s="213"/>
      <c r="AI132" s="213"/>
      <c r="AJ132" s="213"/>
      <c r="AK132" s="213"/>
      <c r="AL132" s="213"/>
      <c r="AM132" s="213"/>
      <c r="AN132" s="213"/>
      <c r="AO132" s="213"/>
      <c r="AP132" s="213"/>
      <c r="AQ132" s="213"/>
      <c r="AR132" s="213"/>
      <c r="AS132" s="213"/>
      <c r="AT132" s="213"/>
      <c r="AU132" s="213"/>
      <c r="AV132" s="213"/>
      <c r="AW132" s="213"/>
      <c r="AX132" s="213"/>
      <c r="AY132" s="213"/>
      <c r="AZ132" s="213"/>
      <c r="BA132" s="213"/>
      <c r="BB132" s="213"/>
      <c r="BC132" s="213"/>
      <c r="BD132" s="213"/>
      <c r="BE132" s="213"/>
      <c r="BF132" s="213"/>
      <c r="BG132" s="213"/>
    </row>
    <row r="133" spans="1:59" x14ac:dyDescent="0.2">
      <c r="A133" s="13"/>
      <c r="B133" s="13"/>
      <c r="C133" s="13"/>
      <c r="D133" s="13"/>
      <c r="E133" s="59"/>
      <c r="F133" s="13"/>
      <c r="G133" s="13"/>
      <c r="H133" s="13"/>
      <c r="I133" s="13"/>
      <c r="J133" s="13"/>
      <c r="K133" s="97"/>
      <c r="L133" s="97"/>
      <c r="M133" s="97"/>
      <c r="N133" s="97"/>
      <c r="O133" s="205"/>
      <c r="P133" s="213"/>
      <c r="Q133" s="213"/>
      <c r="R133" s="213"/>
      <c r="S133" s="213"/>
      <c r="T133" s="213"/>
      <c r="U133" s="213"/>
      <c r="V133" s="213"/>
      <c r="W133" s="213"/>
      <c r="X133" s="213"/>
      <c r="Y133" s="213"/>
      <c r="Z133" s="213"/>
      <c r="AA133" s="213"/>
      <c r="AB133" s="213"/>
      <c r="AC133" s="213"/>
      <c r="AD133" s="213"/>
      <c r="AE133" s="213"/>
      <c r="AF133" s="213"/>
      <c r="AG133" s="213"/>
      <c r="AH133" s="213"/>
      <c r="AI133" s="213"/>
      <c r="AJ133" s="213"/>
      <c r="AK133" s="213"/>
      <c r="AL133" s="213"/>
      <c r="AM133" s="213"/>
      <c r="AN133" s="213"/>
      <c r="AO133" s="213"/>
      <c r="AP133" s="213"/>
      <c r="AQ133" s="213"/>
      <c r="AR133" s="213"/>
      <c r="AS133" s="213"/>
      <c r="AT133" s="213"/>
      <c r="AU133" s="213"/>
      <c r="AV133" s="213"/>
      <c r="AW133" s="213"/>
      <c r="AX133" s="213"/>
      <c r="AY133" s="213"/>
      <c r="AZ133" s="213"/>
      <c r="BA133" s="213"/>
      <c r="BB133" s="213"/>
      <c r="BC133" s="213"/>
      <c r="BD133" s="213"/>
      <c r="BE133" s="213"/>
      <c r="BF133" s="213"/>
      <c r="BG133" s="213"/>
    </row>
    <row r="134" spans="1:59" x14ac:dyDescent="0.2">
      <c r="A134" s="13"/>
      <c r="B134" s="13"/>
      <c r="C134" s="13"/>
      <c r="D134" s="13"/>
      <c r="E134" s="59"/>
      <c r="F134" s="13"/>
      <c r="G134" s="13"/>
      <c r="H134" s="13"/>
      <c r="I134" s="13"/>
      <c r="J134" s="13"/>
      <c r="K134" s="97"/>
      <c r="L134" s="97"/>
      <c r="M134" s="97"/>
      <c r="N134" s="97"/>
      <c r="O134" s="205"/>
      <c r="P134" s="213"/>
      <c r="Q134" s="213"/>
      <c r="R134" s="213"/>
      <c r="S134" s="213"/>
      <c r="T134" s="213"/>
      <c r="U134" s="213"/>
      <c r="V134" s="213"/>
      <c r="W134" s="213"/>
      <c r="X134" s="213"/>
      <c r="Y134" s="213"/>
      <c r="Z134" s="213"/>
      <c r="AA134" s="213"/>
      <c r="AB134" s="213"/>
      <c r="AC134" s="213"/>
      <c r="AD134" s="213"/>
      <c r="AE134" s="213"/>
      <c r="AF134" s="213"/>
      <c r="AG134" s="213"/>
      <c r="AH134" s="213"/>
      <c r="AI134" s="213"/>
      <c r="AJ134" s="213"/>
      <c r="AK134" s="213"/>
      <c r="AL134" s="213"/>
      <c r="AM134" s="213"/>
      <c r="AN134" s="213"/>
      <c r="AO134" s="213"/>
      <c r="AP134" s="213"/>
      <c r="AQ134" s="213"/>
      <c r="AR134" s="213"/>
      <c r="AS134" s="213"/>
      <c r="AT134" s="213"/>
      <c r="AU134" s="213"/>
      <c r="AV134" s="213"/>
      <c r="AW134" s="213"/>
      <c r="AX134" s="213"/>
      <c r="AY134" s="213"/>
      <c r="AZ134" s="213"/>
      <c r="BA134" s="213"/>
      <c r="BB134" s="213"/>
      <c r="BC134" s="213"/>
      <c r="BD134" s="213"/>
      <c r="BE134" s="213"/>
      <c r="BF134" s="213"/>
      <c r="BG134" s="213"/>
    </row>
    <row r="135" spans="1:59" x14ac:dyDescent="0.2">
      <c r="A135" s="13"/>
      <c r="B135" s="13"/>
      <c r="C135" s="13"/>
      <c r="D135" s="13"/>
      <c r="E135" s="59"/>
      <c r="F135" s="13"/>
      <c r="G135" s="13"/>
      <c r="H135" s="13"/>
      <c r="I135" s="13"/>
      <c r="J135" s="13"/>
      <c r="K135" s="97"/>
      <c r="L135" s="97"/>
      <c r="M135" s="97"/>
      <c r="N135" s="97"/>
      <c r="O135" s="205"/>
      <c r="P135" s="213"/>
      <c r="Q135" s="213"/>
      <c r="R135" s="213"/>
      <c r="S135" s="213"/>
      <c r="T135" s="213"/>
      <c r="U135" s="213"/>
      <c r="V135" s="213"/>
      <c r="W135" s="213"/>
      <c r="X135" s="213"/>
      <c r="Y135" s="213"/>
      <c r="Z135" s="213"/>
      <c r="AA135" s="213"/>
      <c r="AB135" s="213"/>
      <c r="AC135" s="213"/>
      <c r="AD135" s="213"/>
      <c r="AE135" s="213"/>
      <c r="AF135" s="213"/>
      <c r="AG135" s="213"/>
      <c r="AH135" s="213"/>
      <c r="AI135" s="213"/>
      <c r="AJ135" s="213"/>
      <c r="AK135" s="213"/>
      <c r="AL135" s="213"/>
      <c r="AM135" s="213"/>
      <c r="AN135" s="213"/>
      <c r="AO135" s="213"/>
      <c r="AP135" s="213"/>
      <c r="AQ135" s="213"/>
      <c r="AR135" s="213"/>
      <c r="AS135" s="213"/>
      <c r="AT135" s="213"/>
      <c r="AU135" s="213"/>
      <c r="AV135" s="213"/>
      <c r="AW135" s="213"/>
      <c r="AX135" s="213"/>
      <c r="AY135" s="213"/>
      <c r="AZ135" s="213"/>
      <c r="BA135" s="213"/>
      <c r="BB135" s="213"/>
      <c r="BC135" s="213"/>
      <c r="BD135" s="213"/>
      <c r="BE135" s="213"/>
      <c r="BF135" s="213"/>
      <c r="BG135" s="213"/>
    </row>
    <row r="136" spans="1:59" x14ac:dyDescent="0.2">
      <c r="A136" s="13"/>
      <c r="B136" s="13"/>
      <c r="C136" s="13"/>
      <c r="D136" s="13"/>
      <c r="E136" s="59"/>
      <c r="F136" s="13"/>
      <c r="G136" s="13"/>
      <c r="H136" s="13"/>
      <c r="I136" s="13"/>
      <c r="J136" s="13"/>
      <c r="K136" s="97"/>
      <c r="L136" s="97"/>
      <c r="M136" s="97"/>
      <c r="N136" s="97"/>
      <c r="O136" s="205"/>
      <c r="P136" s="213"/>
      <c r="Q136" s="213"/>
      <c r="R136" s="213"/>
      <c r="S136" s="213"/>
      <c r="T136" s="213"/>
      <c r="U136" s="213"/>
      <c r="V136" s="213"/>
      <c r="W136" s="213"/>
      <c r="X136" s="213"/>
      <c r="Y136" s="213"/>
      <c r="Z136" s="213"/>
      <c r="AA136" s="213"/>
      <c r="AB136" s="213"/>
      <c r="AC136" s="213"/>
      <c r="AD136" s="213"/>
      <c r="AE136" s="213"/>
      <c r="AF136" s="213"/>
      <c r="AG136" s="213"/>
      <c r="AH136" s="213"/>
      <c r="AI136" s="213"/>
      <c r="AJ136" s="213"/>
      <c r="AK136" s="213"/>
      <c r="AL136" s="213"/>
      <c r="AM136" s="213"/>
      <c r="AN136" s="213"/>
      <c r="AO136" s="213"/>
      <c r="AP136" s="213"/>
      <c r="AQ136" s="213"/>
      <c r="AR136" s="213"/>
      <c r="AS136" s="213"/>
      <c r="AT136" s="213"/>
      <c r="AU136" s="213"/>
      <c r="AV136" s="213"/>
      <c r="AW136" s="213"/>
      <c r="AX136" s="213"/>
      <c r="AY136" s="213"/>
      <c r="AZ136" s="213"/>
      <c r="BA136" s="213"/>
      <c r="BB136" s="213"/>
      <c r="BC136" s="213"/>
      <c r="BD136" s="213"/>
      <c r="BE136" s="213"/>
      <c r="BF136" s="213"/>
      <c r="BG136" s="213"/>
    </row>
    <row r="137" spans="1:59" x14ac:dyDescent="0.2">
      <c r="A137" s="13"/>
      <c r="B137" s="13"/>
      <c r="C137" s="13"/>
      <c r="D137" s="13"/>
      <c r="E137" s="59"/>
      <c r="F137" s="13"/>
      <c r="G137" s="13"/>
      <c r="H137" s="13"/>
      <c r="I137" s="13"/>
      <c r="J137" s="13"/>
      <c r="K137" s="97"/>
      <c r="L137" s="97"/>
      <c r="M137" s="97"/>
      <c r="N137" s="97"/>
      <c r="O137" s="205"/>
      <c r="P137" s="213"/>
      <c r="Q137" s="213"/>
      <c r="R137" s="213"/>
      <c r="S137" s="213"/>
      <c r="T137" s="213"/>
      <c r="U137" s="213"/>
      <c r="V137" s="213"/>
      <c r="W137" s="213"/>
      <c r="X137" s="213"/>
      <c r="Y137" s="213"/>
      <c r="Z137" s="213"/>
      <c r="AA137" s="213"/>
      <c r="AB137" s="213"/>
      <c r="AC137" s="213"/>
      <c r="AD137" s="213"/>
      <c r="AE137" s="213"/>
      <c r="AF137" s="213"/>
      <c r="AG137" s="213"/>
      <c r="AH137" s="213"/>
      <c r="AI137" s="213"/>
      <c r="AJ137" s="213"/>
      <c r="AK137" s="213"/>
      <c r="AL137" s="213"/>
      <c r="AM137" s="213"/>
      <c r="AN137" s="213"/>
      <c r="AO137" s="213"/>
      <c r="AP137" s="213"/>
      <c r="AQ137" s="213"/>
      <c r="AR137" s="213"/>
      <c r="AS137" s="213"/>
      <c r="AT137" s="213"/>
      <c r="AU137" s="213"/>
      <c r="AV137" s="213"/>
      <c r="AW137" s="213"/>
      <c r="AX137" s="213"/>
      <c r="AY137" s="213"/>
      <c r="AZ137" s="213"/>
      <c r="BA137" s="213"/>
      <c r="BB137" s="213"/>
      <c r="BC137" s="213"/>
      <c r="BD137" s="213"/>
      <c r="BE137" s="213"/>
      <c r="BF137" s="213"/>
      <c r="BG137" s="213"/>
    </row>
    <row r="138" spans="1:59" x14ac:dyDescent="0.2">
      <c r="A138" s="13"/>
      <c r="B138" s="13"/>
      <c r="C138" s="13"/>
      <c r="D138" s="13"/>
      <c r="E138" s="59"/>
      <c r="F138" s="13"/>
      <c r="G138" s="13"/>
      <c r="H138" s="13"/>
      <c r="I138" s="13"/>
      <c r="J138" s="13"/>
      <c r="K138" s="97"/>
      <c r="L138" s="97"/>
      <c r="M138" s="97"/>
      <c r="N138" s="97"/>
      <c r="O138" s="205"/>
      <c r="P138" s="213"/>
      <c r="Q138" s="213"/>
      <c r="R138" s="213"/>
      <c r="S138" s="213"/>
      <c r="T138" s="213"/>
      <c r="U138" s="213"/>
      <c r="V138" s="213"/>
      <c r="W138" s="213"/>
      <c r="X138" s="213"/>
      <c r="Y138" s="213"/>
      <c r="Z138" s="213"/>
      <c r="AA138" s="213"/>
      <c r="AB138" s="213"/>
      <c r="AC138" s="213"/>
      <c r="AD138" s="213"/>
      <c r="AE138" s="213"/>
      <c r="AF138" s="213"/>
      <c r="AG138" s="213"/>
      <c r="AH138" s="213"/>
      <c r="AI138" s="213"/>
      <c r="AJ138" s="213"/>
      <c r="AK138" s="213"/>
      <c r="AL138" s="213"/>
      <c r="AM138" s="213"/>
      <c r="AN138" s="213"/>
      <c r="AO138" s="213"/>
      <c r="AP138" s="213"/>
      <c r="AQ138" s="213"/>
      <c r="AR138" s="213"/>
      <c r="AS138" s="213"/>
      <c r="AT138" s="213"/>
      <c r="AU138" s="213"/>
      <c r="AV138" s="213"/>
      <c r="AW138" s="213"/>
      <c r="AX138" s="213"/>
      <c r="AY138" s="213"/>
      <c r="AZ138" s="213"/>
      <c r="BA138" s="213"/>
      <c r="BB138" s="213"/>
      <c r="BC138" s="213"/>
      <c r="BD138" s="213"/>
      <c r="BE138" s="213"/>
      <c r="BF138" s="213"/>
      <c r="BG138" s="213"/>
    </row>
    <row r="139" spans="1:59" x14ac:dyDescent="0.2">
      <c r="A139" s="13"/>
      <c r="B139" s="13"/>
      <c r="C139" s="13"/>
      <c r="D139" s="13"/>
      <c r="E139" s="59"/>
      <c r="F139" s="13"/>
      <c r="G139" s="13"/>
      <c r="H139" s="13"/>
      <c r="I139" s="13"/>
      <c r="J139" s="13"/>
      <c r="K139" s="97"/>
      <c r="L139" s="97"/>
      <c r="M139" s="97"/>
      <c r="N139" s="97"/>
      <c r="O139" s="205"/>
      <c r="P139" s="213"/>
      <c r="Q139" s="213"/>
      <c r="R139" s="213"/>
      <c r="S139" s="213"/>
      <c r="T139" s="213"/>
      <c r="U139" s="213"/>
      <c r="V139" s="213"/>
      <c r="W139" s="213"/>
      <c r="X139" s="213"/>
      <c r="Y139" s="213"/>
      <c r="Z139" s="213"/>
      <c r="AA139" s="213"/>
      <c r="AB139" s="213"/>
      <c r="AC139" s="213"/>
      <c r="AD139" s="213"/>
      <c r="AE139" s="213"/>
      <c r="AF139" s="213"/>
      <c r="AG139" s="213"/>
      <c r="AH139" s="213"/>
      <c r="AI139" s="213"/>
      <c r="AJ139" s="213"/>
      <c r="AK139" s="213"/>
      <c r="AL139" s="213"/>
      <c r="AM139" s="213"/>
      <c r="AN139" s="213"/>
      <c r="AO139" s="213"/>
      <c r="AP139" s="213"/>
      <c r="AQ139" s="213"/>
      <c r="AR139" s="213"/>
      <c r="AS139" s="213"/>
      <c r="AT139" s="213"/>
      <c r="AU139" s="213"/>
      <c r="AV139" s="213"/>
      <c r="AW139" s="213"/>
      <c r="AX139" s="213"/>
      <c r="AY139" s="213"/>
      <c r="AZ139" s="213"/>
      <c r="BA139" s="213"/>
      <c r="BB139" s="213"/>
      <c r="BC139" s="213"/>
      <c r="BD139" s="213"/>
      <c r="BE139" s="213"/>
      <c r="BF139" s="213"/>
      <c r="BG139" s="213"/>
    </row>
    <row r="140" spans="1:59" x14ac:dyDescent="0.2">
      <c r="A140" s="13"/>
      <c r="B140" s="13"/>
      <c r="C140" s="13"/>
      <c r="D140" s="13"/>
      <c r="E140" s="59"/>
      <c r="F140" s="13"/>
      <c r="G140" s="13"/>
      <c r="H140" s="13"/>
      <c r="I140" s="13"/>
      <c r="J140" s="13"/>
      <c r="K140" s="97"/>
      <c r="L140" s="97"/>
      <c r="M140" s="97"/>
      <c r="N140" s="97"/>
      <c r="O140" s="205"/>
      <c r="P140" s="213"/>
      <c r="Q140" s="213"/>
      <c r="R140" s="213"/>
      <c r="S140" s="213"/>
      <c r="T140" s="213"/>
      <c r="U140" s="213"/>
      <c r="V140" s="213"/>
      <c r="W140" s="213"/>
      <c r="X140" s="213"/>
      <c r="Y140" s="213"/>
      <c r="Z140" s="213"/>
      <c r="AA140" s="213"/>
      <c r="AB140" s="213"/>
      <c r="AC140" s="213"/>
      <c r="AD140" s="213"/>
      <c r="AE140" s="213"/>
      <c r="AF140" s="213"/>
      <c r="AG140" s="213"/>
      <c r="AH140" s="213"/>
      <c r="AI140" s="213"/>
      <c r="AJ140" s="213"/>
      <c r="AK140" s="213"/>
      <c r="AL140" s="213"/>
      <c r="AM140" s="213"/>
      <c r="AN140" s="213"/>
      <c r="AO140" s="213"/>
      <c r="AP140" s="213"/>
      <c r="AQ140" s="213"/>
      <c r="AR140" s="213"/>
      <c r="AS140" s="213"/>
      <c r="AT140" s="213"/>
      <c r="AU140" s="213"/>
      <c r="AV140" s="213"/>
      <c r="AW140" s="213"/>
      <c r="AX140" s="213"/>
      <c r="AY140" s="213"/>
      <c r="AZ140" s="213"/>
      <c r="BA140" s="213"/>
      <c r="BB140" s="213"/>
      <c r="BC140" s="213"/>
      <c r="BD140" s="213"/>
      <c r="BE140" s="213"/>
      <c r="BF140" s="213"/>
      <c r="BG140" s="213"/>
    </row>
    <row r="141" spans="1:59" x14ac:dyDescent="0.2">
      <c r="A141" s="13"/>
      <c r="B141" s="13"/>
      <c r="C141" s="13"/>
      <c r="D141" s="13"/>
      <c r="E141" s="59"/>
      <c r="F141" s="13"/>
      <c r="G141" s="13"/>
      <c r="H141" s="13"/>
      <c r="I141" s="13"/>
      <c r="J141" s="13"/>
      <c r="K141" s="97"/>
      <c r="L141" s="97"/>
      <c r="M141" s="97"/>
      <c r="N141" s="97"/>
      <c r="O141" s="205"/>
      <c r="P141" s="213"/>
      <c r="Q141" s="213"/>
      <c r="R141" s="213"/>
      <c r="S141" s="213"/>
      <c r="T141" s="213"/>
      <c r="U141" s="213"/>
      <c r="V141" s="213"/>
      <c r="W141" s="213"/>
      <c r="X141" s="213"/>
      <c r="Y141" s="213"/>
      <c r="Z141" s="213"/>
      <c r="AA141" s="213"/>
      <c r="AB141" s="213"/>
      <c r="AC141" s="213"/>
      <c r="AD141" s="213"/>
      <c r="AE141" s="213"/>
      <c r="AF141" s="213"/>
      <c r="AG141" s="213"/>
      <c r="AH141" s="213"/>
      <c r="AI141" s="213"/>
      <c r="AJ141" s="213"/>
      <c r="AK141" s="213"/>
      <c r="AL141" s="213"/>
      <c r="AM141" s="213"/>
      <c r="AN141" s="213"/>
      <c r="AO141" s="213"/>
      <c r="AP141" s="213"/>
      <c r="AQ141" s="213"/>
      <c r="AR141" s="213"/>
      <c r="AS141" s="213"/>
      <c r="AT141" s="213"/>
      <c r="AU141" s="213"/>
      <c r="AV141" s="213"/>
      <c r="AW141" s="213"/>
      <c r="AX141" s="213"/>
      <c r="AY141" s="213"/>
      <c r="AZ141" s="213"/>
      <c r="BA141" s="213"/>
      <c r="BB141" s="213"/>
      <c r="BC141" s="213"/>
      <c r="BD141" s="213"/>
      <c r="BE141" s="213"/>
      <c r="BF141" s="213"/>
      <c r="BG141" s="213"/>
    </row>
    <row r="142" spans="1:59" x14ac:dyDescent="0.2">
      <c r="A142" s="13"/>
      <c r="B142" s="13"/>
      <c r="C142" s="13"/>
      <c r="D142" s="13"/>
      <c r="E142" s="59"/>
      <c r="F142" s="13"/>
      <c r="G142" s="13"/>
      <c r="H142" s="13"/>
      <c r="I142" s="13"/>
      <c r="J142" s="13"/>
      <c r="K142" s="97"/>
      <c r="L142" s="97"/>
      <c r="M142" s="97"/>
      <c r="N142" s="97"/>
      <c r="O142" s="205"/>
      <c r="P142" s="213"/>
      <c r="Q142" s="213"/>
      <c r="R142" s="213"/>
      <c r="S142" s="213"/>
      <c r="T142" s="213"/>
      <c r="U142" s="213"/>
      <c r="V142" s="213"/>
      <c r="W142" s="213"/>
      <c r="X142" s="213"/>
      <c r="Y142" s="213"/>
      <c r="Z142" s="213"/>
      <c r="AA142" s="213"/>
      <c r="AB142" s="213"/>
      <c r="AC142" s="213"/>
      <c r="AD142" s="213"/>
      <c r="AE142" s="213"/>
      <c r="AF142" s="213"/>
      <c r="AG142" s="213"/>
      <c r="AH142" s="213"/>
      <c r="AI142" s="213"/>
      <c r="AJ142" s="213"/>
      <c r="AK142" s="213"/>
      <c r="AL142" s="213"/>
      <c r="AM142" s="213"/>
      <c r="AN142" s="213"/>
      <c r="AO142" s="213"/>
      <c r="AP142" s="213"/>
      <c r="AQ142" s="213"/>
      <c r="AR142" s="213"/>
      <c r="AS142" s="213"/>
      <c r="AT142" s="213"/>
      <c r="AU142" s="213"/>
      <c r="AV142" s="213"/>
      <c r="AW142" s="213"/>
      <c r="AX142" s="213"/>
      <c r="AY142" s="213"/>
      <c r="AZ142" s="213"/>
      <c r="BA142" s="213"/>
      <c r="BB142" s="213"/>
      <c r="BC142" s="213"/>
      <c r="BD142" s="213"/>
      <c r="BE142" s="213"/>
      <c r="BF142" s="213"/>
      <c r="BG142" s="213"/>
    </row>
    <row r="143" spans="1:59" x14ac:dyDescent="0.2">
      <c r="A143" s="13"/>
      <c r="B143" s="13"/>
      <c r="C143" s="13"/>
      <c r="D143" s="13"/>
      <c r="E143" s="59"/>
      <c r="F143" s="13"/>
      <c r="G143" s="13"/>
      <c r="H143" s="13"/>
      <c r="I143" s="13"/>
      <c r="J143" s="13"/>
      <c r="K143" s="97"/>
      <c r="L143" s="97"/>
      <c r="M143" s="97"/>
      <c r="N143" s="97"/>
      <c r="O143" s="205"/>
      <c r="P143" s="213"/>
      <c r="Q143" s="213"/>
      <c r="R143" s="213"/>
      <c r="S143" s="213"/>
      <c r="T143" s="213"/>
      <c r="U143" s="213"/>
      <c r="V143" s="213"/>
      <c r="W143" s="213"/>
      <c r="X143" s="213"/>
      <c r="Y143" s="213"/>
      <c r="Z143" s="213"/>
      <c r="AA143" s="213"/>
      <c r="AB143" s="213"/>
      <c r="AC143" s="213"/>
      <c r="AD143" s="213"/>
      <c r="AE143" s="213"/>
      <c r="AF143" s="213"/>
      <c r="AG143" s="213"/>
      <c r="AH143" s="213"/>
      <c r="AI143" s="213"/>
      <c r="AJ143" s="213"/>
      <c r="AK143" s="213"/>
      <c r="AL143" s="213"/>
      <c r="AM143" s="213"/>
      <c r="AN143" s="213"/>
      <c r="AO143" s="213"/>
      <c r="AP143" s="213"/>
      <c r="AQ143" s="213"/>
      <c r="AR143" s="213"/>
      <c r="AS143" s="213"/>
      <c r="AT143" s="213"/>
      <c r="AU143" s="213"/>
      <c r="AV143" s="213"/>
      <c r="AW143" s="213"/>
      <c r="AX143" s="213"/>
      <c r="AY143" s="213"/>
      <c r="AZ143" s="213"/>
      <c r="BA143" s="213"/>
      <c r="BB143" s="213"/>
      <c r="BC143" s="213"/>
      <c r="BD143" s="213"/>
      <c r="BE143" s="213"/>
      <c r="BF143" s="213"/>
      <c r="BG143" s="213"/>
    </row>
    <row r="144" spans="1:59" x14ac:dyDescent="0.2">
      <c r="A144" s="13"/>
      <c r="B144" s="13"/>
      <c r="C144" s="13"/>
      <c r="D144" s="13"/>
      <c r="E144" s="59"/>
      <c r="F144" s="13"/>
      <c r="G144" s="13"/>
      <c r="H144" s="13"/>
      <c r="I144" s="13"/>
      <c r="J144" s="13"/>
      <c r="K144" s="97"/>
      <c r="L144" s="97"/>
      <c r="M144" s="97"/>
      <c r="N144" s="97"/>
      <c r="O144" s="205"/>
      <c r="P144" s="213"/>
      <c r="Q144" s="213"/>
      <c r="R144" s="213"/>
      <c r="S144" s="213"/>
      <c r="T144" s="213"/>
      <c r="U144" s="213"/>
      <c r="V144" s="213"/>
      <c r="W144" s="213"/>
      <c r="X144" s="213"/>
      <c r="Y144" s="213"/>
      <c r="Z144" s="213"/>
      <c r="AA144" s="213"/>
      <c r="AB144" s="213"/>
      <c r="AC144" s="213"/>
      <c r="AD144" s="213"/>
      <c r="AE144" s="213"/>
      <c r="AF144" s="213"/>
      <c r="AG144" s="213"/>
      <c r="AH144" s="213"/>
      <c r="AI144" s="213"/>
      <c r="AJ144" s="213"/>
      <c r="AK144" s="213"/>
      <c r="AL144" s="213"/>
      <c r="AM144" s="213"/>
      <c r="AN144" s="213"/>
      <c r="AO144" s="213"/>
      <c r="AP144" s="213"/>
      <c r="AQ144" s="213"/>
      <c r="AR144" s="213"/>
      <c r="AS144" s="213"/>
      <c r="AT144" s="213"/>
      <c r="AU144" s="213"/>
      <c r="AV144" s="213"/>
      <c r="AW144" s="213"/>
      <c r="AX144" s="213"/>
      <c r="AY144" s="213"/>
      <c r="AZ144" s="213"/>
      <c r="BA144" s="213"/>
      <c r="BB144" s="213"/>
      <c r="BC144" s="213"/>
      <c r="BD144" s="213"/>
      <c r="BE144" s="213"/>
      <c r="BF144" s="213"/>
      <c r="BG144" s="213"/>
    </row>
    <row r="145" spans="1:59" x14ac:dyDescent="0.2">
      <c r="A145" s="13"/>
      <c r="B145" s="13"/>
      <c r="C145" s="13"/>
      <c r="D145" s="13"/>
      <c r="E145" s="59"/>
      <c r="F145" s="13"/>
      <c r="G145" s="13"/>
      <c r="H145" s="13"/>
      <c r="I145" s="13"/>
      <c r="J145" s="13"/>
      <c r="K145" s="97"/>
      <c r="L145" s="97"/>
      <c r="M145" s="97"/>
      <c r="N145" s="97"/>
      <c r="O145" s="205"/>
      <c r="P145" s="213"/>
      <c r="Q145" s="213"/>
      <c r="R145" s="213"/>
      <c r="S145" s="213"/>
      <c r="T145" s="213"/>
      <c r="U145" s="213"/>
      <c r="V145" s="213"/>
      <c r="W145" s="213"/>
      <c r="X145" s="213"/>
      <c r="Y145" s="213"/>
      <c r="Z145" s="213"/>
      <c r="AA145" s="213"/>
      <c r="AB145" s="213"/>
      <c r="AC145" s="213"/>
      <c r="AD145" s="213"/>
      <c r="AE145" s="213"/>
      <c r="AF145" s="213"/>
      <c r="AG145" s="213"/>
      <c r="AH145" s="213"/>
      <c r="AI145" s="213"/>
      <c r="AJ145" s="213"/>
      <c r="AK145" s="213"/>
      <c r="AL145" s="213"/>
      <c r="AM145" s="213"/>
      <c r="AN145" s="213"/>
      <c r="AO145" s="213"/>
      <c r="AP145" s="213"/>
      <c r="AQ145" s="213"/>
      <c r="AR145" s="213"/>
      <c r="AS145" s="213"/>
      <c r="AT145" s="213"/>
      <c r="AU145" s="213"/>
      <c r="AV145" s="213"/>
      <c r="AW145" s="213"/>
      <c r="AX145" s="213"/>
      <c r="AY145" s="213"/>
      <c r="AZ145" s="213"/>
      <c r="BA145" s="213"/>
      <c r="BB145" s="213"/>
      <c r="BC145" s="213"/>
      <c r="BD145" s="213"/>
      <c r="BE145" s="213"/>
      <c r="BF145" s="213"/>
      <c r="BG145" s="213"/>
    </row>
    <row r="146" spans="1:59" x14ac:dyDescent="0.2">
      <c r="A146" s="13"/>
      <c r="B146" s="13"/>
      <c r="C146" s="13"/>
      <c r="D146" s="13"/>
      <c r="E146" s="59"/>
      <c r="F146" s="13"/>
      <c r="G146" s="13"/>
      <c r="H146" s="13"/>
      <c r="I146" s="13"/>
      <c r="J146" s="13"/>
      <c r="K146" s="97"/>
      <c r="L146" s="97"/>
      <c r="M146" s="97"/>
      <c r="N146" s="97"/>
      <c r="O146" s="205"/>
      <c r="P146" s="213"/>
      <c r="Q146" s="213"/>
      <c r="R146" s="213"/>
      <c r="S146" s="213"/>
      <c r="T146" s="213"/>
      <c r="U146" s="213"/>
      <c r="V146" s="213"/>
      <c r="W146" s="213"/>
      <c r="X146" s="213"/>
      <c r="Y146" s="213"/>
      <c r="Z146" s="213"/>
      <c r="AA146" s="213"/>
      <c r="AB146" s="213"/>
      <c r="AC146" s="213"/>
      <c r="AD146" s="213"/>
      <c r="AE146" s="213"/>
      <c r="AF146" s="213"/>
      <c r="AG146" s="213"/>
      <c r="AH146" s="213"/>
      <c r="AI146" s="213"/>
      <c r="AJ146" s="213"/>
      <c r="AK146" s="213"/>
      <c r="AL146" s="213"/>
      <c r="AM146" s="213"/>
      <c r="AN146" s="213"/>
      <c r="AO146" s="213"/>
      <c r="AP146" s="213"/>
      <c r="AQ146" s="213"/>
      <c r="AR146" s="213"/>
      <c r="AS146" s="213"/>
      <c r="AT146" s="213"/>
      <c r="AU146" s="213"/>
      <c r="AV146" s="213"/>
      <c r="AW146" s="213"/>
      <c r="AX146" s="213"/>
      <c r="AY146" s="213"/>
      <c r="AZ146" s="213"/>
      <c r="BA146" s="213"/>
      <c r="BB146" s="213"/>
      <c r="BC146" s="213"/>
      <c r="BD146" s="213"/>
      <c r="BE146" s="213"/>
      <c r="BF146" s="213"/>
      <c r="BG146" s="213"/>
    </row>
    <row r="147" spans="1:59" x14ac:dyDescent="0.2">
      <c r="A147" s="13"/>
      <c r="B147" s="13"/>
      <c r="C147" s="13"/>
      <c r="D147" s="13"/>
      <c r="E147" s="59"/>
      <c r="F147" s="13"/>
      <c r="G147" s="13"/>
      <c r="H147" s="13"/>
      <c r="I147" s="13"/>
      <c r="J147" s="13"/>
      <c r="K147" s="97"/>
      <c r="L147" s="97"/>
      <c r="M147" s="97"/>
      <c r="N147" s="97"/>
      <c r="O147" s="205"/>
      <c r="P147" s="213"/>
      <c r="Q147" s="213"/>
      <c r="R147" s="213"/>
      <c r="S147" s="213"/>
      <c r="T147" s="213"/>
      <c r="U147" s="213"/>
      <c r="V147" s="213"/>
      <c r="W147" s="213"/>
      <c r="X147" s="213"/>
      <c r="Y147" s="213"/>
      <c r="Z147" s="213"/>
      <c r="AA147" s="213"/>
      <c r="AB147" s="213"/>
      <c r="AC147" s="213"/>
      <c r="AD147" s="213"/>
      <c r="AE147" s="213"/>
      <c r="AF147" s="213"/>
      <c r="AG147" s="213"/>
      <c r="AH147" s="213"/>
      <c r="AI147" s="213"/>
      <c r="AJ147" s="213"/>
      <c r="AK147" s="213"/>
      <c r="AL147" s="213"/>
      <c r="AM147" s="213"/>
      <c r="AN147" s="213"/>
      <c r="AO147" s="213"/>
      <c r="AP147" s="213"/>
      <c r="AQ147" s="213"/>
      <c r="AR147" s="213"/>
      <c r="AS147" s="213"/>
      <c r="AT147" s="213"/>
      <c r="AU147" s="213"/>
      <c r="AV147" s="213"/>
      <c r="AW147" s="213"/>
      <c r="AX147" s="213"/>
      <c r="AY147" s="213"/>
      <c r="AZ147" s="213"/>
      <c r="BA147" s="213"/>
      <c r="BB147" s="213"/>
      <c r="BC147" s="213"/>
      <c r="BD147" s="213"/>
      <c r="BE147" s="213"/>
      <c r="BF147" s="213"/>
      <c r="BG147" s="213"/>
    </row>
    <row r="148" spans="1:59" x14ac:dyDescent="0.2">
      <c r="A148" s="13"/>
      <c r="B148" s="13"/>
      <c r="C148" s="13"/>
      <c r="D148" s="13"/>
      <c r="E148" s="59"/>
      <c r="F148" s="13"/>
      <c r="G148" s="13"/>
      <c r="H148" s="13"/>
      <c r="I148" s="13"/>
      <c r="J148" s="13"/>
      <c r="K148" s="97"/>
      <c r="L148" s="97"/>
      <c r="M148" s="97"/>
      <c r="N148" s="97"/>
      <c r="O148" s="205"/>
      <c r="P148" s="213"/>
      <c r="Q148" s="213"/>
      <c r="R148" s="213"/>
      <c r="S148" s="213"/>
      <c r="T148" s="213"/>
      <c r="U148" s="213"/>
      <c r="V148" s="213"/>
      <c r="W148" s="213"/>
      <c r="X148" s="213"/>
      <c r="Y148" s="213"/>
      <c r="Z148" s="213"/>
      <c r="AA148" s="213"/>
      <c r="AB148" s="213"/>
      <c r="AC148" s="213"/>
      <c r="AD148" s="213"/>
      <c r="AE148" s="213"/>
      <c r="AF148" s="213"/>
      <c r="AG148" s="213"/>
      <c r="AH148" s="213"/>
      <c r="AI148" s="213"/>
      <c r="AJ148" s="213"/>
      <c r="AK148" s="213"/>
      <c r="AL148" s="213"/>
      <c r="AM148" s="213"/>
      <c r="AN148" s="213"/>
      <c r="AO148" s="213"/>
      <c r="AP148" s="213"/>
      <c r="AQ148" s="213"/>
      <c r="AR148" s="213"/>
      <c r="AS148" s="213"/>
      <c r="AT148" s="213"/>
      <c r="AU148" s="213"/>
      <c r="AV148" s="213"/>
      <c r="AW148" s="213"/>
      <c r="AX148" s="213"/>
      <c r="AY148" s="213"/>
      <c r="AZ148" s="213"/>
      <c r="BA148" s="213"/>
      <c r="BB148" s="213"/>
      <c r="BC148" s="213"/>
      <c r="BD148" s="213"/>
      <c r="BE148" s="213"/>
      <c r="BF148" s="213"/>
      <c r="BG148" s="213"/>
    </row>
    <row r="149" spans="1:59" x14ac:dyDescent="0.2">
      <c r="A149" s="13"/>
      <c r="B149" s="13"/>
      <c r="C149" s="13"/>
      <c r="D149" s="13"/>
      <c r="E149" s="59"/>
      <c r="F149" s="13"/>
      <c r="G149" s="13"/>
      <c r="H149" s="13"/>
      <c r="I149" s="13"/>
      <c r="J149" s="13"/>
      <c r="K149" s="97"/>
      <c r="L149" s="97"/>
      <c r="M149" s="97"/>
      <c r="N149" s="97"/>
      <c r="O149" s="205"/>
      <c r="P149" s="213"/>
      <c r="Q149" s="213"/>
      <c r="R149" s="213"/>
      <c r="S149" s="213"/>
      <c r="T149" s="213"/>
      <c r="U149" s="213"/>
      <c r="V149" s="213"/>
      <c r="W149" s="213"/>
      <c r="X149" s="213"/>
      <c r="Y149" s="213"/>
      <c r="Z149" s="213"/>
      <c r="AA149" s="213"/>
      <c r="AB149" s="213"/>
      <c r="AC149" s="213"/>
      <c r="AD149" s="213"/>
      <c r="AE149" s="213"/>
      <c r="AF149" s="213"/>
      <c r="AG149" s="213"/>
      <c r="AH149" s="213"/>
      <c r="AI149" s="213"/>
      <c r="AJ149" s="213"/>
      <c r="AK149" s="213"/>
      <c r="AL149" s="213"/>
      <c r="AM149" s="213"/>
      <c r="AN149" s="213"/>
      <c r="AO149" s="213"/>
      <c r="AP149" s="213"/>
      <c r="AQ149" s="213"/>
      <c r="AR149" s="213"/>
      <c r="AS149" s="213"/>
      <c r="AT149" s="213"/>
      <c r="AU149" s="213"/>
      <c r="AV149" s="213"/>
      <c r="AW149" s="213"/>
      <c r="AX149" s="213"/>
      <c r="AY149" s="213"/>
      <c r="AZ149" s="213"/>
      <c r="BA149" s="213"/>
      <c r="BB149" s="213"/>
      <c r="BC149" s="213"/>
      <c r="BD149" s="213"/>
      <c r="BE149" s="213"/>
      <c r="BF149" s="213"/>
      <c r="BG149" s="213"/>
    </row>
    <row r="150" spans="1:59" x14ac:dyDescent="0.2">
      <c r="A150" s="13"/>
      <c r="B150" s="13"/>
      <c r="C150" s="13"/>
      <c r="D150" s="13"/>
      <c r="E150" s="59"/>
      <c r="F150" s="13"/>
      <c r="G150" s="13"/>
      <c r="H150" s="13"/>
      <c r="I150" s="13"/>
      <c r="J150" s="13"/>
      <c r="K150" s="97"/>
      <c r="L150" s="97"/>
      <c r="M150" s="97"/>
      <c r="N150" s="97"/>
      <c r="O150" s="205"/>
      <c r="P150" s="213"/>
      <c r="Q150" s="213"/>
      <c r="R150" s="213"/>
      <c r="S150" s="213"/>
      <c r="T150" s="213"/>
      <c r="U150" s="213"/>
      <c r="V150" s="213"/>
      <c r="W150" s="213"/>
      <c r="X150" s="213"/>
      <c r="Y150" s="213"/>
      <c r="Z150" s="213"/>
      <c r="AA150" s="213"/>
      <c r="AB150" s="213"/>
      <c r="AC150" s="213"/>
      <c r="AD150" s="213"/>
      <c r="AE150" s="213"/>
      <c r="AF150" s="213"/>
      <c r="AG150" s="213"/>
      <c r="AH150" s="213"/>
      <c r="AI150" s="213"/>
      <c r="AJ150" s="213"/>
      <c r="AK150" s="213"/>
      <c r="AL150" s="213"/>
      <c r="AM150" s="213"/>
      <c r="AN150" s="213"/>
      <c r="AO150" s="213"/>
      <c r="AP150" s="213"/>
      <c r="AQ150" s="213"/>
      <c r="AR150" s="213"/>
      <c r="AS150" s="213"/>
      <c r="AT150" s="213"/>
      <c r="AU150" s="213"/>
      <c r="AV150" s="213"/>
      <c r="AW150" s="213"/>
      <c r="AX150" s="213"/>
      <c r="AY150" s="213"/>
      <c r="AZ150" s="213"/>
      <c r="BA150" s="213"/>
      <c r="BB150" s="213"/>
      <c r="BC150" s="213"/>
      <c r="BD150" s="213"/>
      <c r="BE150" s="213"/>
      <c r="BF150" s="213"/>
      <c r="BG150" s="213"/>
    </row>
    <row r="151" spans="1:59" x14ac:dyDescent="0.2">
      <c r="A151" s="13"/>
      <c r="B151" s="13"/>
      <c r="C151" s="13"/>
      <c r="D151" s="13"/>
      <c r="E151" s="59"/>
      <c r="F151" s="13"/>
      <c r="G151" s="13"/>
      <c r="H151" s="13"/>
      <c r="I151" s="13"/>
      <c r="J151" s="13"/>
      <c r="K151" s="97"/>
      <c r="L151" s="97"/>
      <c r="M151" s="97"/>
      <c r="N151" s="97"/>
      <c r="O151" s="205"/>
      <c r="P151" s="213"/>
      <c r="Q151" s="213"/>
      <c r="R151" s="213"/>
      <c r="S151" s="213"/>
      <c r="T151" s="213"/>
      <c r="U151" s="213"/>
      <c r="V151" s="213"/>
      <c r="W151" s="213"/>
      <c r="X151" s="213"/>
      <c r="Y151" s="213"/>
      <c r="Z151" s="213"/>
      <c r="AA151" s="213"/>
      <c r="AB151" s="213"/>
      <c r="AC151" s="213"/>
      <c r="AD151" s="213"/>
      <c r="AE151" s="213"/>
      <c r="AF151" s="213"/>
      <c r="AG151" s="213"/>
      <c r="AH151" s="213"/>
      <c r="AI151" s="213"/>
      <c r="AJ151" s="213"/>
      <c r="AK151" s="213"/>
      <c r="AL151" s="213"/>
      <c r="AM151" s="213"/>
      <c r="AN151" s="213"/>
      <c r="AO151" s="213"/>
      <c r="AP151" s="213"/>
      <c r="AQ151" s="213"/>
      <c r="AR151" s="213"/>
      <c r="AS151" s="213"/>
      <c r="AT151" s="213"/>
      <c r="AU151" s="213"/>
      <c r="AV151" s="213"/>
      <c r="AW151" s="213"/>
      <c r="AX151" s="213"/>
      <c r="AY151" s="213"/>
      <c r="AZ151" s="213"/>
      <c r="BA151" s="213"/>
      <c r="BB151" s="213"/>
      <c r="BC151" s="213"/>
      <c r="BD151" s="213"/>
      <c r="BE151" s="213"/>
      <c r="BF151" s="213"/>
      <c r="BG151" s="213"/>
    </row>
    <row r="152" spans="1:59" x14ac:dyDescent="0.2">
      <c r="A152" s="13"/>
      <c r="B152" s="13"/>
      <c r="C152" s="13"/>
      <c r="D152" s="13"/>
      <c r="E152" s="59"/>
      <c r="F152" s="13"/>
      <c r="G152" s="13"/>
      <c r="H152" s="13"/>
      <c r="I152" s="13"/>
      <c r="J152" s="13"/>
      <c r="K152" s="97"/>
      <c r="L152" s="97"/>
      <c r="M152" s="97"/>
      <c r="N152" s="97"/>
      <c r="O152" s="205"/>
      <c r="P152" s="213"/>
      <c r="Q152" s="213"/>
      <c r="R152" s="213"/>
      <c r="S152" s="213"/>
      <c r="T152" s="213"/>
      <c r="U152" s="213"/>
      <c r="V152" s="213"/>
      <c r="W152" s="213"/>
      <c r="X152" s="213"/>
      <c r="Y152" s="213"/>
      <c r="Z152" s="213"/>
      <c r="AA152" s="213"/>
      <c r="AB152" s="213"/>
      <c r="AC152" s="213"/>
      <c r="AD152" s="213"/>
      <c r="AE152" s="213"/>
      <c r="AF152" s="213"/>
      <c r="AG152" s="213"/>
      <c r="AH152" s="213"/>
      <c r="AI152" s="213"/>
      <c r="AJ152" s="213"/>
      <c r="AK152" s="213"/>
      <c r="AL152" s="213"/>
      <c r="AM152" s="213"/>
      <c r="AN152" s="213"/>
      <c r="AO152" s="213"/>
      <c r="AP152" s="213"/>
      <c r="AQ152" s="213"/>
      <c r="AR152" s="213"/>
      <c r="AS152" s="213"/>
      <c r="AT152" s="213"/>
      <c r="AU152" s="213"/>
      <c r="AV152" s="213"/>
      <c r="AW152" s="213"/>
      <c r="AX152" s="213"/>
      <c r="AY152" s="213"/>
      <c r="AZ152" s="213"/>
      <c r="BA152" s="213"/>
      <c r="BB152" s="213"/>
      <c r="BC152" s="213"/>
      <c r="BD152" s="213"/>
      <c r="BE152" s="213"/>
      <c r="BF152" s="213"/>
      <c r="BG152" s="213"/>
    </row>
    <row r="153" spans="1:59" x14ac:dyDescent="0.2">
      <c r="A153" s="13"/>
      <c r="B153" s="13"/>
      <c r="C153" s="13"/>
      <c r="D153" s="13"/>
      <c r="E153" s="59"/>
      <c r="F153" s="13"/>
      <c r="G153" s="13"/>
      <c r="H153" s="13"/>
      <c r="I153" s="13"/>
      <c r="J153" s="13"/>
      <c r="K153" s="97"/>
      <c r="L153" s="97"/>
      <c r="M153" s="97"/>
      <c r="N153" s="97"/>
      <c r="O153" s="205"/>
      <c r="P153" s="213"/>
      <c r="Q153" s="213"/>
      <c r="R153" s="213"/>
      <c r="S153" s="213"/>
      <c r="T153" s="213"/>
      <c r="U153" s="213"/>
      <c r="V153" s="213"/>
      <c r="W153" s="213"/>
      <c r="X153" s="213"/>
      <c r="Y153" s="213"/>
      <c r="Z153" s="213"/>
      <c r="AA153" s="213"/>
      <c r="AB153" s="213"/>
      <c r="AC153" s="213"/>
      <c r="AD153" s="213"/>
      <c r="AE153" s="213"/>
      <c r="AF153" s="213"/>
      <c r="AG153" s="213"/>
      <c r="AH153" s="213"/>
      <c r="AI153" s="213"/>
      <c r="AJ153" s="213"/>
      <c r="AK153" s="213"/>
      <c r="AL153" s="213"/>
      <c r="AM153" s="213"/>
      <c r="AN153" s="213"/>
      <c r="AO153" s="213"/>
      <c r="AP153" s="213"/>
      <c r="AQ153" s="213"/>
      <c r="AR153" s="213"/>
      <c r="AS153" s="213"/>
      <c r="AT153" s="213"/>
      <c r="AU153" s="213"/>
      <c r="AV153" s="213"/>
      <c r="AW153" s="213"/>
      <c r="AX153" s="213"/>
      <c r="AY153" s="213"/>
      <c r="AZ153" s="213"/>
      <c r="BA153" s="213"/>
      <c r="BB153" s="213"/>
      <c r="BC153" s="213"/>
      <c r="BD153" s="213"/>
      <c r="BE153" s="213"/>
      <c r="BF153" s="213"/>
      <c r="BG153" s="213"/>
    </row>
    <row r="154" spans="1:59" x14ac:dyDescent="0.2">
      <c r="E154"/>
    </row>
    <row r="155" spans="1:59" x14ac:dyDescent="0.2">
      <c r="E155"/>
    </row>
    <row r="156" spans="1:59" x14ac:dyDescent="0.2">
      <c r="E156"/>
    </row>
    <row r="157" spans="1:59" x14ac:dyDescent="0.2">
      <c r="E157"/>
    </row>
    <row r="158" spans="1:59" x14ac:dyDescent="0.2">
      <c r="E158"/>
    </row>
    <row r="159" spans="1:59" x14ac:dyDescent="0.2">
      <c r="E159"/>
    </row>
    <row r="160" spans="1:59" x14ac:dyDescent="0.2">
      <c r="E160"/>
    </row>
    <row r="161" spans="5:5" x14ac:dyDescent="0.2">
      <c r="E161"/>
    </row>
  </sheetData>
  <mergeCells count="19">
    <mergeCell ref="A1:V1"/>
    <mergeCell ref="A2:V2"/>
    <mergeCell ref="AI8:AI9"/>
    <mergeCell ref="AJ8:AJ9"/>
    <mergeCell ref="F5:G5"/>
    <mergeCell ref="C5:D5"/>
    <mergeCell ref="X2:AB2"/>
    <mergeCell ref="X4:AK5"/>
    <mergeCell ref="AK8:AR8"/>
    <mergeCell ref="AZ8:BC8"/>
    <mergeCell ref="BD8:BG8"/>
    <mergeCell ref="A3:I3"/>
    <mergeCell ref="AS8:AU8"/>
    <mergeCell ref="AV8:AY8"/>
    <mergeCell ref="L8:N8"/>
    <mergeCell ref="P8:AG8"/>
    <mergeCell ref="O8:O9"/>
    <mergeCell ref="A7:BG7"/>
    <mergeCell ref="A8:K8"/>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createTicker">
                <anchor moveWithCells="1">
                  <from>
                    <xdr:col>0</xdr:col>
                    <xdr:colOff>57150</xdr:colOff>
                    <xdr:row>1</xdr:row>
                    <xdr:rowOff>76200</xdr:rowOff>
                  </from>
                  <to>
                    <xdr:col>0</xdr:col>
                    <xdr:colOff>1009650</xdr:colOff>
                    <xdr:row>1</xdr:row>
                    <xdr:rowOff>276225</xdr:rowOff>
                  </to>
                </anchor>
              </controlPr>
            </control>
          </mc:Choice>
        </mc:AlternateContent>
        <mc:AlternateContent xmlns:mc="http://schemas.openxmlformats.org/markup-compatibility/2006">
          <mc:Choice Requires="x14">
            <control shapeId="8194" r:id="rId5" name="Button 2">
              <controlPr defaultSize="0" print="0" autoFill="0" autoPict="0" macro="[0]!Sheet1.requestMarketData">
                <anchor moveWithCells="1">
                  <from>
                    <xdr:col>2</xdr:col>
                    <xdr:colOff>314325</xdr:colOff>
                    <xdr:row>1</xdr:row>
                    <xdr:rowOff>76200</xdr:rowOff>
                  </from>
                  <to>
                    <xdr:col>3</xdr:col>
                    <xdr:colOff>571500</xdr:colOff>
                    <xdr:row>1</xdr:row>
                    <xdr:rowOff>276225</xdr:rowOff>
                  </to>
                </anchor>
              </controlPr>
            </control>
          </mc:Choice>
        </mc:AlternateContent>
        <mc:AlternateContent xmlns:mc="http://schemas.openxmlformats.org/markup-compatibility/2006">
          <mc:Choice Requires="x14">
            <control shapeId="8195" r:id="rId6" name="Button 3">
              <controlPr defaultSize="0" print="0" autoFill="0" autoPict="0" macro="[0]!Sheet1.onShowError">
                <anchor moveWithCells="1">
                  <from>
                    <xdr:col>17</xdr:col>
                    <xdr:colOff>457200</xdr:colOff>
                    <xdr:row>1</xdr:row>
                    <xdr:rowOff>76200</xdr:rowOff>
                  </from>
                  <to>
                    <xdr:col>18</xdr:col>
                    <xdr:colOff>495300</xdr:colOff>
                    <xdr:row>1</xdr:row>
                    <xdr:rowOff>276225</xdr:rowOff>
                  </to>
                </anchor>
              </controlPr>
            </control>
          </mc:Choice>
        </mc:AlternateContent>
        <mc:AlternateContent xmlns:mc="http://schemas.openxmlformats.org/markup-compatibility/2006">
          <mc:Choice Requires="x14">
            <control shapeId="8196" r:id="rId7" name="Button 4">
              <controlPr defaultSize="0" print="0" autoFill="0" autoPict="0" macro="[0]!Sheet1.setRefreshRate">
                <anchor moveWithCells="1" sizeWithCells="1">
                  <from>
                    <xdr:col>12</xdr:col>
                    <xdr:colOff>552450</xdr:colOff>
                    <xdr:row>1</xdr:row>
                    <xdr:rowOff>76200</xdr:rowOff>
                  </from>
                  <to>
                    <xdr:col>15</xdr:col>
                    <xdr:colOff>428625</xdr:colOff>
                    <xdr:row>1</xdr:row>
                    <xdr:rowOff>276225</xdr:rowOff>
                  </to>
                </anchor>
              </controlPr>
            </control>
          </mc:Choice>
        </mc:AlternateContent>
        <mc:AlternateContent xmlns:mc="http://schemas.openxmlformats.org/markup-compatibility/2006">
          <mc:Choice Requires="x14">
            <control shapeId="8201" r:id="rId8" name="Button 9">
              <controlPr defaultSize="0" print="0" autoFill="0" autoPict="0" macro="[0]!createComboLegs">
                <anchor moveWithCells="1">
                  <from>
                    <xdr:col>0</xdr:col>
                    <xdr:colOff>1076325</xdr:colOff>
                    <xdr:row>1</xdr:row>
                    <xdr:rowOff>76200</xdr:rowOff>
                  </from>
                  <to>
                    <xdr:col>1</xdr:col>
                    <xdr:colOff>533400</xdr:colOff>
                    <xdr:row>1</xdr:row>
                    <xdr:rowOff>276225</xdr:rowOff>
                  </to>
                </anchor>
              </controlPr>
            </control>
          </mc:Choice>
        </mc:AlternateContent>
        <mc:AlternateContent xmlns:mc="http://schemas.openxmlformats.org/markup-compatibility/2006">
          <mc:Choice Requires="x14">
            <control shapeId="8209" r:id="rId9" name="Button 17">
              <controlPr defaultSize="0" print="0" autoFill="0" autoPict="0" macro="[0]!Sheet1.newBulletins">
                <anchor moveWithCells="1">
                  <from>
                    <xdr:col>18</xdr:col>
                    <xdr:colOff>609600</xdr:colOff>
                    <xdr:row>1</xdr:row>
                    <xdr:rowOff>76200</xdr:rowOff>
                  </from>
                  <to>
                    <xdr:col>20</xdr:col>
                    <xdr:colOff>209550</xdr:colOff>
                    <xdr:row>1</xdr:row>
                    <xdr:rowOff>276225</xdr:rowOff>
                  </to>
                </anchor>
              </controlPr>
            </control>
          </mc:Choice>
        </mc:AlternateContent>
        <mc:AlternateContent xmlns:mc="http://schemas.openxmlformats.org/markup-compatibility/2006">
          <mc:Choice Requires="x14">
            <control shapeId="8210" r:id="rId10" name="Button 18">
              <controlPr defaultSize="0" print="0" autoFill="0" autoPict="0" macro="[0]!Sheet1.setLoggingLevel">
                <anchor moveWithCells="1">
                  <from>
                    <xdr:col>16</xdr:col>
                    <xdr:colOff>0</xdr:colOff>
                    <xdr:row>1</xdr:row>
                    <xdr:rowOff>76200</xdr:rowOff>
                  </from>
                  <to>
                    <xdr:col>17</xdr:col>
                    <xdr:colOff>295275</xdr:colOff>
                    <xdr:row>1</xdr:row>
                    <xdr:rowOff>276225</xdr:rowOff>
                  </to>
                </anchor>
              </controlPr>
            </control>
          </mc:Choice>
        </mc:AlternateContent>
        <mc:AlternateContent xmlns:mc="http://schemas.openxmlformats.org/markup-compatibility/2006">
          <mc:Choice Requires="x14">
            <control shapeId="8224" r:id="rId11" name="Button 32">
              <controlPr defaultSize="0" print="0" autoFill="0" autoPict="0" macro="[0]!ThisWorkbook.clearAllLinks">
                <anchor moveWithCells="1" sizeWithCells="1">
                  <from>
                    <xdr:col>20</xdr:col>
                    <xdr:colOff>323850</xdr:colOff>
                    <xdr:row>1</xdr:row>
                    <xdr:rowOff>76200</xdr:rowOff>
                  </from>
                  <to>
                    <xdr:col>21</xdr:col>
                    <xdr:colOff>676275</xdr:colOff>
                    <xdr:row>1</xdr:row>
                    <xdr:rowOff>276225</xdr:rowOff>
                  </to>
                </anchor>
              </controlPr>
            </control>
          </mc:Choice>
        </mc:AlternateContent>
        <mc:AlternateContent xmlns:mc="http://schemas.openxmlformats.org/markup-compatibility/2006">
          <mc:Choice Requires="x14">
            <control shapeId="8225" r:id="rId12" name="Button 33">
              <controlPr defaultSize="0" print="0" autoFill="0" autoPict="0" macro="[0]!Sheet1.setProcessingRate">
                <anchor moveWithCells="1" sizeWithCells="1">
                  <from>
                    <xdr:col>10</xdr:col>
                    <xdr:colOff>285750</xdr:colOff>
                    <xdr:row>1</xdr:row>
                    <xdr:rowOff>76200</xdr:rowOff>
                  </from>
                  <to>
                    <xdr:col>12</xdr:col>
                    <xdr:colOff>438150</xdr:colOff>
                    <xdr:row>1</xdr:row>
                    <xdr:rowOff>276225</xdr:rowOff>
                  </to>
                </anchor>
              </controlPr>
            </control>
          </mc:Choice>
        </mc:AlternateContent>
        <mc:AlternateContent xmlns:mc="http://schemas.openxmlformats.org/markup-compatibility/2006">
          <mc:Choice Requires="x14">
            <control shapeId="8226" r:id="rId13" name="Button 34">
              <controlPr defaultSize="0" print="0" autoFill="0" autoPict="0" macro="[0]!Sheet1.calculateImpliedVolatility">
                <anchor moveWithCells="1" sizeWithCells="1">
                  <from>
                    <xdr:col>6</xdr:col>
                    <xdr:colOff>295275</xdr:colOff>
                    <xdr:row>1</xdr:row>
                    <xdr:rowOff>76200</xdr:rowOff>
                  </from>
                  <to>
                    <xdr:col>7</xdr:col>
                    <xdr:colOff>638175</xdr:colOff>
                    <xdr:row>1</xdr:row>
                    <xdr:rowOff>276225</xdr:rowOff>
                  </to>
                </anchor>
              </controlPr>
            </control>
          </mc:Choice>
        </mc:AlternateContent>
        <mc:AlternateContent xmlns:mc="http://schemas.openxmlformats.org/markup-compatibility/2006">
          <mc:Choice Requires="x14">
            <control shapeId="8227" r:id="rId14" name="Button 35">
              <controlPr defaultSize="0" print="0" autoFill="0" autoPict="0" macro="[0]!Sheet1.calculateOptionPrice">
                <anchor moveWithCells="1" sizeWithCells="1">
                  <from>
                    <xdr:col>8</xdr:col>
                    <xdr:colOff>28575</xdr:colOff>
                    <xdr:row>1</xdr:row>
                    <xdr:rowOff>76200</xdr:rowOff>
                  </from>
                  <to>
                    <xdr:col>9</xdr:col>
                    <xdr:colOff>38100</xdr:colOff>
                    <xdr:row>1</xdr:row>
                    <xdr:rowOff>266700</xdr:rowOff>
                  </to>
                </anchor>
              </controlPr>
            </control>
          </mc:Choice>
        </mc:AlternateContent>
        <mc:AlternateContent xmlns:mc="http://schemas.openxmlformats.org/markup-compatibility/2006">
          <mc:Choice Requires="x14">
            <control shapeId="8229" r:id="rId15" name="Button 37">
              <controlPr defaultSize="0" print="0" autoFill="0" autoPict="0" macro="[0]!Sheet1.requestGenericTicks">
                <anchor moveWithCells="1">
                  <from>
                    <xdr:col>4</xdr:col>
                    <xdr:colOff>352425</xdr:colOff>
                    <xdr:row>1</xdr:row>
                    <xdr:rowOff>76200</xdr:rowOff>
                  </from>
                  <to>
                    <xdr:col>6</xdr:col>
                    <xdr:colOff>238125</xdr:colOff>
                    <xdr:row>1</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C209"/>
  <sheetViews>
    <sheetView zoomScale="80" zoomScaleNormal="80" workbookViewId="0">
      <pane ySplit="9" topLeftCell="A10" activePane="bottomLeft" state="frozen"/>
      <selection activeCell="A3" sqref="A3:I4"/>
      <selection pane="bottomLeft" activeCell="D5" sqref="D5:E5"/>
    </sheetView>
  </sheetViews>
  <sheetFormatPr defaultRowHeight="12.75" x14ac:dyDescent="0.2"/>
  <cols>
    <col min="1" max="1" width="18.85546875" bestFit="1" customWidth="1"/>
    <col min="2" max="2" width="6" bestFit="1" customWidth="1"/>
    <col min="3" max="3" width="15.140625" customWidth="1"/>
    <col min="4" max="4" width="5.85546875" bestFit="1" customWidth="1"/>
    <col min="5" max="5" width="4.28515625" customWidth="1"/>
    <col min="6" max="6" width="8.42578125" customWidth="1"/>
    <col min="7" max="7" width="12.5703125" customWidth="1"/>
    <col min="8" max="8" width="11" customWidth="1"/>
    <col min="9" max="9" width="16.42578125" customWidth="1"/>
    <col min="10" max="10" width="7.140625" customWidth="1"/>
    <col min="11" max="11" width="14" customWidth="1"/>
    <col min="12" max="12" width="10" customWidth="1"/>
    <col min="13" max="13" width="12" bestFit="1" customWidth="1"/>
    <col min="14" max="14" width="10.140625" bestFit="1" customWidth="1"/>
    <col min="15" max="15" width="9" bestFit="1" customWidth="1"/>
    <col min="17" max="17" width="8.85546875" bestFit="1" customWidth="1"/>
    <col min="18" max="18" width="13.42578125" bestFit="1" customWidth="1"/>
    <col min="19" max="19" width="13.5703125" bestFit="1" customWidth="1"/>
    <col min="20" max="20" width="11.85546875" customWidth="1"/>
    <col min="21" max="21" width="10.7109375" customWidth="1"/>
    <col min="22" max="22" width="12.7109375" customWidth="1"/>
    <col min="23" max="23" width="12.5703125" customWidth="1"/>
    <col min="24" max="24" width="9.85546875" customWidth="1"/>
    <col min="26" max="27" width="9.140625" style="7"/>
    <col min="28" max="28" width="11" style="7" customWidth="1"/>
    <col min="29" max="32" width="9.140625" style="7"/>
    <col min="33" max="33" width="10.5703125" style="7" customWidth="1"/>
    <col min="34" max="34" width="10.140625" style="7" customWidth="1"/>
    <col min="35" max="36" width="9.140625" style="7"/>
    <col min="37" max="37" width="0" style="7" hidden="1" customWidth="1"/>
    <col min="38" max="38" width="9.140625" style="7"/>
    <col min="39" max="39" width="12.42578125" style="7" customWidth="1"/>
    <col min="40" max="40" width="10.5703125" style="7" customWidth="1"/>
    <col min="41" max="48" width="9.140625" style="7"/>
    <col min="49" max="49" width="0" style="7" hidden="1" customWidth="1"/>
    <col min="50" max="50" width="9.140625" style="7"/>
    <col min="51" max="51" width="11.85546875" style="7" customWidth="1"/>
    <col min="52" max="52" width="10.42578125" style="7" customWidth="1"/>
    <col min="53" max="54" width="9.140625" style="7"/>
    <col min="55" max="55" width="15.5703125" style="7" customWidth="1"/>
    <col min="56" max="56" width="11.85546875" style="7" customWidth="1"/>
    <col min="57" max="57" width="9.140625" style="7"/>
    <col min="58" max="58" width="9" style="7" customWidth="1"/>
    <col min="59" max="61" width="9.140625" style="7"/>
    <col min="62" max="62" width="12.5703125" style="7" customWidth="1"/>
    <col min="63" max="63" width="12.7109375" style="7" customWidth="1"/>
    <col min="64" max="65" width="9.140625" style="7"/>
    <col min="66" max="66" width="10.28515625" style="7" customWidth="1"/>
    <col min="67" max="67" width="9.140625" style="7"/>
    <col min="68" max="68" width="10.7109375" style="7" customWidth="1"/>
    <col min="69" max="69" width="9.140625" style="7"/>
    <col min="70" max="70" width="12.5703125" style="7" customWidth="1"/>
    <col min="71" max="71" width="13.28515625" style="7" hidden="1" customWidth="1"/>
    <col min="72" max="74" width="12.5703125" style="7" customWidth="1"/>
    <col min="75" max="75" width="13.28515625" style="7" customWidth="1"/>
    <col min="76" max="76" width="11.7109375" style="7" customWidth="1"/>
    <col min="77" max="77" width="16.5703125" style="7" customWidth="1"/>
    <col min="78" max="79" width="9.140625" style="7"/>
    <col min="80" max="80" width="10.28515625" style="7" customWidth="1"/>
    <col min="81" max="81" width="10.7109375" style="7" customWidth="1"/>
    <col min="82" max="16384" width="9.140625" style="7"/>
  </cols>
  <sheetData>
    <row r="1" spans="1:81" x14ac:dyDescent="0.2">
      <c r="A1" s="293" t="s">
        <v>47</v>
      </c>
      <c r="B1" s="294"/>
      <c r="C1" s="294"/>
      <c r="D1" s="294"/>
      <c r="E1" s="294"/>
      <c r="F1" s="294"/>
      <c r="G1" s="294"/>
      <c r="H1" s="294"/>
      <c r="I1" s="294"/>
      <c r="J1" s="294"/>
      <c r="K1" s="69"/>
      <c r="L1" s="47"/>
      <c r="M1" s="69"/>
      <c r="P1" s="7"/>
      <c r="Q1" s="7"/>
      <c r="R1" s="7"/>
      <c r="S1" s="7"/>
      <c r="T1" s="7"/>
      <c r="U1" s="7"/>
      <c r="V1" s="7"/>
      <c r="W1" s="7"/>
      <c r="X1" s="7"/>
      <c r="Y1" s="7"/>
    </row>
    <row r="2" spans="1:81" ht="27.75" customHeight="1" x14ac:dyDescent="0.2">
      <c r="A2" s="303"/>
      <c r="B2" s="304"/>
      <c r="C2" s="304"/>
      <c r="D2" s="304"/>
      <c r="E2" s="304"/>
      <c r="F2" s="304"/>
      <c r="G2" s="304"/>
      <c r="H2" s="304"/>
      <c r="I2" s="304"/>
      <c r="J2" s="304"/>
      <c r="K2" s="77"/>
      <c r="L2" s="272" t="s">
        <v>374</v>
      </c>
      <c r="M2" s="295"/>
      <c r="N2" s="295"/>
      <c r="O2" s="295"/>
      <c r="P2" s="295"/>
      <c r="Q2" s="295"/>
      <c r="R2" s="295"/>
      <c r="S2" s="296"/>
      <c r="U2" s="77"/>
      <c r="V2" s="77"/>
      <c r="W2" s="77"/>
      <c r="Y2" s="7"/>
      <c r="BZ2" s="7">
        <v>0</v>
      </c>
    </row>
    <row r="3" spans="1:81" x14ac:dyDescent="0.2">
      <c r="A3" s="19"/>
      <c r="B3" s="19"/>
      <c r="C3" s="19"/>
      <c r="D3" s="19"/>
      <c r="E3" s="19"/>
      <c r="F3" s="19"/>
      <c r="G3" s="19"/>
      <c r="H3" s="19"/>
      <c r="I3" s="19"/>
      <c r="J3" s="19"/>
      <c r="K3" s="19"/>
      <c r="L3" s="47"/>
      <c r="Y3" s="7"/>
    </row>
    <row r="4" spans="1:81" ht="12.75" customHeight="1" x14ac:dyDescent="0.2">
      <c r="A4" s="82" t="s">
        <v>51</v>
      </c>
      <c r="B4" s="83"/>
      <c r="C4" s="83"/>
      <c r="D4" s="83"/>
      <c r="E4" s="99"/>
      <c r="F4" s="83"/>
      <c r="G4" s="47"/>
      <c r="L4" s="275" t="s">
        <v>375</v>
      </c>
      <c r="M4" s="297"/>
      <c r="N4" s="297"/>
      <c r="O4" s="297"/>
      <c r="P4" s="297"/>
      <c r="Q4" s="297"/>
      <c r="R4" s="297"/>
      <c r="S4" s="298"/>
      <c r="Y4" s="7"/>
    </row>
    <row r="5" spans="1:81" x14ac:dyDescent="0.2">
      <c r="A5" s="71" t="s">
        <v>58</v>
      </c>
      <c r="B5" s="72"/>
      <c r="C5" s="72"/>
      <c r="D5" s="302" t="s">
        <v>498</v>
      </c>
      <c r="E5" s="279"/>
      <c r="F5" s="33"/>
      <c r="L5" s="299"/>
      <c r="M5" s="300"/>
      <c r="N5" s="300"/>
      <c r="O5" s="300"/>
      <c r="P5" s="300"/>
      <c r="Q5" s="300"/>
      <c r="R5" s="300"/>
      <c r="S5" s="301"/>
      <c r="Y5" s="7"/>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c r="BT5" s="25"/>
      <c r="BU5" s="25"/>
      <c r="BV5" s="25"/>
      <c r="BW5" s="25"/>
      <c r="BX5" s="25"/>
    </row>
    <row r="6" spans="1:81" x14ac:dyDescent="0.2">
      <c r="A6" s="79"/>
      <c r="B6" s="80"/>
      <c r="C6" s="80"/>
      <c r="D6" s="78"/>
      <c r="E6" s="78"/>
      <c r="F6" s="78"/>
      <c r="M6" s="47"/>
      <c r="R6" s="25"/>
      <c r="S6" s="25"/>
      <c r="T6" s="25"/>
      <c r="U6" s="25"/>
      <c r="Z6" s="288" t="s">
        <v>69</v>
      </c>
      <c r="AA6" s="288"/>
      <c r="AB6" s="288"/>
      <c r="AC6" s="288"/>
      <c r="AD6" s="288"/>
      <c r="AE6" s="288"/>
      <c r="AF6" s="288"/>
      <c r="AG6" s="288"/>
      <c r="AH6" s="288"/>
      <c r="AI6" s="288"/>
      <c r="AJ6" s="288"/>
      <c r="AK6" s="288"/>
      <c r="AL6" s="288"/>
      <c r="AM6" s="288"/>
      <c r="AN6" s="288"/>
      <c r="AO6" s="288"/>
      <c r="AP6" s="288"/>
      <c r="AQ6" s="288"/>
      <c r="AR6" s="288"/>
      <c r="AS6" s="288"/>
      <c r="AT6" s="288"/>
      <c r="AU6" s="288"/>
      <c r="AV6" s="288"/>
      <c r="AW6" s="288"/>
      <c r="AX6" s="288"/>
      <c r="AY6" s="288"/>
      <c r="AZ6" s="288"/>
      <c r="BA6" s="288"/>
      <c r="BB6" s="288"/>
      <c r="BC6" s="288"/>
      <c r="BD6" s="288"/>
      <c r="BE6" s="288"/>
      <c r="BF6" s="288"/>
      <c r="BG6" s="288"/>
      <c r="BH6" s="288"/>
      <c r="BI6" s="288"/>
      <c r="BJ6" s="288"/>
      <c r="BK6" s="288"/>
      <c r="BL6" s="288"/>
      <c r="BM6" s="288"/>
      <c r="BN6" s="288"/>
      <c r="BO6" s="288"/>
      <c r="BP6" s="288"/>
      <c r="BQ6" s="288"/>
      <c r="BR6" s="288"/>
      <c r="BS6" s="288"/>
      <c r="BT6" s="288"/>
      <c r="BU6" s="288"/>
      <c r="BV6" s="288"/>
      <c r="BW6" s="288"/>
      <c r="BX6" s="288"/>
      <c r="BY6" s="288"/>
      <c r="BZ6" s="288"/>
      <c r="CA6" s="288"/>
      <c r="CB6" s="288"/>
      <c r="CC6" s="288"/>
    </row>
    <row r="7" spans="1:81" s="114" customFormat="1" x14ac:dyDescent="0.2">
      <c r="A7" s="306" t="s">
        <v>48</v>
      </c>
      <c r="B7" s="307"/>
      <c r="C7" s="307"/>
      <c r="D7" s="307"/>
      <c r="E7" s="307"/>
      <c r="F7" s="307"/>
      <c r="G7" s="307"/>
      <c r="H7" s="307"/>
      <c r="I7" s="307"/>
      <c r="J7" s="307"/>
      <c r="K7" s="307"/>
      <c r="L7" s="307"/>
      <c r="M7" s="307"/>
      <c r="N7" s="307"/>
      <c r="O7" s="307"/>
      <c r="P7" s="307"/>
      <c r="Q7" s="307"/>
      <c r="R7" s="307"/>
      <c r="S7" s="307"/>
      <c r="T7" s="307"/>
      <c r="U7" s="307"/>
      <c r="V7" s="307"/>
      <c r="W7" s="307"/>
      <c r="X7" s="307"/>
      <c r="Y7" s="307"/>
      <c r="Z7" s="117"/>
      <c r="AA7" s="117"/>
      <c r="AB7" s="284" t="s">
        <v>280</v>
      </c>
      <c r="AC7" s="289"/>
      <c r="AD7" s="290"/>
      <c r="AE7" s="117"/>
      <c r="AF7" s="117"/>
      <c r="AG7" s="117"/>
      <c r="AH7" s="117"/>
      <c r="AI7" s="117"/>
      <c r="AJ7" s="117"/>
      <c r="AK7" s="117"/>
      <c r="AL7" s="117"/>
      <c r="AM7" s="117"/>
      <c r="AN7" s="116" t="s">
        <v>67</v>
      </c>
      <c r="AO7" s="117"/>
      <c r="AP7" s="117"/>
      <c r="AQ7" s="284" t="s">
        <v>279</v>
      </c>
      <c r="AR7" s="289"/>
      <c r="AS7" s="289"/>
      <c r="AT7" s="290"/>
      <c r="AU7" s="284" t="s">
        <v>280</v>
      </c>
      <c r="AV7" s="290"/>
      <c r="AW7" s="117"/>
      <c r="AX7" s="117"/>
      <c r="AY7" s="117"/>
      <c r="AZ7" s="116" t="s">
        <v>280</v>
      </c>
      <c r="BA7" s="117"/>
      <c r="BB7" s="118"/>
      <c r="BC7" s="116" t="s">
        <v>284</v>
      </c>
      <c r="BD7" s="284" t="s">
        <v>283</v>
      </c>
      <c r="BE7" s="291"/>
      <c r="BF7" s="291"/>
      <c r="BG7" s="115" t="s">
        <v>302</v>
      </c>
      <c r="BH7" s="284" t="s">
        <v>281</v>
      </c>
      <c r="BI7" s="305"/>
      <c r="BJ7" s="285"/>
      <c r="BK7" s="284" t="s">
        <v>295</v>
      </c>
      <c r="BL7" s="290"/>
      <c r="BM7" s="284" t="s">
        <v>282</v>
      </c>
      <c r="BN7" s="289"/>
      <c r="BO7" s="289"/>
      <c r="BP7" s="289"/>
      <c r="BQ7" s="289"/>
      <c r="BR7" s="290"/>
      <c r="BS7" s="116" t="s">
        <v>265</v>
      </c>
      <c r="BT7" s="284" t="s">
        <v>356</v>
      </c>
      <c r="BU7" s="291"/>
      <c r="BV7" s="292"/>
      <c r="BW7" s="149"/>
      <c r="BX7" s="284" t="s">
        <v>280</v>
      </c>
      <c r="BY7" s="285"/>
      <c r="BZ7" s="149"/>
      <c r="CA7" s="149"/>
      <c r="CB7" s="149"/>
      <c r="CC7" s="149"/>
    </row>
    <row r="8" spans="1:81" ht="12.75" customHeight="1" x14ac:dyDescent="0.2">
      <c r="A8" s="258" t="s">
        <v>27</v>
      </c>
      <c r="B8" s="256"/>
      <c r="C8" s="256"/>
      <c r="D8" s="256"/>
      <c r="E8" s="256"/>
      <c r="F8" s="256"/>
      <c r="G8" s="256"/>
      <c r="H8" s="256"/>
      <c r="I8" s="256"/>
      <c r="J8" s="256"/>
      <c r="K8" s="256"/>
      <c r="L8" s="265"/>
      <c r="M8" s="75"/>
      <c r="N8" s="75"/>
      <c r="O8" s="74" t="s">
        <v>28</v>
      </c>
      <c r="P8" s="75"/>
      <c r="Q8" s="76"/>
      <c r="R8" s="258" t="s">
        <v>29</v>
      </c>
      <c r="S8" s="259"/>
      <c r="T8" s="259"/>
      <c r="U8" s="259"/>
      <c r="V8" s="259"/>
      <c r="W8" s="259"/>
      <c r="X8" s="259"/>
      <c r="Y8" s="280"/>
      <c r="Z8" s="282" t="s">
        <v>266</v>
      </c>
      <c r="AA8" s="282" t="s">
        <v>71</v>
      </c>
      <c r="AB8" s="282" t="s">
        <v>72</v>
      </c>
      <c r="AC8" s="282" t="s">
        <v>267</v>
      </c>
      <c r="AD8" s="282" t="s">
        <v>268</v>
      </c>
      <c r="AE8" s="282" t="s">
        <v>73</v>
      </c>
      <c r="AF8" s="282" t="s">
        <v>269</v>
      </c>
      <c r="AG8" s="282" t="s">
        <v>82</v>
      </c>
      <c r="AH8" s="282" t="s">
        <v>270</v>
      </c>
      <c r="AI8" s="282" t="s">
        <v>271</v>
      </c>
      <c r="AJ8" s="282" t="s">
        <v>96</v>
      </c>
      <c r="AK8" s="282" t="s">
        <v>97</v>
      </c>
      <c r="AL8" s="178"/>
      <c r="AM8" s="282" t="s">
        <v>272</v>
      </c>
      <c r="AN8" s="282" t="s">
        <v>273</v>
      </c>
      <c r="AO8" s="282" t="s">
        <v>135</v>
      </c>
      <c r="AP8" s="282" t="s">
        <v>136</v>
      </c>
      <c r="AQ8" s="282" t="s">
        <v>137</v>
      </c>
      <c r="AR8" s="282" t="s">
        <v>138</v>
      </c>
      <c r="AS8" s="282" t="s">
        <v>139</v>
      </c>
      <c r="AT8" s="282" t="s">
        <v>140</v>
      </c>
      <c r="AU8" s="282" t="s">
        <v>274</v>
      </c>
      <c r="AV8" s="282" t="s">
        <v>275</v>
      </c>
      <c r="AW8" s="282" t="s">
        <v>156</v>
      </c>
      <c r="AX8" s="178"/>
      <c r="AY8" s="282" t="s">
        <v>157</v>
      </c>
      <c r="AZ8" s="282" t="s">
        <v>158</v>
      </c>
      <c r="BA8" s="282" t="s">
        <v>276</v>
      </c>
      <c r="BB8" s="282" t="s">
        <v>167</v>
      </c>
      <c r="BC8" s="282" t="s">
        <v>159</v>
      </c>
      <c r="BD8" s="282" t="s">
        <v>277</v>
      </c>
      <c r="BE8" s="282" t="s">
        <v>278</v>
      </c>
      <c r="BF8" s="282" t="s">
        <v>160</v>
      </c>
      <c r="BG8" s="282" t="s">
        <v>161</v>
      </c>
      <c r="BH8" s="282" t="s">
        <v>162</v>
      </c>
      <c r="BI8" s="282" t="s">
        <v>163</v>
      </c>
      <c r="BJ8" s="282" t="s">
        <v>164</v>
      </c>
      <c r="BK8" s="286" t="s">
        <v>423</v>
      </c>
      <c r="BL8" s="286" t="s">
        <v>424</v>
      </c>
      <c r="BM8" s="282" t="s">
        <v>202</v>
      </c>
      <c r="BN8" s="282" t="s">
        <v>205</v>
      </c>
      <c r="BO8" s="282" t="s">
        <v>206</v>
      </c>
      <c r="BP8" s="282" t="s">
        <v>209</v>
      </c>
      <c r="BQ8" s="282" t="s">
        <v>204</v>
      </c>
      <c r="BR8" s="282" t="s">
        <v>210</v>
      </c>
      <c r="BS8" s="282" t="s">
        <v>264</v>
      </c>
      <c r="BT8" s="282" t="s">
        <v>359</v>
      </c>
      <c r="BU8" s="282" t="s">
        <v>360</v>
      </c>
      <c r="BV8" s="282" t="s">
        <v>361</v>
      </c>
      <c r="BW8" s="282" t="s">
        <v>364</v>
      </c>
      <c r="BX8" s="282" t="s">
        <v>433</v>
      </c>
      <c r="BY8" s="286" t="s">
        <v>460</v>
      </c>
      <c r="BZ8" s="286" t="s">
        <v>466</v>
      </c>
      <c r="CA8" s="286" t="s">
        <v>492</v>
      </c>
      <c r="CB8" s="286" t="s">
        <v>494</v>
      </c>
      <c r="CC8" s="286" t="s">
        <v>495</v>
      </c>
    </row>
    <row r="9" spans="1:81" x14ac:dyDescent="0.2">
      <c r="A9" s="1" t="s">
        <v>9</v>
      </c>
      <c r="B9" s="1" t="s">
        <v>21</v>
      </c>
      <c r="C9" s="1" t="s">
        <v>497</v>
      </c>
      <c r="D9" s="1" t="s">
        <v>10</v>
      </c>
      <c r="E9" s="49" t="s">
        <v>23</v>
      </c>
      <c r="F9" s="1" t="s">
        <v>86</v>
      </c>
      <c r="G9" s="1" t="s">
        <v>85</v>
      </c>
      <c r="H9" s="2" t="s">
        <v>12</v>
      </c>
      <c r="I9" s="16" t="s">
        <v>143</v>
      </c>
      <c r="J9" s="2" t="s">
        <v>40</v>
      </c>
      <c r="K9" s="2" t="s">
        <v>117</v>
      </c>
      <c r="L9" s="2" t="s">
        <v>141</v>
      </c>
      <c r="M9" s="2" t="s">
        <v>13</v>
      </c>
      <c r="N9" s="1" t="s">
        <v>14</v>
      </c>
      <c r="O9" s="1" t="s">
        <v>15</v>
      </c>
      <c r="P9" s="1" t="s">
        <v>16</v>
      </c>
      <c r="Q9" s="1" t="s">
        <v>17</v>
      </c>
      <c r="R9" s="151" t="s">
        <v>22</v>
      </c>
      <c r="S9" s="151" t="s">
        <v>24</v>
      </c>
      <c r="T9" s="151" t="s">
        <v>18</v>
      </c>
      <c r="U9" s="151" t="s">
        <v>19</v>
      </c>
      <c r="V9" s="151" t="s">
        <v>20</v>
      </c>
      <c r="W9" s="151" t="s">
        <v>114</v>
      </c>
      <c r="X9" s="151" t="s">
        <v>115</v>
      </c>
      <c r="Y9" s="151" t="s">
        <v>83</v>
      </c>
      <c r="Z9" s="283"/>
      <c r="AA9" s="283"/>
      <c r="AB9" s="283"/>
      <c r="AC9" s="283"/>
      <c r="AD9" s="283"/>
      <c r="AE9" s="283"/>
      <c r="AF9" s="283"/>
      <c r="AG9" s="283"/>
      <c r="AH9" s="283"/>
      <c r="AI9" s="283"/>
      <c r="AJ9" s="283"/>
      <c r="AK9" s="283"/>
      <c r="AL9" s="179"/>
      <c r="AM9" s="283"/>
      <c r="AN9" s="283"/>
      <c r="AO9" s="283"/>
      <c r="AP9" s="283"/>
      <c r="AQ9" s="283"/>
      <c r="AR9" s="283"/>
      <c r="AS9" s="283"/>
      <c r="AT9" s="283"/>
      <c r="AU9" s="283"/>
      <c r="AV9" s="283"/>
      <c r="AW9" s="283"/>
      <c r="AX9" s="179"/>
      <c r="AY9" s="283"/>
      <c r="AZ9" s="283"/>
      <c r="BA9" s="283"/>
      <c r="BB9" s="283"/>
      <c r="BC9" s="283"/>
      <c r="BD9" s="283"/>
      <c r="BE9" s="283"/>
      <c r="BF9" s="283"/>
      <c r="BG9" s="283"/>
      <c r="BH9" s="283"/>
      <c r="BI9" s="283"/>
      <c r="BJ9" s="283"/>
      <c r="BK9" s="283"/>
      <c r="BL9" s="283"/>
      <c r="BM9" s="283"/>
      <c r="BN9" s="283"/>
      <c r="BO9" s="283"/>
      <c r="BP9" s="283"/>
      <c r="BQ9" s="283"/>
      <c r="BR9" s="283"/>
      <c r="BS9" s="283"/>
      <c r="BT9" s="283"/>
      <c r="BU9" s="283"/>
      <c r="BV9" s="283"/>
      <c r="BW9" s="283"/>
      <c r="BX9" s="283"/>
      <c r="BY9" s="283"/>
      <c r="BZ9" s="287"/>
      <c r="CA9" s="287"/>
      <c r="CB9" s="287"/>
      <c r="CC9" s="287"/>
    </row>
    <row r="10" spans="1:81" x14ac:dyDescent="0.2">
      <c r="A10" s="5"/>
      <c r="B10" s="5"/>
      <c r="C10" s="5"/>
      <c r="D10" s="5"/>
      <c r="E10" s="60"/>
      <c r="F10" s="5"/>
      <c r="G10" s="5"/>
      <c r="H10" s="5"/>
      <c r="I10" s="5"/>
      <c r="J10" s="5"/>
      <c r="K10" s="5"/>
      <c r="L10" s="5"/>
      <c r="M10" s="6"/>
      <c r="N10" s="6"/>
      <c r="O10" s="6"/>
      <c r="P10" s="6"/>
      <c r="Q10" s="108"/>
      <c r="R10" s="5"/>
      <c r="S10" s="5"/>
      <c r="T10" s="5"/>
      <c r="U10" s="5"/>
      <c r="V10" s="5"/>
      <c r="W10" s="5"/>
      <c r="X10" s="5"/>
      <c r="Y10" s="5"/>
      <c r="Z10" s="167"/>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6"/>
      <c r="BW10" s="6"/>
      <c r="BX10" s="6"/>
      <c r="BY10" s="6"/>
      <c r="BZ10" s="6"/>
      <c r="CA10" s="6"/>
      <c r="CB10" s="6"/>
      <c r="CC10" s="6"/>
    </row>
    <row r="11" spans="1:81" x14ac:dyDescent="0.2">
      <c r="A11" s="12" t="s">
        <v>32</v>
      </c>
      <c r="B11" s="13"/>
      <c r="C11" s="13"/>
      <c r="D11" s="13"/>
      <c r="E11" s="59"/>
      <c r="F11" s="13"/>
      <c r="G11" s="13"/>
      <c r="H11" s="13"/>
      <c r="I11" s="13"/>
      <c r="J11" s="13"/>
      <c r="K11" s="97"/>
      <c r="L11" s="5"/>
      <c r="M11" s="4"/>
      <c r="N11" s="6"/>
      <c r="O11" s="6"/>
      <c r="P11" s="6"/>
      <c r="Q11" s="108"/>
      <c r="R11" s="5"/>
      <c r="S11" s="5"/>
      <c r="T11" s="5"/>
      <c r="U11" s="5"/>
      <c r="V11" s="5"/>
      <c r="W11" s="5"/>
      <c r="X11" s="5"/>
      <c r="Y11" s="5"/>
      <c r="Z11" s="167"/>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c r="BQ11" s="6"/>
      <c r="BR11" s="6"/>
      <c r="BS11" s="6"/>
      <c r="BT11" s="6"/>
      <c r="BU11" s="6"/>
      <c r="BV11" s="6"/>
      <c r="BW11" s="6"/>
      <c r="BX11" s="6"/>
      <c r="BY11" s="6"/>
      <c r="BZ11" s="6"/>
      <c r="CA11" s="6"/>
      <c r="CB11" s="6"/>
      <c r="CC11" s="6"/>
    </row>
    <row r="12" spans="1:81" x14ac:dyDescent="0.2">
      <c r="A12" s="13" t="s">
        <v>87</v>
      </c>
      <c r="B12" s="13" t="s">
        <v>11</v>
      </c>
      <c r="C12" s="13"/>
      <c r="D12" s="13"/>
      <c r="E12" s="59"/>
      <c r="F12" s="13"/>
      <c r="G12" s="13"/>
      <c r="H12" s="13" t="s">
        <v>67</v>
      </c>
      <c r="I12" s="13"/>
      <c r="J12" s="13" t="s">
        <v>43</v>
      </c>
      <c r="K12" s="97"/>
      <c r="L12" s="5"/>
      <c r="M12" s="4" t="s">
        <v>149</v>
      </c>
      <c r="N12" s="6">
        <v>100</v>
      </c>
      <c r="O12" s="6" t="s">
        <v>150</v>
      </c>
      <c r="P12" s="6"/>
      <c r="Q12" s="109"/>
      <c r="R12" s="5"/>
      <c r="S12" s="5"/>
      <c r="T12" s="5"/>
      <c r="U12" s="5"/>
      <c r="V12" s="5"/>
      <c r="W12" s="5"/>
      <c r="X12" s="5"/>
      <c r="Y12" s="5"/>
      <c r="Z12" s="167"/>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c r="CA12" s="6"/>
      <c r="CB12" s="6"/>
      <c r="CC12" s="6"/>
    </row>
    <row r="13" spans="1:81" x14ac:dyDescent="0.2">
      <c r="A13" s="13" t="s">
        <v>643</v>
      </c>
      <c r="B13" s="13" t="s">
        <v>11</v>
      </c>
      <c r="C13" s="13"/>
      <c r="D13" s="13"/>
      <c r="E13" s="59"/>
      <c r="F13" s="13"/>
      <c r="G13" s="13"/>
      <c r="H13" s="13" t="s">
        <v>67</v>
      </c>
      <c r="I13" s="13"/>
      <c r="J13" s="13" t="s">
        <v>43</v>
      </c>
      <c r="K13" s="97"/>
      <c r="L13" s="5"/>
      <c r="M13" s="4" t="s">
        <v>149</v>
      </c>
      <c r="N13" s="6">
        <v>200</v>
      </c>
      <c r="O13" s="6" t="s">
        <v>372</v>
      </c>
      <c r="P13" s="4">
        <v>1.1100000000000001</v>
      </c>
      <c r="Q13" s="109"/>
      <c r="R13" s="5"/>
      <c r="S13" s="5"/>
      <c r="T13" s="5"/>
      <c r="U13" s="5"/>
      <c r="V13" s="5"/>
      <c r="W13" s="5"/>
      <c r="X13" s="5"/>
      <c r="Y13" s="5"/>
      <c r="Z13" s="167"/>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c r="BQ13" s="6"/>
      <c r="BR13" s="6"/>
      <c r="BS13" s="6"/>
      <c r="BT13" s="6"/>
      <c r="BU13" s="6"/>
      <c r="BV13" s="6"/>
      <c r="BW13" s="6"/>
      <c r="BX13" s="6"/>
      <c r="BY13" s="6"/>
      <c r="BZ13" s="6"/>
      <c r="CA13" s="6"/>
      <c r="CB13" s="6"/>
      <c r="CC13" s="6"/>
    </row>
    <row r="14" spans="1:81" x14ac:dyDescent="0.2">
      <c r="A14" s="13" t="s">
        <v>194</v>
      </c>
      <c r="B14" s="13" t="s">
        <v>11</v>
      </c>
      <c r="C14" s="13"/>
      <c r="D14" s="13"/>
      <c r="E14" s="59"/>
      <c r="F14" s="13"/>
      <c r="G14" s="13"/>
      <c r="H14" s="14" t="s">
        <v>476</v>
      </c>
      <c r="I14" s="13"/>
      <c r="J14" s="13" t="s">
        <v>43</v>
      </c>
      <c r="K14" s="97"/>
      <c r="L14" s="5"/>
      <c r="M14" s="4" t="s">
        <v>149</v>
      </c>
      <c r="N14" s="6">
        <v>300</v>
      </c>
      <c r="O14" s="6" t="s">
        <v>372</v>
      </c>
      <c r="P14" s="4">
        <v>1.1200000000000001</v>
      </c>
      <c r="Q14" s="109"/>
      <c r="R14" s="5"/>
      <c r="S14" s="5"/>
      <c r="T14" s="5"/>
      <c r="U14" s="5"/>
      <c r="V14" s="5"/>
      <c r="W14" s="5"/>
      <c r="X14" s="5"/>
      <c r="Y14" s="5"/>
      <c r="Z14" s="167"/>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row>
    <row r="15" spans="1:81" x14ac:dyDescent="0.2">
      <c r="A15" s="3" t="s">
        <v>479</v>
      </c>
      <c r="B15" s="5" t="s">
        <v>11</v>
      </c>
      <c r="C15" s="5"/>
      <c r="D15" s="5"/>
      <c r="E15" s="60"/>
      <c r="F15" s="5"/>
      <c r="G15" s="5"/>
      <c r="H15" s="3" t="s">
        <v>67</v>
      </c>
      <c r="I15" s="5"/>
      <c r="J15" s="5" t="s">
        <v>43</v>
      </c>
      <c r="K15" s="97"/>
      <c r="L15" s="5"/>
      <c r="M15" s="4" t="s">
        <v>149</v>
      </c>
      <c r="N15" s="6">
        <v>200</v>
      </c>
      <c r="O15" s="6" t="s">
        <v>372</v>
      </c>
      <c r="P15" s="4">
        <v>1.22</v>
      </c>
      <c r="Q15" s="109"/>
      <c r="R15" s="5"/>
      <c r="S15" s="5"/>
      <c r="T15" s="5"/>
      <c r="U15" s="5"/>
      <c r="V15" s="5"/>
      <c r="W15" s="5"/>
      <c r="X15" s="5"/>
      <c r="Y15" s="5"/>
      <c r="Z15" s="167"/>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row>
    <row r="16" spans="1:81" x14ac:dyDescent="0.2">
      <c r="A16" s="5" t="s">
        <v>25</v>
      </c>
      <c r="B16" s="5" t="s">
        <v>11</v>
      </c>
      <c r="C16" s="5"/>
      <c r="D16" s="5"/>
      <c r="E16" s="60"/>
      <c r="F16" s="5"/>
      <c r="G16" s="5"/>
      <c r="H16" s="5" t="s">
        <v>478</v>
      </c>
      <c r="I16" s="5"/>
      <c r="J16" s="5" t="s">
        <v>43</v>
      </c>
      <c r="K16" s="97"/>
      <c r="L16" s="5"/>
      <c r="M16" s="4" t="s">
        <v>149</v>
      </c>
      <c r="N16" s="6">
        <v>300</v>
      </c>
      <c r="O16" s="6" t="s">
        <v>372</v>
      </c>
      <c r="P16" s="6">
        <v>1.24</v>
      </c>
      <c r="Q16" s="109"/>
      <c r="R16" s="5"/>
      <c r="S16" s="5"/>
      <c r="T16" s="5"/>
      <c r="U16" s="5"/>
      <c r="V16" s="5"/>
      <c r="W16" s="5"/>
      <c r="X16" s="5"/>
      <c r="Y16" s="5"/>
      <c r="Z16" s="167"/>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row>
    <row r="17" spans="1:81" x14ac:dyDescent="0.2">
      <c r="A17" s="3" t="s">
        <v>499</v>
      </c>
      <c r="B17" s="5" t="s">
        <v>11</v>
      </c>
      <c r="C17" s="5"/>
      <c r="D17" s="5"/>
      <c r="E17" s="60"/>
      <c r="F17" s="5"/>
      <c r="G17" s="5"/>
      <c r="H17" s="3" t="s">
        <v>67</v>
      </c>
      <c r="I17" s="5" t="s">
        <v>502</v>
      </c>
      <c r="J17" s="3" t="s">
        <v>41</v>
      </c>
      <c r="K17" s="97"/>
      <c r="L17" s="5"/>
      <c r="M17" s="4" t="s">
        <v>149</v>
      </c>
      <c r="N17" s="6">
        <v>200</v>
      </c>
      <c r="O17" s="6" t="s">
        <v>372</v>
      </c>
      <c r="P17" s="6">
        <v>1.1200000000000001</v>
      </c>
      <c r="Q17" s="109"/>
      <c r="R17" s="5"/>
      <c r="S17" s="5"/>
      <c r="T17" s="5"/>
      <c r="U17" s="5"/>
      <c r="V17" s="5"/>
      <c r="W17" s="5"/>
      <c r="X17" s="5"/>
      <c r="Y17" s="5"/>
      <c r="Z17" s="167"/>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row>
    <row r="18" spans="1:81" x14ac:dyDescent="0.2">
      <c r="A18" s="3"/>
      <c r="B18" s="5"/>
      <c r="C18" s="5"/>
      <c r="D18" s="5"/>
      <c r="E18" s="60"/>
      <c r="F18" s="5"/>
      <c r="G18" s="5"/>
      <c r="H18" s="3"/>
      <c r="I18" s="5"/>
      <c r="J18" s="3"/>
      <c r="K18" s="97"/>
      <c r="L18" s="5"/>
      <c r="M18" s="4"/>
      <c r="N18" s="6"/>
      <c r="O18" s="6"/>
      <c r="P18" s="6"/>
      <c r="Q18" s="109"/>
      <c r="R18" s="5"/>
      <c r="S18" s="5"/>
      <c r="T18" s="5"/>
      <c r="U18" s="5"/>
      <c r="V18" s="5"/>
      <c r="W18" s="5"/>
      <c r="X18" s="5"/>
      <c r="Y18" s="5"/>
      <c r="Z18" s="167"/>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row>
    <row r="19" spans="1:81" x14ac:dyDescent="0.2">
      <c r="A19" s="12" t="s">
        <v>33</v>
      </c>
      <c r="B19" s="13"/>
      <c r="C19" s="13"/>
      <c r="D19" s="13"/>
      <c r="E19" s="59"/>
      <c r="F19" s="13"/>
      <c r="G19" s="13"/>
      <c r="H19" s="13"/>
      <c r="I19" s="13"/>
      <c r="J19" s="13"/>
      <c r="K19" s="97"/>
      <c r="L19" s="5"/>
      <c r="M19" s="4"/>
      <c r="N19" s="6"/>
      <c r="O19" s="6"/>
      <c r="P19" s="4"/>
      <c r="Q19" s="109"/>
      <c r="R19" s="5"/>
      <c r="S19" s="5"/>
      <c r="T19" s="5"/>
      <c r="U19" s="5"/>
      <c r="V19" s="5"/>
      <c r="W19" s="5"/>
      <c r="X19" s="5"/>
      <c r="Y19" s="5"/>
      <c r="Z19" s="167"/>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row>
    <row r="20" spans="1:81" x14ac:dyDescent="0.2">
      <c r="A20" s="13" t="s">
        <v>194</v>
      </c>
      <c r="B20" s="13" t="s">
        <v>30</v>
      </c>
      <c r="C20" s="13">
        <v>20190118</v>
      </c>
      <c r="D20" s="13">
        <v>1050</v>
      </c>
      <c r="E20" s="59" t="s">
        <v>35</v>
      </c>
      <c r="F20" s="13">
        <v>100</v>
      </c>
      <c r="G20" s="14" t="s">
        <v>194</v>
      </c>
      <c r="H20" s="13" t="s">
        <v>67</v>
      </c>
      <c r="I20" s="13"/>
      <c r="J20" s="13" t="s">
        <v>43</v>
      </c>
      <c r="K20" s="97"/>
      <c r="L20" s="5"/>
      <c r="M20" s="4" t="s">
        <v>149</v>
      </c>
      <c r="N20" s="6">
        <v>1</v>
      </c>
      <c r="O20" s="6" t="s">
        <v>372</v>
      </c>
      <c r="P20" s="4">
        <v>1</v>
      </c>
      <c r="Q20" s="109"/>
      <c r="R20" s="5"/>
      <c r="S20" s="5"/>
      <c r="T20" s="5"/>
      <c r="U20" s="5"/>
      <c r="V20" s="5"/>
      <c r="W20" s="5"/>
      <c r="X20" s="5"/>
      <c r="Y20" s="5"/>
      <c r="Z20" s="167"/>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row>
    <row r="21" spans="1:81" x14ac:dyDescent="0.2">
      <c r="A21" s="14" t="s">
        <v>25</v>
      </c>
      <c r="B21" s="14" t="s">
        <v>30</v>
      </c>
      <c r="C21" s="13">
        <v>20190118</v>
      </c>
      <c r="D21" s="13">
        <v>120</v>
      </c>
      <c r="E21" s="158" t="s">
        <v>35</v>
      </c>
      <c r="F21" s="13">
        <v>100</v>
      </c>
      <c r="G21" s="13"/>
      <c r="H21" s="14" t="s">
        <v>67</v>
      </c>
      <c r="I21" s="13"/>
      <c r="J21" s="14" t="s">
        <v>43</v>
      </c>
      <c r="K21" s="97"/>
      <c r="L21" s="5"/>
      <c r="M21" s="4" t="s">
        <v>151</v>
      </c>
      <c r="N21" s="6">
        <v>1</v>
      </c>
      <c r="O21" s="6" t="s">
        <v>373</v>
      </c>
      <c r="P21" s="4"/>
      <c r="Q21" s="109">
        <v>90</v>
      </c>
      <c r="R21" s="5"/>
      <c r="S21" s="5"/>
      <c r="T21" s="5"/>
      <c r="U21" s="5"/>
      <c r="V21" s="5"/>
      <c r="W21" s="5"/>
      <c r="X21" s="5"/>
      <c r="Y21" s="5"/>
      <c r="Z21" s="167"/>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c r="CC21" s="6"/>
    </row>
    <row r="22" spans="1:81" x14ac:dyDescent="0.2">
      <c r="A22" s="5" t="s">
        <v>469</v>
      </c>
      <c r="B22" s="5" t="s">
        <v>30</v>
      </c>
      <c r="C22" s="13">
        <v>20190118</v>
      </c>
      <c r="D22" s="5">
        <v>185</v>
      </c>
      <c r="E22" s="60" t="s">
        <v>35</v>
      </c>
      <c r="F22" s="13">
        <v>100</v>
      </c>
      <c r="G22" s="13"/>
      <c r="H22" s="14" t="s">
        <v>67</v>
      </c>
      <c r="I22" s="13"/>
      <c r="J22" s="14" t="s">
        <v>43</v>
      </c>
      <c r="K22" s="97"/>
      <c r="L22" s="5"/>
      <c r="M22" s="4" t="s">
        <v>149</v>
      </c>
      <c r="N22" s="6">
        <v>1</v>
      </c>
      <c r="O22" s="6" t="s">
        <v>372</v>
      </c>
      <c r="P22" s="4">
        <v>1</v>
      </c>
      <c r="Q22" s="109"/>
      <c r="R22" s="5"/>
      <c r="S22" s="5"/>
      <c r="T22" s="5"/>
      <c r="U22" s="5"/>
      <c r="V22" s="5"/>
      <c r="W22" s="5"/>
      <c r="X22" s="5"/>
      <c r="Y22" s="5"/>
      <c r="Z22" s="167"/>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c r="CA22" s="6"/>
      <c r="CB22" s="6"/>
      <c r="CC22" s="6"/>
    </row>
    <row r="23" spans="1:81" x14ac:dyDescent="0.2">
      <c r="A23" s="14"/>
      <c r="B23" s="14"/>
      <c r="C23" s="13"/>
      <c r="D23" s="13"/>
      <c r="E23" s="158"/>
      <c r="F23" s="13"/>
      <c r="G23" s="13"/>
      <c r="H23" s="14"/>
      <c r="I23" s="13"/>
      <c r="J23" s="14"/>
      <c r="K23" s="97"/>
      <c r="L23" s="5"/>
      <c r="M23" s="6"/>
      <c r="N23" s="6"/>
      <c r="O23" s="6"/>
      <c r="P23" s="4"/>
      <c r="Q23" s="109"/>
      <c r="R23" s="5"/>
      <c r="S23" s="5"/>
      <c r="T23" s="5"/>
      <c r="U23" s="5"/>
      <c r="V23" s="5"/>
      <c r="W23" s="5"/>
      <c r="X23" s="5"/>
      <c r="Y23" s="5"/>
      <c r="Z23" s="167"/>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row>
    <row r="24" spans="1:81" x14ac:dyDescent="0.2">
      <c r="A24" s="12" t="s">
        <v>477</v>
      </c>
      <c r="B24" s="13"/>
      <c r="C24" s="13"/>
      <c r="D24" s="13"/>
      <c r="E24" s="59"/>
      <c r="F24" s="13"/>
      <c r="G24" s="13"/>
      <c r="H24" s="13"/>
      <c r="I24" s="13"/>
      <c r="J24" s="13"/>
      <c r="K24" s="97"/>
      <c r="L24" s="5"/>
      <c r="M24" s="4"/>
      <c r="N24" s="6"/>
      <c r="O24" s="6"/>
      <c r="P24" s="4"/>
      <c r="Q24" s="109"/>
      <c r="R24" s="5"/>
      <c r="S24" s="5"/>
      <c r="T24" s="5"/>
      <c r="U24" s="5"/>
      <c r="V24" s="5"/>
      <c r="W24" s="5"/>
      <c r="X24" s="5"/>
      <c r="Y24" s="5"/>
      <c r="Z24" s="167"/>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c r="BU24" s="6"/>
      <c r="BV24" s="6"/>
      <c r="BW24" s="6"/>
      <c r="BX24" s="6"/>
      <c r="BY24" s="6"/>
      <c r="BZ24" s="6"/>
      <c r="CA24" s="6"/>
      <c r="CB24" s="6"/>
      <c r="CC24" s="6"/>
    </row>
    <row r="25" spans="1:81" x14ac:dyDescent="0.2">
      <c r="A25" s="13" t="s">
        <v>41</v>
      </c>
      <c r="B25" s="13" t="s">
        <v>42</v>
      </c>
      <c r="C25" s="13"/>
      <c r="D25" s="13"/>
      <c r="E25" s="59"/>
      <c r="F25" s="13"/>
      <c r="G25" s="13"/>
      <c r="H25" s="13" t="s">
        <v>468</v>
      </c>
      <c r="I25" s="13"/>
      <c r="J25" s="13" t="s">
        <v>43</v>
      </c>
      <c r="K25" s="97"/>
      <c r="L25" s="5"/>
      <c r="M25" s="4" t="s">
        <v>149</v>
      </c>
      <c r="N25" s="6">
        <v>20000</v>
      </c>
      <c r="O25" s="6" t="s">
        <v>482</v>
      </c>
      <c r="P25" s="4">
        <v>0.8</v>
      </c>
      <c r="Q25" s="109">
        <v>0.9</v>
      </c>
      <c r="R25" s="5"/>
      <c r="S25" s="5"/>
      <c r="T25" s="5"/>
      <c r="U25" s="5"/>
      <c r="V25" s="5"/>
      <c r="W25" s="5"/>
      <c r="X25" s="5"/>
      <c r="Y25" s="5"/>
      <c r="Z25" s="167"/>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c r="CA25" s="6"/>
      <c r="CB25" s="6"/>
      <c r="CC25" s="6"/>
    </row>
    <row r="26" spans="1:81" x14ac:dyDescent="0.2">
      <c r="A26" s="14" t="s">
        <v>41</v>
      </c>
      <c r="B26" s="14" t="s">
        <v>42</v>
      </c>
      <c r="C26" s="13"/>
      <c r="D26" s="13"/>
      <c r="E26" s="59"/>
      <c r="F26" s="13"/>
      <c r="G26" s="13"/>
      <c r="H26" s="14" t="s">
        <v>468</v>
      </c>
      <c r="I26" s="13"/>
      <c r="J26" s="14" t="s">
        <v>43</v>
      </c>
      <c r="K26" s="97"/>
      <c r="L26" s="5"/>
      <c r="M26" s="4" t="s">
        <v>149</v>
      </c>
      <c r="N26" s="6">
        <v>20000</v>
      </c>
      <c r="O26" s="6" t="s">
        <v>150</v>
      </c>
      <c r="P26" s="4"/>
      <c r="Q26" s="109"/>
      <c r="R26" s="5"/>
      <c r="S26" s="5"/>
      <c r="T26" s="5"/>
      <c r="U26" s="5"/>
      <c r="V26" s="5"/>
      <c r="W26" s="5"/>
      <c r="X26" s="5"/>
      <c r="Y26" s="5"/>
      <c r="Z26" s="167"/>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c r="CC26" s="6"/>
    </row>
    <row r="27" spans="1:81" x14ac:dyDescent="0.2">
      <c r="A27" s="5"/>
      <c r="B27" s="5"/>
      <c r="C27" s="5"/>
      <c r="D27" s="5"/>
      <c r="E27" s="60"/>
      <c r="F27" s="5"/>
      <c r="G27" s="5"/>
      <c r="H27" s="5"/>
      <c r="I27" s="5"/>
      <c r="J27" s="5"/>
      <c r="K27" s="97"/>
      <c r="L27" s="5"/>
      <c r="M27" s="4"/>
      <c r="N27" s="6"/>
      <c r="O27" s="6"/>
      <c r="P27" s="4"/>
      <c r="Q27" s="109"/>
      <c r="R27" s="5"/>
      <c r="S27" s="5"/>
      <c r="T27" s="5"/>
      <c r="U27" s="5"/>
      <c r="V27" s="5"/>
      <c r="W27" s="5"/>
      <c r="X27" s="5"/>
      <c r="Y27" s="5"/>
      <c r="Z27" s="167"/>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row>
    <row r="28" spans="1:81" x14ac:dyDescent="0.2">
      <c r="A28" s="12" t="s">
        <v>480</v>
      </c>
      <c r="B28" s="13"/>
      <c r="C28" s="13"/>
      <c r="D28" s="13"/>
      <c r="E28" s="59"/>
      <c r="F28" s="13"/>
      <c r="G28" s="13"/>
      <c r="H28" s="13"/>
      <c r="I28" s="13"/>
      <c r="J28" s="13"/>
      <c r="K28" s="97"/>
      <c r="L28" s="5"/>
      <c r="M28" s="4"/>
      <c r="N28" s="6"/>
      <c r="O28" s="6"/>
      <c r="P28" s="4"/>
      <c r="Q28" s="109"/>
      <c r="R28" s="5"/>
      <c r="S28" s="5"/>
      <c r="T28" s="5"/>
      <c r="U28" s="5"/>
      <c r="V28" s="5"/>
      <c r="W28" s="5"/>
      <c r="X28" s="5"/>
      <c r="Y28" s="5"/>
      <c r="Z28" s="167"/>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row>
    <row r="29" spans="1:81" x14ac:dyDescent="0.2">
      <c r="A29" s="13" t="s">
        <v>499</v>
      </c>
      <c r="B29" s="13" t="s">
        <v>481</v>
      </c>
      <c r="C29" s="13"/>
      <c r="D29" s="13"/>
      <c r="E29" s="59"/>
      <c r="F29" s="13"/>
      <c r="G29" s="13"/>
      <c r="H29" s="13" t="s">
        <v>67</v>
      </c>
      <c r="I29" s="13"/>
      <c r="J29" s="13" t="s">
        <v>41</v>
      </c>
      <c r="K29" s="97" t="s">
        <v>684</v>
      </c>
      <c r="L29" s="5"/>
      <c r="M29" s="4" t="s">
        <v>149</v>
      </c>
      <c r="N29" s="6">
        <v>1</v>
      </c>
      <c r="O29" s="6" t="s">
        <v>372</v>
      </c>
      <c r="P29" s="4">
        <v>-2</v>
      </c>
      <c r="Q29" s="109"/>
      <c r="R29" s="5"/>
      <c r="S29" s="5"/>
      <c r="T29" s="5"/>
      <c r="U29" s="5"/>
      <c r="V29" s="5"/>
      <c r="W29" s="5"/>
      <c r="X29" s="5"/>
      <c r="Y29" s="5"/>
      <c r="Z29" s="167"/>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c r="CA29" s="6"/>
      <c r="CB29" s="6"/>
      <c r="CC29" s="6"/>
    </row>
    <row r="30" spans="1:81" x14ac:dyDescent="0.2">
      <c r="A30" s="13"/>
      <c r="B30" s="13"/>
      <c r="C30" s="13"/>
      <c r="D30" s="13"/>
      <c r="E30" s="59"/>
      <c r="F30" s="13"/>
      <c r="G30" s="13"/>
      <c r="H30" s="13"/>
      <c r="I30" s="13"/>
      <c r="J30" s="13"/>
      <c r="K30" s="97"/>
      <c r="L30" s="5"/>
      <c r="M30" s="4"/>
      <c r="N30" s="6"/>
      <c r="O30" s="6"/>
      <c r="P30" s="4"/>
      <c r="Q30" s="109"/>
      <c r="R30" s="5"/>
      <c r="S30" s="5"/>
      <c r="T30" s="5"/>
      <c r="U30" s="5"/>
      <c r="V30" s="5"/>
      <c r="W30" s="5"/>
      <c r="X30" s="5"/>
      <c r="Y30" s="5"/>
      <c r="Z30" s="167"/>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c r="CA30" s="6"/>
      <c r="CB30" s="6"/>
      <c r="CC30" s="6"/>
    </row>
    <row r="31" spans="1:81" x14ac:dyDescent="0.2">
      <c r="A31" s="13"/>
      <c r="B31" s="13"/>
      <c r="C31" s="13"/>
      <c r="D31" s="13"/>
      <c r="E31" s="59"/>
      <c r="F31" s="13"/>
      <c r="G31" s="13"/>
      <c r="H31" s="13"/>
      <c r="I31" s="13"/>
      <c r="J31" s="13"/>
      <c r="K31" s="97"/>
      <c r="L31" s="5"/>
      <c r="M31" s="4"/>
      <c r="N31" s="6"/>
      <c r="O31" s="6"/>
      <c r="P31" s="4"/>
      <c r="Q31" s="109"/>
      <c r="R31" s="5"/>
      <c r="S31" s="5"/>
      <c r="T31" s="5"/>
      <c r="U31" s="5"/>
      <c r="V31" s="5"/>
      <c r="W31" s="5"/>
      <c r="X31" s="5"/>
      <c r="Y31" s="5"/>
      <c r="Z31" s="167"/>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row>
    <row r="32" spans="1:81" x14ac:dyDescent="0.2">
      <c r="A32" s="13"/>
      <c r="B32" s="13"/>
      <c r="C32" s="13"/>
      <c r="D32" s="13"/>
      <c r="E32" s="59"/>
      <c r="F32" s="13"/>
      <c r="G32" s="13"/>
      <c r="H32" s="13"/>
      <c r="I32" s="13"/>
      <c r="J32" s="13"/>
      <c r="K32" s="97"/>
      <c r="L32" s="5"/>
      <c r="M32" s="4"/>
      <c r="N32" s="6"/>
      <c r="O32" s="6"/>
      <c r="P32" s="4"/>
      <c r="Q32" s="109"/>
      <c r="R32" s="5"/>
      <c r="S32" s="5"/>
      <c r="T32" s="5"/>
      <c r="U32" s="5"/>
      <c r="V32" s="5"/>
      <c r="W32" s="5"/>
      <c r="X32" s="5"/>
      <c r="Y32" s="5"/>
      <c r="Z32" s="167"/>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c r="CA32" s="6"/>
      <c r="CB32" s="6"/>
      <c r="CC32" s="6"/>
    </row>
    <row r="33" spans="1:81" x14ac:dyDescent="0.2">
      <c r="A33" s="12"/>
      <c r="B33" s="13"/>
      <c r="C33" s="13"/>
      <c r="D33" s="13"/>
      <c r="E33" s="59"/>
      <c r="F33" s="13"/>
      <c r="G33" s="13"/>
      <c r="H33" s="13"/>
      <c r="I33" s="13"/>
      <c r="J33" s="13"/>
      <c r="K33" s="97"/>
      <c r="L33" s="5"/>
      <c r="M33" s="4"/>
      <c r="N33" s="6"/>
      <c r="O33" s="6"/>
      <c r="P33" s="4"/>
      <c r="Q33" s="109"/>
      <c r="R33" s="5"/>
      <c r="S33" s="5"/>
      <c r="T33" s="5"/>
      <c r="U33" s="5"/>
      <c r="V33" s="5"/>
      <c r="W33" s="5"/>
      <c r="X33" s="5"/>
      <c r="Y33" s="5"/>
      <c r="Z33" s="167"/>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row>
    <row r="34" spans="1:81" x14ac:dyDescent="0.2">
      <c r="A34" s="13"/>
      <c r="B34" s="13"/>
      <c r="C34" s="13"/>
      <c r="D34" s="13"/>
      <c r="E34" s="59"/>
      <c r="F34" s="13"/>
      <c r="G34" s="13"/>
      <c r="H34" s="13"/>
      <c r="I34" s="13"/>
      <c r="J34" s="13"/>
      <c r="K34" s="97"/>
      <c r="L34" s="5"/>
      <c r="M34" s="4"/>
      <c r="N34" s="6"/>
      <c r="O34" s="6"/>
      <c r="P34" s="6"/>
      <c r="Q34" s="108"/>
      <c r="R34" s="5"/>
      <c r="S34" s="5"/>
      <c r="T34" s="5"/>
      <c r="U34" s="5"/>
      <c r="V34" s="5"/>
      <c r="W34" s="5"/>
      <c r="X34" s="5"/>
      <c r="Y34" s="5"/>
      <c r="Z34" s="167"/>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c r="CA34" s="6"/>
      <c r="CB34" s="6"/>
      <c r="CC34" s="6"/>
    </row>
    <row r="35" spans="1:81" x14ac:dyDescent="0.2">
      <c r="A35" s="13"/>
      <c r="B35" s="13"/>
      <c r="C35" s="13"/>
      <c r="D35" s="13"/>
      <c r="E35" s="59"/>
      <c r="F35" s="13"/>
      <c r="G35" s="13"/>
      <c r="H35" s="13"/>
      <c r="I35" s="13"/>
      <c r="J35" s="13"/>
      <c r="K35" s="97"/>
      <c r="L35" s="5"/>
      <c r="M35" s="4"/>
      <c r="N35" s="6"/>
      <c r="O35" s="6"/>
      <c r="P35" s="4"/>
      <c r="Q35" s="109"/>
      <c r="R35" s="5"/>
      <c r="S35" s="5"/>
      <c r="T35" s="5"/>
      <c r="U35" s="5"/>
      <c r="V35" s="5"/>
      <c r="W35" s="5"/>
      <c r="X35" s="5"/>
      <c r="Y35" s="5"/>
      <c r="Z35" s="167"/>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row>
    <row r="36" spans="1:81" x14ac:dyDescent="0.2">
      <c r="A36" s="13"/>
      <c r="B36" s="13"/>
      <c r="C36" s="13"/>
      <c r="D36" s="13"/>
      <c r="E36" s="59"/>
      <c r="F36" s="13"/>
      <c r="G36" s="13"/>
      <c r="H36" s="13"/>
      <c r="I36" s="13"/>
      <c r="J36" s="13"/>
      <c r="K36" s="97"/>
      <c r="L36" s="5"/>
      <c r="M36" s="4"/>
      <c r="N36" s="6"/>
      <c r="O36" s="6"/>
      <c r="P36" s="4"/>
      <c r="Q36" s="109"/>
      <c r="R36" s="5"/>
      <c r="S36" s="5"/>
      <c r="T36" s="5"/>
      <c r="U36" s="5"/>
      <c r="V36" s="5"/>
      <c r="W36" s="5"/>
      <c r="X36" s="5"/>
      <c r="Y36" s="5"/>
      <c r="Z36" s="167"/>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c r="CA36" s="6"/>
      <c r="CB36" s="6"/>
      <c r="CC36" s="6"/>
    </row>
    <row r="37" spans="1:81" x14ac:dyDescent="0.2">
      <c r="A37" s="12"/>
      <c r="B37" s="13"/>
      <c r="C37" s="13"/>
      <c r="D37" s="13"/>
      <c r="E37" s="59"/>
      <c r="F37" s="13"/>
      <c r="G37" s="13"/>
      <c r="H37" s="13"/>
      <c r="I37" s="13"/>
      <c r="J37" s="13"/>
      <c r="K37" s="97"/>
      <c r="L37" s="5"/>
      <c r="M37" s="4"/>
      <c r="N37" s="6"/>
      <c r="O37" s="6"/>
      <c r="P37" s="4"/>
      <c r="Q37" s="109"/>
      <c r="R37" s="5"/>
      <c r="S37" s="5"/>
      <c r="T37" s="5"/>
      <c r="U37" s="5"/>
      <c r="V37" s="5"/>
      <c r="W37" s="5"/>
      <c r="X37" s="5"/>
      <c r="Y37" s="5"/>
      <c r="Z37" s="167"/>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c r="CA37" s="6"/>
      <c r="CB37" s="6"/>
      <c r="CC37" s="6"/>
    </row>
    <row r="38" spans="1:81" x14ac:dyDescent="0.2">
      <c r="A38" s="13"/>
      <c r="B38" s="13"/>
      <c r="C38" s="13"/>
      <c r="D38" s="13"/>
      <c r="E38" s="59"/>
      <c r="F38" s="13"/>
      <c r="G38" s="13"/>
      <c r="H38" s="13"/>
      <c r="I38" s="13"/>
      <c r="J38" s="13"/>
      <c r="K38" s="97"/>
      <c r="L38" s="5"/>
      <c r="M38" s="4"/>
      <c r="N38" s="6"/>
      <c r="O38" s="6"/>
      <c r="P38" s="4"/>
      <c r="Q38" s="109"/>
      <c r="R38" s="5"/>
      <c r="S38" s="5"/>
      <c r="T38" s="5"/>
      <c r="U38" s="5"/>
      <c r="V38" s="5"/>
      <c r="W38" s="5"/>
      <c r="X38" s="5"/>
      <c r="Y38" s="5"/>
      <c r="Z38" s="167"/>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c r="CA38" s="6"/>
      <c r="CB38" s="6"/>
      <c r="CC38" s="6"/>
    </row>
    <row r="39" spans="1:81" x14ac:dyDescent="0.2">
      <c r="A39" s="13"/>
      <c r="B39" s="13"/>
      <c r="C39" s="13"/>
      <c r="D39" s="13"/>
      <c r="E39" s="59"/>
      <c r="F39" s="13"/>
      <c r="G39" s="13"/>
      <c r="H39" s="13"/>
      <c r="I39" s="13"/>
      <c r="J39" s="13"/>
      <c r="K39" s="97"/>
      <c r="L39" s="5"/>
      <c r="M39" s="4"/>
      <c r="N39" s="6"/>
      <c r="O39" s="6"/>
      <c r="P39" s="4"/>
      <c r="Q39" s="109"/>
      <c r="R39" s="5"/>
      <c r="S39" s="5"/>
      <c r="T39" s="5"/>
      <c r="U39" s="5"/>
      <c r="V39" s="5"/>
      <c r="W39" s="5"/>
      <c r="X39" s="5"/>
      <c r="Y39" s="5"/>
      <c r="Z39" s="167"/>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c r="BU39" s="6"/>
      <c r="BV39" s="6"/>
      <c r="BW39" s="6"/>
      <c r="BX39" s="6"/>
      <c r="BY39" s="6"/>
      <c r="BZ39" s="6"/>
      <c r="CA39" s="6"/>
      <c r="CB39" s="6"/>
      <c r="CC39" s="6"/>
    </row>
    <row r="40" spans="1:81" x14ac:dyDescent="0.2">
      <c r="A40" s="14"/>
      <c r="B40" s="14"/>
      <c r="C40" s="13"/>
      <c r="D40" s="13"/>
      <c r="E40" s="59"/>
      <c r="F40" s="13"/>
      <c r="G40" s="13"/>
      <c r="H40" s="14"/>
      <c r="I40" s="13"/>
      <c r="J40" s="14"/>
      <c r="K40" s="97"/>
      <c r="L40" s="5"/>
      <c r="M40" s="4"/>
      <c r="N40" s="6"/>
      <c r="O40" s="6"/>
      <c r="P40" s="4"/>
      <c r="Q40" s="109"/>
      <c r="R40" s="5"/>
      <c r="S40" s="5"/>
      <c r="T40" s="5"/>
      <c r="U40" s="5"/>
      <c r="V40" s="5"/>
      <c r="W40" s="5"/>
      <c r="X40" s="5"/>
      <c r="Y40" s="5"/>
      <c r="Z40" s="167"/>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row>
    <row r="41" spans="1:81" x14ac:dyDescent="0.2">
      <c r="A41" s="13"/>
      <c r="B41" s="13"/>
      <c r="C41" s="13"/>
      <c r="D41" s="13"/>
      <c r="E41" s="59"/>
      <c r="F41" s="13"/>
      <c r="G41" s="13"/>
      <c r="H41" s="13"/>
      <c r="I41" s="13"/>
      <c r="J41" s="13"/>
      <c r="K41" s="97"/>
      <c r="L41" s="5"/>
      <c r="M41" s="4"/>
      <c r="N41" s="6"/>
      <c r="O41" s="6"/>
      <c r="P41" s="4"/>
      <c r="Q41" s="109"/>
      <c r="R41" s="5"/>
      <c r="S41" s="5"/>
      <c r="T41" s="5"/>
      <c r="U41" s="5"/>
      <c r="V41" s="5"/>
      <c r="W41" s="5"/>
      <c r="X41" s="5"/>
      <c r="Y41" s="5"/>
      <c r="Z41" s="167"/>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row>
    <row r="42" spans="1:81" x14ac:dyDescent="0.2">
      <c r="A42" s="12"/>
      <c r="B42" s="13"/>
      <c r="C42" s="13"/>
      <c r="D42" s="13"/>
      <c r="E42" s="59"/>
      <c r="F42" s="13"/>
      <c r="G42" s="13"/>
      <c r="H42" s="13"/>
      <c r="I42" s="13"/>
      <c r="J42" s="13"/>
      <c r="K42" s="97"/>
      <c r="L42" s="5"/>
      <c r="M42" s="4"/>
      <c r="N42" s="6"/>
      <c r="O42" s="6"/>
      <c r="P42" s="4"/>
      <c r="Q42" s="109"/>
      <c r="R42" s="5"/>
      <c r="S42" s="5"/>
      <c r="T42" s="5"/>
      <c r="U42" s="5"/>
      <c r="V42" s="5"/>
      <c r="W42" s="5"/>
      <c r="X42" s="5"/>
      <c r="Y42" s="5"/>
      <c r="Z42" s="167"/>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c r="BH42" s="6"/>
      <c r="BI42" s="6"/>
      <c r="BJ42" s="6"/>
      <c r="BK42" s="6"/>
      <c r="BL42" s="6"/>
      <c r="BM42" s="6"/>
      <c r="BN42" s="6"/>
      <c r="BO42" s="6"/>
      <c r="BP42" s="6"/>
      <c r="BQ42" s="6"/>
      <c r="BR42" s="6"/>
      <c r="BS42" s="6"/>
      <c r="BT42" s="6"/>
      <c r="BU42" s="6"/>
      <c r="BV42" s="6"/>
      <c r="BW42" s="6"/>
      <c r="BX42" s="6"/>
      <c r="BY42" s="6"/>
      <c r="BZ42" s="6"/>
      <c r="CA42" s="6"/>
      <c r="CB42" s="6"/>
      <c r="CC42" s="6"/>
    </row>
    <row r="43" spans="1:81" x14ac:dyDescent="0.2">
      <c r="A43" s="13"/>
      <c r="B43" s="13"/>
      <c r="C43" s="13"/>
      <c r="D43" s="13"/>
      <c r="E43" s="59"/>
      <c r="F43" s="13"/>
      <c r="G43" s="13"/>
      <c r="H43" s="13"/>
      <c r="I43" s="13"/>
      <c r="J43" s="13"/>
      <c r="K43" s="13"/>
      <c r="L43" s="13"/>
      <c r="M43" s="4"/>
      <c r="N43" s="6"/>
      <c r="O43" s="6"/>
      <c r="P43" s="6"/>
      <c r="Q43" s="108"/>
      <c r="R43" s="5"/>
      <c r="S43" s="5"/>
      <c r="T43" s="5"/>
      <c r="U43" s="5"/>
      <c r="V43" s="5"/>
      <c r="W43" s="5"/>
      <c r="X43" s="5"/>
      <c r="Y43" s="5"/>
      <c r="Z43" s="167"/>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P43" s="6"/>
      <c r="BQ43" s="6"/>
      <c r="BR43" s="6"/>
      <c r="BS43" s="6"/>
      <c r="BT43" s="6"/>
      <c r="BU43" s="6"/>
      <c r="BV43" s="6"/>
      <c r="BW43" s="6"/>
      <c r="BX43" s="6"/>
      <c r="BY43" s="6"/>
      <c r="BZ43" s="6"/>
      <c r="CA43" s="6"/>
      <c r="CB43" s="6"/>
      <c r="CC43" s="6"/>
    </row>
    <row r="44" spans="1:81" x14ac:dyDescent="0.2">
      <c r="A44" s="13"/>
      <c r="B44" s="13"/>
      <c r="C44" s="13"/>
      <c r="D44" s="13"/>
      <c r="E44" s="59"/>
      <c r="F44" s="13"/>
      <c r="G44" s="13"/>
      <c r="H44" s="13"/>
      <c r="I44" s="13"/>
      <c r="J44" s="13"/>
      <c r="K44" s="13"/>
      <c r="L44" s="13"/>
      <c r="M44" s="4"/>
      <c r="N44" s="6"/>
      <c r="O44" s="6"/>
      <c r="P44" s="4"/>
      <c r="Q44" s="109"/>
      <c r="R44" s="5"/>
      <c r="S44" s="5"/>
      <c r="T44" s="5"/>
      <c r="U44" s="5"/>
      <c r="V44" s="5"/>
      <c r="W44" s="5"/>
      <c r="X44" s="5"/>
      <c r="Y44" s="5"/>
      <c r="Z44" s="167"/>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c r="BU44" s="6"/>
      <c r="BV44" s="6"/>
      <c r="BW44" s="6"/>
      <c r="BX44" s="6"/>
      <c r="BY44" s="6"/>
      <c r="BZ44" s="6"/>
      <c r="CA44" s="6"/>
      <c r="CB44" s="6"/>
      <c r="CC44" s="6"/>
    </row>
    <row r="45" spans="1:81" x14ac:dyDescent="0.2">
      <c r="A45" s="13"/>
      <c r="B45" s="13"/>
      <c r="C45" s="13"/>
      <c r="D45" s="13"/>
      <c r="E45" s="59"/>
      <c r="F45" s="13"/>
      <c r="G45" s="13"/>
      <c r="H45" s="13"/>
      <c r="I45" s="13"/>
      <c r="J45" s="13"/>
      <c r="K45" s="13"/>
      <c r="L45" s="13"/>
      <c r="M45" s="4"/>
      <c r="N45" s="6"/>
      <c r="O45" s="6"/>
      <c r="P45" s="4"/>
      <c r="Q45" s="109"/>
      <c r="R45" s="5"/>
      <c r="S45" s="5"/>
      <c r="T45" s="5"/>
      <c r="U45" s="5"/>
      <c r="V45" s="5"/>
      <c r="W45" s="5"/>
      <c r="X45" s="5"/>
      <c r="Y45" s="5"/>
      <c r="Z45" s="167"/>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c r="BU45" s="6"/>
      <c r="BV45" s="6"/>
      <c r="BW45" s="6"/>
      <c r="BX45" s="6"/>
      <c r="BY45" s="6"/>
      <c r="BZ45" s="6"/>
      <c r="CA45" s="6"/>
      <c r="CB45" s="6"/>
      <c r="CC45" s="6"/>
    </row>
    <row r="46" spans="1:81" x14ac:dyDescent="0.2">
      <c r="A46" s="12"/>
      <c r="B46" s="13"/>
      <c r="C46" s="13"/>
      <c r="D46" s="13"/>
      <c r="E46" s="59"/>
      <c r="F46" s="13"/>
      <c r="G46" s="13"/>
      <c r="H46" s="13"/>
      <c r="I46" s="13"/>
      <c r="J46" s="13"/>
      <c r="K46" s="97"/>
      <c r="L46" s="5"/>
      <c r="M46" s="4"/>
      <c r="N46" s="6"/>
      <c r="O46" s="6"/>
      <c r="P46" s="4"/>
      <c r="Q46" s="108"/>
      <c r="R46" s="5"/>
      <c r="S46" s="5"/>
      <c r="T46" s="5"/>
      <c r="U46" s="5"/>
      <c r="V46" s="5"/>
      <c r="W46" s="5"/>
      <c r="X46" s="5"/>
      <c r="Y46" s="5"/>
      <c r="Z46" s="167"/>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c r="BU46" s="6"/>
      <c r="BV46" s="6"/>
      <c r="BW46" s="6"/>
      <c r="BX46" s="6"/>
      <c r="BY46" s="6"/>
      <c r="BZ46" s="6"/>
      <c r="CA46" s="6"/>
      <c r="CB46" s="6"/>
      <c r="CC46" s="6"/>
    </row>
    <row r="47" spans="1:81" x14ac:dyDescent="0.2">
      <c r="A47" s="202"/>
      <c r="B47" s="202"/>
      <c r="C47" s="202"/>
      <c r="D47" s="202"/>
      <c r="E47" s="203"/>
      <c r="F47" s="202"/>
      <c r="G47" s="202"/>
      <c r="H47" s="202"/>
      <c r="I47" s="202"/>
      <c r="J47" s="202"/>
      <c r="K47" s="168"/>
      <c r="L47" s="105"/>
      <c r="M47" s="204"/>
      <c r="N47" s="204"/>
      <c r="O47" s="204"/>
      <c r="P47" s="204"/>
      <c r="Q47" s="214"/>
      <c r="R47" s="5"/>
      <c r="S47" s="5"/>
      <c r="T47" s="5"/>
      <c r="U47" s="5"/>
      <c r="V47" s="5"/>
      <c r="W47" s="5"/>
      <c r="X47" s="5"/>
      <c r="Y47" s="5"/>
      <c r="Z47" s="167"/>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c r="CA47" s="6"/>
      <c r="CB47" s="6"/>
      <c r="CC47" s="6"/>
    </row>
    <row r="48" spans="1:81" x14ac:dyDescent="0.2">
      <c r="A48" s="5"/>
      <c r="B48" s="5"/>
      <c r="C48" s="5"/>
      <c r="D48" s="5"/>
      <c r="E48" s="5"/>
      <c r="F48" s="5"/>
      <c r="G48" s="5"/>
      <c r="H48" s="5"/>
      <c r="I48" s="5"/>
      <c r="J48" s="5"/>
      <c r="K48" s="5"/>
      <c r="L48" s="35"/>
      <c r="M48" s="6"/>
      <c r="N48" s="6"/>
      <c r="O48" s="6"/>
      <c r="P48" s="6"/>
      <c r="Q48" s="108"/>
      <c r="R48" s="5"/>
      <c r="S48" s="5"/>
      <c r="T48" s="5"/>
      <c r="U48" s="5"/>
      <c r="V48" s="5"/>
      <c r="W48" s="5"/>
      <c r="X48" s="5"/>
      <c r="Y48" s="5"/>
      <c r="Z48" s="167"/>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c r="BJ48" s="6"/>
      <c r="BK48" s="6"/>
      <c r="BL48" s="6"/>
      <c r="BM48" s="6"/>
      <c r="BN48" s="6"/>
      <c r="BO48" s="6"/>
      <c r="BP48" s="6"/>
      <c r="BQ48" s="6"/>
      <c r="BR48" s="6"/>
      <c r="BS48" s="6"/>
      <c r="BT48" s="6"/>
      <c r="BU48" s="6"/>
      <c r="BV48" s="6"/>
      <c r="BW48" s="6"/>
      <c r="BX48" s="6"/>
      <c r="BY48" s="6"/>
      <c r="BZ48" s="6"/>
      <c r="CA48" s="6"/>
      <c r="CB48" s="6"/>
      <c r="CC48" s="6"/>
    </row>
    <row r="49" spans="1:81" x14ac:dyDescent="0.2">
      <c r="A49" s="5"/>
      <c r="B49" s="5"/>
      <c r="C49" s="5"/>
      <c r="D49" s="5"/>
      <c r="E49" s="5"/>
      <c r="F49" s="5"/>
      <c r="G49" s="5"/>
      <c r="H49" s="5"/>
      <c r="I49" s="5"/>
      <c r="J49" s="5"/>
      <c r="K49" s="5"/>
      <c r="L49" s="35"/>
      <c r="M49" s="6"/>
      <c r="N49" s="6"/>
      <c r="O49" s="6"/>
      <c r="P49" s="6"/>
      <c r="Q49" s="108"/>
      <c r="R49" s="5"/>
      <c r="S49" s="5"/>
      <c r="T49" s="5"/>
      <c r="U49" s="5"/>
      <c r="V49" s="5"/>
      <c r="W49" s="5"/>
      <c r="X49" s="5"/>
      <c r="Y49" s="5"/>
      <c r="Z49" s="167"/>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c r="BJ49" s="6"/>
      <c r="BK49" s="6"/>
      <c r="BL49" s="6"/>
      <c r="BM49" s="6"/>
      <c r="BN49" s="6"/>
      <c r="BO49" s="6"/>
      <c r="BP49" s="6"/>
      <c r="BQ49" s="6"/>
      <c r="BR49" s="6"/>
      <c r="BS49" s="6"/>
      <c r="BT49" s="6"/>
      <c r="BU49" s="6"/>
      <c r="BV49" s="6"/>
      <c r="BW49" s="6"/>
      <c r="BX49" s="6"/>
      <c r="BY49" s="6"/>
      <c r="BZ49" s="6"/>
      <c r="CA49" s="6"/>
      <c r="CB49" s="6"/>
      <c r="CC49" s="6"/>
    </row>
    <row r="50" spans="1:81" x14ac:dyDescent="0.2">
      <c r="A50" s="14"/>
      <c r="B50" s="13"/>
      <c r="C50" s="13"/>
      <c r="D50" s="13"/>
      <c r="E50" s="59"/>
      <c r="F50" s="13"/>
      <c r="G50" s="13"/>
      <c r="H50" s="14"/>
      <c r="I50" s="13"/>
      <c r="J50" s="13"/>
      <c r="K50" s="157"/>
      <c r="L50" s="35"/>
      <c r="M50" s="4"/>
      <c r="N50" s="6"/>
      <c r="O50" s="6"/>
      <c r="P50" s="4"/>
      <c r="Q50" s="108"/>
      <c r="R50" s="5"/>
      <c r="S50" s="5"/>
      <c r="T50" s="5"/>
      <c r="U50" s="5"/>
      <c r="V50" s="5"/>
      <c r="W50" s="5"/>
      <c r="X50" s="5"/>
      <c r="Y50" s="5"/>
      <c r="Z50" s="167"/>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c r="CA50" s="6"/>
      <c r="CB50" s="6"/>
      <c r="CC50" s="6"/>
    </row>
    <row r="51" spans="1:81" x14ac:dyDescent="0.2">
      <c r="A51" s="5"/>
      <c r="B51" s="5"/>
      <c r="C51" s="5"/>
      <c r="D51" s="5"/>
      <c r="E51" s="5"/>
      <c r="F51" s="5"/>
      <c r="G51" s="5"/>
      <c r="H51" s="5"/>
      <c r="I51" s="5"/>
      <c r="J51" s="5"/>
      <c r="K51" s="5"/>
      <c r="L51" s="35"/>
      <c r="M51" s="6"/>
      <c r="N51" s="6"/>
      <c r="O51" s="6"/>
      <c r="P51" s="6"/>
      <c r="Q51" s="108"/>
      <c r="R51" s="5"/>
      <c r="S51" s="5"/>
      <c r="T51" s="5"/>
      <c r="U51" s="5"/>
      <c r="V51" s="5"/>
      <c r="W51" s="5"/>
      <c r="X51" s="5"/>
      <c r="Y51" s="5"/>
      <c r="Z51" s="167"/>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row>
    <row r="52" spans="1:81" x14ac:dyDescent="0.2">
      <c r="A52" s="12"/>
      <c r="B52" s="13"/>
      <c r="C52" s="13"/>
      <c r="D52" s="13"/>
      <c r="E52" s="59"/>
      <c r="F52" s="13"/>
      <c r="G52" s="13"/>
      <c r="H52" s="13"/>
      <c r="I52" s="13"/>
      <c r="J52" s="13"/>
      <c r="K52" s="5"/>
      <c r="L52" s="35"/>
      <c r="M52" s="6"/>
      <c r="N52" s="6"/>
      <c r="O52" s="6"/>
      <c r="P52" s="6"/>
      <c r="Q52" s="108"/>
      <c r="R52" s="5"/>
      <c r="S52" s="5"/>
      <c r="T52" s="5"/>
      <c r="U52" s="5"/>
      <c r="V52" s="5"/>
      <c r="W52" s="5"/>
      <c r="X52" s="5"/>
      <c r="Y52" s="5"/>
      <c r="Z52" s="167"/>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c r="BJ52" s="6"/>
      <c r="BK52" s="6"/>
      <c r="BL52" s="6"/>
      <c r="BM52" s="6"/>
      <c r="BN52" s="6"/>
      <c r="BO52" s="6"/>
      <c r="BP52" s="6"/>
      <c r="BQ52" s="6"/>
      <c r="BR52" s="6"/>
      <c r="BS52" s="6"/>
      <c r="BT52" s="6"/>
      <c r="BU52" s="6"/>
      <c r="BV52" s="6"/>
      <c r="BW52" s="6"/>
      <c r="BX52" s="6"/>
      <c r="BY52" s="6"/>
      <c r="BZ52" s="6"/>
      <c r="CA52" s="6"/>
      <c r="CB52" s="6"/>
      <c r="CC52" s="6"/>
    </row>
    <row r="53" spans="1:81" x14ac:dyDescent="0.2">
      <c r="A53" s="187"/>
      <c r="B53" s="3"/>
      <c r="C53" s="5"/>
      <c r="D53" s="5"/>
      <c r="E53" s="59"/>
      <c r="F53" s="5"/>
      <c r="G53" s="5"/>
      <c r="H53" s="3"/>
      <c r="I53" s="5"/>
      <c r="J53" s="3"/>
      <c r="K53" s="5"/>
      <c r="L53" s="35"/>
      <c r="M53" s="4"/>
      <c r="N53" s="6"/>
      <c r="O53" s="6"/>
      <c r="P53" s="4"/>
      <c r="Q53" s="108"/>
      <c r="R53" s="5"/>
      <c r="S53" s="5"/>
      <c r="T53" s="5"/>
      <c r="U53" s="5"/>
      <c r="V53" s="5"/>
      <c r="W53" s="5"/>
      <c r="X53" s="5"/>
      <c r="Y53" s="5"/>
      <c r="Z53" s="167"/>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c r="BJ53" s="6"/>
      <c r="BK53" s="6"/>
      <c r="BL53" s="6"/>
      <c r="BM53" s="6"/>
      <c r="BN53" s="6"/>
      <c r="BO53" s="6"/>
      <c r="BP53" s="6"/>
      <c r="BQ53" s="6"/>
      <c r="BR53" s="6"/>
      <c r="BS53" s="6"/>
      <c r="BT53" s="6"/>
      <c r="BU53" s="6"/>
      <c r="BV53" s="6"/>
      <c r="BW53" s="6"/>
      <c r="BX53" s="6"/>
      <c r="BY53" s="6"/>
      <c r="BZ53" s="6"/>
      <c r="CA53" s="6"/>
      <c r="CB53" s="6"/>
      <c r="CC53" s="6"/>
    </row>
    <row r="54" spans="1:81" x14ac:dyDescent="0.2">
      <c r="A54" s="13"/>
      <c r="B54" s="13"/>
      <c r="C54" s="13"/>
      <c r="D54" s="13"/>
      <c r="E54" s="59"/>
      <c r="F54" s="13"/>
      <c r="G54" s="13"/>
      <c r="H54" s="13"/>
      <c r="I54" s="13"/>
      <c r="J54" s="13"/>
      <c r="K54" s="5"/>
      <c r="L54" s="35"/>
      <c r="M54" s="6"/>
      <c r="N54" s="6"/>
      <c r="O54" s="6"/>
      <c r="P54" s="6"/>
      <c r="Q54" s="108"/>
      <c r="R54" s="5"/>
      <c r="S54" s="5"/>
      <c r="T54" s="5"/>
      <c r="U54" s="5"/>
      <c r="V54" s="5"/>
      <c r="W54" s="5"/>
      <c r="X54" s="5"/>
      <c r="Y54" s="5"/>
      <c r="Z54" s="167"/>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c r="BU54" s="6"/>
      <c r="BV54" s="6"/>
      <c r="BW54" s="6"/>
      <c r="BX54" s="6"/>
      <c r="BY54" s="6"/>
      <c r="BZ54" s="6"/>
      <c r="CA54" s="6"/>
      <c r="CB54" s="6"/>
      <c r="CC54" s="6"/>
    </row>
    <row r="55" spans="1:81" x14ac:dyDescent="0.2">
      <c r="A55" s="188"/>
      <c r="B55" s="3"/>
      <c r="C55" s="5"/>
      <c r="D55" s="5"/>
      <c r="E55" s="59"/>
      <c r="F55" s="5"/>
      <c r="G55" s="5"/>
      <c r="H55" s="3"/>
      <c r="I55" s="5"/>
      <c r="J55" s="3"/>
      <c r="K55" s="5"/>
      <c r="L55" s="35"/>
      <c r="M55" s="6"/>
      <c r="N55" s="6"/>
      <c r="O55" s="6"/>
      <c r="P55" s="6"/>
      <c r="Q55" s="108"/>
      <c r="R55" s="5"/>
      <c r="S55" s="5"/>
      <c r="T55" s="5"/>
      <c r="U55" s="5"/>
      <c r="V55" s="5"/>
      <c r="W55" s="5"/>
      <c r="X55" s="5"/>
      <c r="Y55" s="5"/>
      <c r="Z55" s="167"/>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c r="BJ55" s="6"/>
      <c r="BK55" s="6"/>
      <c r="BL55" s="6"/>
      <c r="BM55" s="6"/>
      <c r="BN55" s="6"/>
      <c r="BO55" s="6"/>
      <c r="BP55" s="6"/>
      <c r="BQ55" s="6"/>
      <c r="BR55" s="6"/>
      <c r="BS55" s="6"/>
      <c r="BT55" s="6"/>
      <c r="BU55" s="6"/>
      <c r="BV55" s="6"/>
      <c r="BW55" s="6"/>
      <c r="BX55" s="6"/>
      <c r="BY55" s="6"/>
      <c r="BZ55" s="6"/>
      <c r="CA55" s="6"/>
      <c r="CB55" s="6"/>
      <c r="CC55" s="6"/>
    </row>
    <row r="56" spans="1:81" x14ac:dyDescent="0.2">
      <c r="A56" s="14"/>
      <c r="B56" s="14"/>
      <c r="C56" s="13"/>
      <c r="D56" s="13"/>
      <c r="E56" s="158"/>
      <c r="F56" s="13"/>
      <c r="G56" s="13"/>
      <c r="H56" s="14"/>
      <c r="I56" s="13"/>
      <c r="J56" s="14"/>
      <c r="K56" s="5"/>
      <c r="L56" s="35"/>
      <c r="M56" s="4"/>
      <c r="N56" s="6"/>
      <c r="O56" s="6"/>
      <c r="P56" s="4"/>
      <c r="Q56" s="108"/>
      <c r="R56" s="5"/>
      <c r="S56" s="5"/>
      <c r="T56" s="5"/>
      <c r="U56" s="5"/>
      <c r="V56" s="5"/>
      <c r="W56" s="5"/>
      <c r="X56" s="5"/>
      <c r="Y56" s="5"/>
      <c r="Z56" s="167"/>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c r="BJ56" s="6"/>
      <c r="BK56" s="6"/>
      <c r="BL56" s="6"/>
      <c r="BM56" s="6"/>
      <c r="BN56" s="6"/>
      <c r="BO56" s="6"/>
      <c r="BP56" s="6"/>
      <c r="BQ56" s="6"/>
      <c r="BR56" s="6"/>
      <c r="BS56" s="6"/>
      <c r="BT56" s="6"/>
      <c r="BU56" s="6"/>
      <c r="BV56" s="6"/>
      <c r="BW56" s="6"/>
      <c r="BX56" s="6"/>
      <c r="BY56" s="6"/>
      <c r="BZ56" s="6"/>
      <c r="CA56" s="6"/>
      <c r="CB56" s="6"/>
      <c r="CC56" s="6"/>
    </row>
    <row r="57" spans="1:81" x14ac:dyDescent="0.2">
      <c r="A57" s="5"/>
      <c r="B57" s="5"/>
      <c r="C57" s="5"/>
      <c r="D57" s="5"/>
      <c r="E57" s="5"/>
      <c r="F57" s="5"/>
      <c r="G57" s="5"/>
      <c r="H57" s="5"/>
      <c r="I57" s="5"/>
      <c r="J57" s="5"/>
      <c r="K57" s="5"/>
      <c r="L57" s="35"/>
      <c r="M57" s="6"/>
      <c r="N57" s="6"/>
      <c r="O57" s="6"/>
      <c r="P57" s="6"/>
      <c r="Q57" s="108"/>
      <c r="R57" s="5"/>
      <c r="S57" s="5"/>
      <c r="T57" s="5"/>
      <c r="U57" s="5"/>
      <c r="V57" s="5"/>
      <c r="W57" s="5"/>
      <c r="X57" s="5"/>
      <c r="Y57" s="5"/>
      <c r="Z57" s="167"/>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c r="BJ57" s="6"/>
      <c r="BK57" s="6"/>
      <c r="BL57" s="6"/>
      <c r="BM57" s="6"/>
      <c r="BN57" s="6"/>
      <c r="BO57" s="6"/>
      <c r="BP57" s="6"/>
      <c r="BQ57" s="6"/>
      <c r="BR57" s="6"/>
      <c r="BS57" s="6"/>
      <c r="BT57" s="6"/>
      <c r="BU57" s="6"/>
      <c r="BV57" s="6"/>
      <c r="BW57" s="6"/>
      <c r="BX57" s="6"/>
      <c r="BY57" s="6"/>
      <c r="BZ57" s="6"/>
      <c r="CA57" s="6"/>
      <c r="CB57" s="6"/>
      <c r="CC57" s="6"/>
    </row>
    <row r="58" spans="1:81" x14ac:dyDescent="0.2">
      <c r="A58" s="5"/>
      <c r="B58" s="5"/>
      <c r="C58" s="5"/>
      <c r="D58" s="5"/>
      <c r="E58" s="5"/>
      <c r="F58" s="5"/>
      <c r="G58" s="5"/>
      <c r="H58" s="5"/>
      <c r="I58" s="5"/>
      <c r="J58" s="5"/>
      <c r="K58" s="5"/>
      <c r="L58" s="35"/>
      <c r="M58" s="6"/>
      <c r="N58" s="6"/>
      <c r="O58" s="6"/>
      <c r="P58" s="6"/>
      <c r="Q58" s="108"/>
      <c r="R58" s="5"/>
      <c r="S58" s="5"/>
      <c r="T58" s="5"/>
      <c r="U58" s="5"/>
      <c r="V58" s="5"/>
      <c r="W58" s="5"/>
      <c r="X58" s="5"/>
      <c r="Y58" s="5"/>
      <c r="Z58" s="167"/>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6"/>
      <c r="BC58" s="6"/>
      <c r="BD58" s="6"/>
      <c r="BE58" s="6"/>
      <c r="BF58" s="6"/>
      <c r="BG58" s="6"/>
      <c r="BH58" s="6"/>
      <c r="BI58" s="6"/>
      <c r="BJ58" s="6"/>
      <c r="BK58" s="6"/>
      <c r="BL58" s="6"/>
      <c r="BM58" s="6"/>
      <c r="BN58" s="6"/>
      <c r="BO58" s="6"/>
      <c r="BP58" s="6"/>
      <c r="BQ58" s="6"/>
      <c r="BR58" s="6"/>
      <c r="BS58" s="6"/>
      <c r="BT58" s="6"/>
      <c r="BU58" s="6"/>
      <c r="BV58" s="6"/>
      <c r="BW58" s="6"/>
      <c r="BX58" s="6"/>
      <c r="BY58" s="6"/>
      <c r="BZ58" s="6"/>
      <c r="CA58" s="6"/>
      <c r="CB58" s="6"/>
      <c r="CC58" s="6"/>
    </row>
    <row r="59" spans="1:81" x14ac:dyDescent="0.2">
      <c r="A59" s="5"/>
      <c r="B59" s="5"/>
      <c r="C59" s="5"/>
      <c r="D59" s="5"/>
      <c r="E59" s="5"/>
      <c r="F59" s="5"/>
      <c r="G59" s="5"/>
      <c r="H59" s="5"/>
      <c r="I59" s="5"/>
      <c r="J59" s="5"/>
      <c r="K59" s="5"/>
      <c r="L59" s="35"/>
      <c r="M59" s="6"/>
      <c r="N59" s="6"/>
      <c r="O59" s="6"/>
      <c r="P59" s="6"/>
      <c r="Q59" s="108"/>
      <c r="R59" s="5"/>
      <c r="S59" s="5"/>
      <c r="T59" s="5"/>
      <c r="U59" s="5"/>
      <c r="V59" s="5"/>
      <c r="W59" s="5"/>
      <c r="X59" s="5"/>
      <c r="Y59" s="5"/>
      <c r="Z59" s="150"/>
      <c r="AA59" s="103"/>
      <c r="AB59" s="103"/>
      <c r="AC59" s="103"/>
      <c r="AD59" s="103"/>
      <c r="AE59" s="103"/>
      <c r="AF59" s="103"/>
      <c r="AG59" s="103"/>
      <c r="AH59" s="103"/>
      <c r="AI59" s="103"/>
      <c r="AJ59" s="103"/>
      <c r="AK59" s="103"/>
      <c r="AL59" s="103"/>
      <c r="AM59" s="103"/>
      <c r="AN59" s="103"/>
      <c r="AO59" s="103"/>
      <c r="AP59" s="103"/>
      <c r="AQ59" s="103"/>
      <c r="AR59" s="103"/>
      <c r="AS59" s="103"/>
      <c r="AT59" s="103"/>
      <c r="AU59" s="103"/>
      <c r="AV59" s="103"/>
      <c r="AW59" s="103"/>
      <c r="AX59" s="103"/>
      <c r="AY59" s="103"/>
      <c r="AZ59" s="103"/>
      <c r="BA59" s="103"/>
      <c r="BB59" s="103"/>
      <c r="BC59" s="103"/>
      <c r="BD59" s="103"/>
      <c r="BE59" s="103"/>
      <c r="BF59" s="103"/>
      <c r="BG59" s="103"/>
      <c r="BH59" s="103"/>
      <c r="BI59" s="103"/>
      <c r="BJ59" s="103"/>
      <c r="BK59" s="103"/>
      <c r="BL59" s="103"/>
      <c r="BM59" s="103"/>
      <c r="BN59" s="103"/>
      <c r="BO59" s="103"/>
      <c r="BP59" s="103"/>
      <c r="BQ59" s="103"/>
      <c r="BR59" s="103"/>
      <c r="BS59" s="103"/>
      <c r="BT59" s="103"/>
      <c r="BU59" s="103"/>
      <c r="BV59" s="103"/>
      <c r="BW59" s="103"/>
      <c r="BX59" s="6"/>
      <c r="BY59" s="6"/>
      <c r="BZ59" s="103"/>
      <c r="CA59" s="103"/>
      <c r="CB59" s="103"/>
      <c r="CC59" s="103"/>
    </row>
    <row r="60" spans="1:81" x14ac:dyDescent="0.2">
      <c r="A60" s="5"/>
      <c r="B60" s="5"/>
      <c r="C60" s="5"/>
      <c r="D60" s="5"/>
      <c r="E60" s="5"/>
      <c r="F60" s="5"/>
      <c r="G60" s="5"/>
      <c r="H60" s="5"/>
      <c r="I60" s="5"/>
      <c r="J60" s="5"/>
      <c r="K60" s="5"/>
      <c r="L60" s="35"/>
      <c r="M60" s="6"/>
      <c r="N60" s="6"/>
      <c r="O60" s="6"/>
      <c r="P60" s="6"/>
      <c r="Q60" s="108"/>
      <c r="R60" s="5"/>
      <c r="S60" s="5"/>
      <c r="T60" s="5"/>
      <c r="U60" s="5"/>
      <c r="V60" s="5"/>
      <c r="W60" s="5"/>
      <c r="X60" s="5"/>
      <c r="Y60" s="5"/>
      <c r="Z60" s="167"/>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6"/>
      <c r="BX60" s="6"/>
      <c r="BY60" s="6"/>
      <c r="BZ60" s="6"/>
      <c r="CA60" s="6"/>
      <c r="CB60" s="6"/>
      <c r="CC60" s="6"/>
    </row>
    <row r="61" spans="1:81" x14ac:dyDescent="0.2">
      <c r="A61" s="5"/>
      <c r="B61" s="5"/>
      <c r="C61" s="5"/>
      <c r="D61" s="5"/>
      <c r="E61" s="5"/>
      <c r="F61" s="5"/>
      <c r="G61" s="5"/>
      <c r="H61" s="5"/>
      <c r="I61" s="5"/>
      <c r="J61" s="5"/>
      <c r="K61" s="5"/>
      <c r="L61" s="35"/>
      <c r="M61" s="6"/>
      <c r="N61" s="6"/>
      <c r="O61" s="6"/>
      <c r="P61" s="6"/>
      <c r="Q61" s="108"/>
      <c r="R61" s="5"/>
      <c r="S61" s="5"/>
      <c r="T61" s="5"/>
      <c r="U61" s="5"/>
      <c r="V61" s="5"/>
      <c r="W61" s="5"/>
      <c r="X61" s="5"/>
      <c r="Y61" s="5"/>
      <c r="Z61" s="167"/>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6"/>
      <c r="BX61" s="6"/>
      <c r="BY61" s="6"/>
      <c r="BZ61" s="6"/>
      <c r="CA61" s="6"/>
      <c r="CB61" s="6"/>
      <c r="CC61" s="6"/>
    </row>
    <row r="62" spans="1:81" x14ac:dyDescent="0.2">
      <c r="A62" s="5"/>
      <c r="B62" s="5"/>
      <c r="C62" s="5"/>
      <c r="D62" s="5"/>
      <c r="E62" s="5"/>
      <c r="F62" s="5"/>
      <c r="G62" s="5"/>
      <c r="H62" s="5"/>
      <c r="I62" s="5"/>
      <c r="J62" s="5"/>
      <c r="K62" s="5"/>
      <c r="L62" s="35"/>
      <c r="M62" s="6"/>
      <c r="N62" s="6"/>
      <c r="O62" s="6"/>
      <c r="P62" s="6"/>
      <c r="Q62" s="108"/>
      <c r="R62" s="5"/>
      <c r="S62" s="5"/>
      <c r="T62" s="5"/>
      <c r="U62" s="5"/>
      <c r="V62" s="5"/>
      <c r="W62" s="5"/>
      <c r="X62" s="5"/>
      <c r="Y62" s="5"/>
      <c r="Z62" s="167"/>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6"/>
      <c r="BX62" s="6"/>
      <c r="BY62" s="6"/>
      <c r="BZ62" s="6"/>
      <c r="CA62" s="6"/>
      <c r="CB62" s="6"/>
      <c r="CC62" s="6"/>
    </row>
    <row r="63" spans="1:81" x14ac:dyDescent="0.2">
      <c r="A63" s="5"/>
      <c r="B63" s="5"/>
      <c r="C63" s="5"/>
      <c r="D63" s="5"/>
      <c r="E63" s="5"/>
      <c r="F63" s="5"/>
      <c r="G63" s="5"/>
      <c r="H63" s="5"/>
      <c r="I63" s="5"/>
      <c r="J63" s="5"/>
      <c r="K63" s="5"/>
      <c r="L63" s="35"/>
      <c r="M63" s="6"/>
      <c r="N63" s="6"/>
      <c r="O63" s="6"/>
      <c r="P63" s="6"/>
      <c r="Q63" s="108"/>
      <c r="R63" s="5"/>
      <c r="S63" s="5"/>
      <c r="T63" s="5"/>
      <c r="U63" s="5"/>
      <c r="V63" s="5"/>
      <c r="W63" s="5"/>
      <c r="X63" s="5"/>
      <c r="Y63" s="5"/>
      <c r="Z63" s="167"/>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6"/>
      <c r="BX63" s="6"/>
      <c r="BY63" s="6"/>
      <c r="BZ63" s="6"/>
      <c r="CA63" s="6"/>
      <c r="CB63" s="6"/>
      <c r="CC63" s="6"/>
    </row>
    <row r="64" spans="1:81" x14ac:dyDescent="0.2">
      <c r="A64" s="5"/>
      <c r="B64" s="5"/>
      <c r="C64" s="5"/>
      <c r="D64" s="5"/>
      <c r="E64" s="5"/>
      <c r="F64" s="5"/>
      <c r="G64" s="5"/>
      <c r="H64" s="5"/>
      <c r="I64" s="5"/>
      <c r="J64" s="5"/>
      <c r="K64" s="5"/>
      <c r="L64" s="35"/>
      <c r="M64" s="6"/>
      <c r="N64" s="6"/>
      <c r="O64" s="6"/>
      <c r="P64" s="6"/>
      <c r="Q64" s="108"/>
      <c r="R64" s="5"/>
      <c r="S64" s="5"/>
      <c r="T64" s="5"/>
      <c r="U64" s="5"/>
      <c r="V64" s="5"/>
      <c r="W64" s="5"/>
      <c r="X64" s="5"/>
      <c r="Y64" s="5"/>
      <c r="Z64" s="167"/>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6"/>
      <c r="BX64" s="6"/>
      <c r="BY64" s="6"/>
      <c r="BZ64" s="6"/>
      <c r="CA64" s="6"/>
      <c r="CB64" s="6"/>
      <c r="CC64" s="6"/>
    </row>
    <row r="65" spans="1:81" x14ac:dyDescent="0.2">
      <c r="A65" s="5"/>
      <c r="B65" s="5"/>
      <c r="C65" s="5"/>
      <c r="D65" s="5"/>
      <c r="E65" s="5"/>
      <c r="F65" s="5"/>
      <c r="G65" s="5"/>
      <c r="H65" s="5"/>
      <c r="I65" s="5"/>
      <c r="J65" s="5"/>
      <c r="K65" s="5"/>
      <c r="L65" s="35"/>
      <c r="M65" s="6"/>
      <c r="N65" s="6"/>
      <c r="O65" s="6"/>
      <c r="P65" s="6"/>
      <c r="Q65" s="108"/>
      <c r="R65" s="5"/>
      <c r="S65" s="5"/>
      <c r="T65" s="5"/>
      <c r="U65" s="5"/>
      <c r="V65" s="5"/>
      <c r="W65" s="5"/>
      <c r="X65" s="5"/>
      <c r="Y65" s="5"/>
      <c r="Z65" s="167"/>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c r="BH65" s="6"/>
      <c r="BI65" s="6"/>
      <c r="BJ65" s="6"/>
      <c r="BK65" s="6"/>
      <c r="BL65" s="6"/>
      <c r="BM65" s="6"/>
      <c r="BN65" s="6"/>
      <c r="BO65" s="6"/>
      <c r="BP65" s="6"/>
      <c r="BQ65" s="6"/>
      <c r="BR65" s="6"/>
      <c r="BS65" s="6"/>
      <c r="BT65" s="6"/>
      <c r="BU65" s="6"/>
      <c r="BV65" s="6"/>
      <c r="BW65" s="6"/>
      <c r="BX65" s="6"/>
      <c r="BY65" s="6"/>
      <c r="BZ65" s="6"/>
      <c r="CA65" s="6"/>
      <c r="CB65" s="6"/>
      <c r="CC65" s="6"/>
    </row>
    <row r="66" spans="1:81" x14ac:dyDescent="0.2">
      <c r="A66" s="5"/>
      <c r="B66" s="5"/>
      <c r="C66" s="5"/>
      <c r="D66" s="5"/>
      <c r="E66" s="5"/>
      <c r="F66" s="5"/>
      <c r="G66" s="5"/>
      <c r="H66" s="5"/>
      <c r="I66" s="5"/>
      <c r="J66" s="5"/>
      <c r="K66" s="5"/>
      <c r="L66" s="35"/>
      <c r="M66" s="6"/>
      <c r="N66" s="6"/>
      <c r="O66" s="6"/>
      <c r="P66" s="6"/>
      <c r="Q66" s="108"/>
      <c r="R66" s="5"/>
      <c r="S66" s="5"/>
      <c r="T66" s="5"/>
      <c r="U66" s="5"/>
      <c r="V66" s="5"/>
      <c r="W66" s="5"/>
      <c r="X66" s="5"/>
      <c r="Y66" s="5"/>
      <c r="Z66" s="150"/>
      <c r="AA66" s="103"/>
      <c r="AB66" s="103"/>
      <c r="AC66" s="103"/>
      <c r="AD66" s="103"/>
      <c r="AE66" s="103"/>
      <c r="AF66" s="103"/>
      <c r="AG66" s="103"/>
      <c r="AH66" s="103"/>
      <c r="AI66" s="103"/>
      <c r="AJ66" s="103"/>
      <c r="AK66" s="103"/>
      <c r="AL66" s="103"/>
      <c r="AM66" s="103"/>
      <c r="AN66" s="103"/>
      <c r="AO66" s="103"/>
      <c r="AP66" s="103"/>
      <c r="AQ66" s="103"/>
      <c r="AR66" s="103"/>
      <c r="AS66" s="103"/>
      <c r="AT66" s="103"/>
      <c r="AU66" s="103"/>
      <c r="AV66" s="103"/>
      <c r="AW66" s="103"/>
      <c r="AX66" s="103"/>
      <c r="AY66" s="103"/>
      <c r="AZ66" s="103"/>
      <c r="BA66" s="103"/>
      <c r="BB66" s="103"/>
      <c r="BC66" s="103"/>
      <c r="BD66" s="103"/>
      <c r="BE66" s="103"/>
      <c r="BF66" s="103"/>
      <c r="BG66" s="103"/>
      <c r="BH66" s="103"/>
      <c r="BI66" s="103"/>
      <c r="BJ66" s="103"/>
      <c r="BK66" s="103"/>
      <c r="BL66" s="103"/>
      <c r="BM66" s="103"/>
      <c r="BN66" s="103"/>
      <c r="BO66" s="103"/>
      <c r="BP66" s="103"/>
      <c r="BQ66" s="103"/>
      <c r="BR66" s="103"/>
      <c r="BS66" s="103"/>
      <c r="BT66" s="103"/>
      <c r="BU66" s="103"/>
      <c r="BV66" s="103"/>
      <c r="BW66" s="103"/>
      <c r="BX66" s="6"/>
      <c r="BY66" s="6"/>
      <c r="BZ66" s="103"/>
      <c r="CA66" s="103"/>
      <c r="CB66" s="103"/>
      <c r="CC66" s="103"/>
    </row>
    <row r="67" spans="1:81" x14ac:dyDescent="0.2">
      <c r="A67" s="5"/>
      <c r="B67" s="5"/>
      <c r="C67" s="5"/>
      <c r="D67" s="5"/>
      <c r="E67" s="5"/>
      <c r="F67" s="5"/>
      <c r="G67" s="5"/>
      <c r="H67" s="5"/>
      <c r="I67" s="5"/>
      <c r="J67" s="5"/>
      <c r="K67" s="5"/>
      <c r="L67" s="35"/>
      <c r="M67" s="6"/>
      <c r="N67" s="6"/>
      <c r="O67" s="6"/>
      <c r="P67" s="6"/>
      <c r="Q67" s="108"/>
      <c r="R67" s="5"/>
      <c r="S67" s="5"/>
      <c r="T67" s="5"/>
      <c r="U67" s="5"/>
      <c r="V67" s="5"/>
      <c r="W67" s="5"/>
      <c r="X67" s="5"/>
      <c r="Y67" s="5"/>
      <c r="Z67" s="150"/>
      <c r="AA67" s="103"/>
      <c r="AB67" s="103"/>
      <c r="AC67" s="103"/>
      <c r="AD67" s="103"/>
      <c r="AE67" s="103"/>
      <c r="AF67" s="103"/>
      <c r="AG67" s="103"/>
      <c r="AH67" s="103"/>
      <c r="AI67" s="103"/>
      <c r="AJ67" s="103"/>
      <c r="AK67" s="103"/>
      <c r="AL67" s="103"/>
      <c r="AM67" s="103"/>
      <c r="AN67" s="103"/>
      <c r="AO67" s="103"/>
      <c r="AP67" s="103"/>
      <c r="AQ67" s="103"/>
      <c r="AR67" s="103"/>
      <c r="AS67" s="103"/>
      <c r="AT67" s="103"/>
      <c r="AU67" s="103"/>
      <c r="AV67" s="103"/>
      <c r="AW67" s="103"/>
      <c r="AX67" s="103"/>
      <c r="AY67" s="103"/>
      <c r="AZ67" s="103"/>
      <c r="BA67" s="103"/>
      <c r="BB67" s="103"/>
      <c r="BC67" s="103"/>
      <c r="BD67" s="103"/>
      <c r="BE67" s="103"/>
      <c r="BF67" s="103"/>
      <c r="BG67" s="103"/>
      <c r="BH67" s="103"/>
      <c r="BI67" s="103"/>
      <c r="BJ67" s="103"/>
      <c r="BK67" s="103"/>
      <c r="BL67" s="103"/>
      <c r="BM67" s="103"/>
      <c r="BN67" s="103"/>
      <c r="BO67" s="103"/>
      <c r="BP67" s="103"/>
      <c r="BQ67" s="103"/>
      <c r="BR67" s="103"/>
      <c r="BS67" s="103"/>
      <c r="BT67" s="103"/>
      <c r="BU67" s="103"/>
      <c r="BV67" s="103"/>
      <c r="BW67" s="103"/>
      <c r="BX67" s="6"/>
      <c r="BY67" s="6"/>
      <c r="BZ67" s="103"/>
      <c r="CA67" s="103"/>
      <c r="CB67" s="103"/>
      <c r="CC67" s="103"/>
    </row>
    <row r="68" spans="1:81" x14ac:dyDescent="0.2">
      <c r="A68" s="5"/>
      <c r="B68" s="5"/>
      <c r="C68" s="5"/>
      <c r="D68" s="5"/>
      <c r="E68" s="5"/>
      <c r="F68" s="5"/>
      <c r="G68" s="5"/>
      <c r="H68" s="5"/>
      <c r="I68" s="5"/>
      <c r="J68" s="5"/>
      <c r="K68" s="5"/>
      <c r="L68" s="35"/>
      <c r="M68" s="6"/>
      <c r="N68" s="6"/>
      <c r="O68" s="6"/>
      <c r="P68" s="6"/>
      <c r="Q68" s="108"/>
      <c r="R68" s="5"/>
      <c r="S68" s="5"/>
      <c r="T68" s="5"/>
      <c r="U68" s="5"/>
      <c r="V68" s="5"/>
      <c r="W68" s="5"/>
      <c r="X68" s="5"/>
      <c r="Y68" s="5"/>
      <c r="Z68" s="150"/>
      <c r="AA68" s="103"/>
      <c r="AB68" s="103"/>
      <c r="AC68" s="103"/>
      <c r="AD68" s="103"/>
      <c r="AE68" s="103"/>
      <c r="AF68" s="103"/>
      <c r="AG68" s="103"/>
      <c r="AH68" s="103"/>
      <c r="AI68" s="103"/>
      <c r="AJ68" s="103"/>
      <c r="AK68" s="103"/>
      <c r="AL68" s="103"/>
      <c r="AM68" s="103"/>
      <c r="AN68" s="103"/>
      <c r="AO68" s="103"/>
      <c r="AP68" s="103"/>
      <c r="AQ68" s="103"/>
      <c r="AR68" s="103"/>
      <c r="AS68" s="103"/>
      <c r="AT68" s="103"/>
      <c r="AU68" s="103"/>
      <c r="AV68" s="103"/>
      <c r="AW68" s="103"/>
      <c r="AX68" s="103"/>
      <c r="AY68" s="103"/>
      <c r="AZ68" s="103"/>
      <c r="BA68" s="103"/>
      <c r="BB68" s="103"/>
      <c r="BC68" s="103"/>
      <c r="BD68" s="103"/>
      <c r="BE68" s="103"/>
      <c r="BF68" s="103"/>
      <c r="BG68" s="103"/>
      <c r="BH68" s="103"/>
      <c r="BI68" s="103"/>
      <c r="BJ68" s="103"/>
      <c r="BK68" s="103"/>
      <c r="BL68" s="103"/>
      <c r="BM68" s="103"/>
      <c r="BN68" s="103"/>
      <c r="BO68" s="103"/>
      <c r="BP68" s="103"/>
      <c r="BQ68" s="103"/>
      <c r="BR68" s="103"/>
      <c r="BS68" s="103"/>
      <c r="BT68" s="103"/>
      <c r="BU68" s="103"/>
      <c r="BV68" s="103"/>
      <c r="BW68" s="103"/>
      <c r="BX68" s="6"/>
      <c r="BY68" s="6"/>
      <c r="BZ68" s="103"/>
      <c r="CA68" s="103"/>
      <c r="CB68" s="103"/>
      <c r="CC68" s="103"/>
    </row>
    <row r="69" spans="1:81" x14ac:dyDescent="0.2">
      <c r="A69" s="5"/>
      <c r="B69" s="5"/>
      <c r="C69" s="5"/>
      <c r="D69" s="5"/>
      <c r="E69" s="5"/>
      <c r="F69" s="5"/>
      <c r="G69" s="5"/>
      <c r="H69" s="5"/>
      <c r="I69" s="5"/>
      <c r="J69" s="5"/>
      <c r="K69" s="5"/>
      <c r="L69" s="35"/>
      <c r="M69" s="6"/>
      <c r="N69" s="6"/>
      <c r="O69" s="6"/>
      <c r="P69" s="6"/>
      <c r="Q69" s="108"/>
      <c r="R69" s="5"/>
      <c r="S69" s="5"/>
      <c r="T69" s="5"/>
      <c r="U69" s="5"/>
      <c r="V69" s="5"/>
      <c r="W69" s="5"/>
      <c r="X69" s="5"/>
      <c r="Y69" s="5"/>
      <c r="Z69" s="150"/>
      <c r="AA69" s="103"/>
      <c r="AB69" s="103"/>
      <c r="AC69" s="103"/>
      <c r="AD69" s="103"/>
      <c r="AE69" s="103"/>
      <c r="AF69" s="103"/>
      <c r="AG69" s="103"/>
      <c r="AH69" s="103"/>
      <c r="AI69" s="103"/>
      <c r="AJ69" s="103"/>
      <c r="AK69" s="103"/>
      <c r="AL69" s="103"/>
      <c r="AM69" s="103"/>
      <c r="AN69" s="103"/>
      <c r="AO69" s="103"/>
      <c r="AP69" s="103"/>
      <c r="AQ69" s="103"/>
      <c r="AR69" s="103"/>
      <c r="AS69" s="103"/>
      <c r="AT69" s="103"/>
      <c r="AU69" s="103"/>
      <c r="AV69" s="103"/>
      <c r="AW69" s="103"/>
      <c r="AX69" s="103"/>
      <c r="AY69" s="103"/>
      <c r="AZ69" s="103"/>
      <c r="BA69" s="103"/>
      <c r="BB69" s="103"/>
      <c r="BC69" s="103"/>
      <c r="BD69" s="103"/>
      <c r="BE69" s="103"/>
      <c r="BF69" s="103"/>
      <c r="BG69" s="103"/>
      <c r="BH69" s="103"/>
      <c r="BI69" s="103"/>
      <c r="BJ69" s="103"/>
      <c r="BK69" s="103"/>
      <c r="BL69" s="103"/>
      <c r="BM69" s="103"/>
      <c r="BN69" s="103"/>
      <c r="BO69" s="103"/>
      <c r="BP69" s="103"/>
      <c r="BQ69" s="103"/>
      <c r="BR69" s="103"/>
      <c r="BS69" s="103"/>
      <c r="BT69" s="103"/>
      <c r="BU69" s="103"/>
      <c r="BV69" s="103"/>
      <c r="BW69" s="103"/>
      <c r="BX69" s="6"/>
      <c r="BY69" s="6"/>
      <c r="BZ69" s="103"/>
      <c r="CA69" s="103"/>
      <c r="CB69" s="103"/>
      <c r="CC69" s="103"/>
    </row>
    <row r="70" spans="1:81" x14ac:dyDescent="0.2">
      <c r="A70" s="5"/>
      <c r="B70" s="5"/>
      <c r="C70" s="5"/>
      <c r="D70" s="5"/>
      <c r="E70" s="5"/>
      <c r="F70" s="5"/>
      <c r="G70" s="5"/>
      <c r="H70" s="5"/>
      <c r="I70" s="5"/>
      <c r="J70" s="5"/>
      <c r="K70" s="5"/>
      <c r="L70" s="35"/>
      <c r="M70" s="6"/>
      <c r="N70" s="6"/>
      <c r="O70" s="6"/>
      <c r="P70" s="6"/>
      <c r="Q70" s="108"/>
      <c r="R70" s="5"/>
      <c r="S70" s="5"/>
      <c r="T70" s="5"/>
      <c r="U70" s="5"/>
      <c r="V70" s="5"/>
      <c r="W70" s="5"/>
      <c r="X70" s="5"/>
      <c r="Y70" s="5"/>
      <c r="Z70" s="150"/>
      <c r="AA70" s="103"/>
      <c r="AB70" s="103"/>
      <c r="AC70" s="103"/>
      <c r="AD70" s="103"/>
      <c r="AE70" s="103"/>
      <c r="AF70" s="103"/>
      <c r="AG70" s="103"/>
      <c r="AH70" s="103"/>
      <c r="AI70" s="103"/>
      <c r="AJ70" s="103"/>
      <c r="AK70" s="103"/>
      <c r="AL70" s="103"/>
      <c r="AM70" s="103"/>
      <c r="AN70" s="103"/>
      <c r="AO70" s="103"/>
      <c r="AP70" s="103"/>
      <c r="AQ70" s="103"/>
      <c r="AR70" s="103"/>
      <c r="AS70" s="103"/>
      <c r="AT70" s="103"/>
      <c r="AU70" s="103"/>
      <c r="AV70" s="103"/>
      <c r="AW70" s="103"/>
      <c r="AX70" s="103"/>
      <c r="AY70" s="103"/>
      <c r="AZ70" s="103"/>
      <c r="BA70" s="103"/>
      <c r="BB70" s="103"/>
      <c r="BC70" s="103"/>
      <c r="BD70" s="103"/>
      <c r="BE70" s="103"/>
      <c r="BF70" s="103"/>
      <c r="BG70" s="103"/>
      <c r="BH70" s="103"/>
      <c r="BI70" s="103"/>
      <c r="BJ70" s="103"/>
      <c r="BK70" s="103"/>
      <c r="BL70" s="103"/>
      <c r="BM70" s="103"/>
      <c r="BN70" s="103"/>
      <c r="BO70" s="103"/>
      <c r="BP70" s="103"/>
      <c r="BQ70" s="103"/>
      <c r="BR70" s="103"/>
      <c r="BS70" s="103"/>
      <c r="BT70" s="103"/>
      <c r="BU70" s="103"/>
      <c r="BV70" s="103"/>
      <c r="BW70" s="103"/>
      <c r="BX70" s="6"/>
      <c r="BY70" s="6"/>
      <c r="BZ70" s="103"/>
      <c r="CA70" s="103"/>
      <c r="CB70" s="103"/>
      <c r="CC70" s="103"/>
    </row>
    <row r="71" spans="1:81" x14ac:dyDescent="0.2">
      <c r="A71" s="5"/>
      <c r="B71" s="5"/>
      <c r="C71" s="5"/>
      <c r="D71" s="5"/>
      <c r="E71" s="5"/>
      <c r="F71" s="5"/>
      <c r="G71" s="5"/>
      <c r="H71" s="5"/>
      <c r="I71" s="5"/>
      <c r="J71" s="5"/>
      <c r="K71" s="5"/>
      <c r="L71" s="35"/>
      <c r="M71" s="6"/>
      <c r="N71" s="6"/>
      <c r="O71" s="6"/>
      <c r="P71" s="6"/>
      <c r="Q71" s="108"/>
      <c r="R71" s="5"/>
      <c r="S71" s="5"/>
      <c r="T71" s="5"/>
      <c r="U71" s="5"/>
      <c r="V71" s="5"/>
      <c r="W71" s="5"/>
      <c r="X71" s="5"/>
      <c r="Y71" s="5"/>
      <c r="Z71" s="150"/>
      <c r="AA71" s="103"/>
      <c r="AB71" s="103"/>
      <c r="AC71" s="103"/>
      <c r="AD71" s="103"/>
      <c r="AE71" s="103"/>
      <c r="AF71" s="103"/>
      <c r="AG71" s="103"/>
      <c r="AH71" s="103"/>
      <c r="AI71" s="103"/>
      <c r="AJ71" s="103"/>
      <c r="AK71" s="103"/>
      <c r="AL71" s="103"/>
      <c r="AM71" s="103"/>
      <c r="AN71" s="103"/>
      <c r="AO71" s="103"/>
      <c r="AP71" s="103"/>
      <c r="AQ71" s="103"/>
      <c r="AR71" s="103"/>
      <c r="AS71" s="103"/>
      <c r="AT71" s="103"/>
      <c r="AU71" s="103"/>
      <c r="AV71" s="103"/>
      <c r="AW71" s="103"/>
      <c r="AX71" s="103"/>
      <c r="AY71" s="103"/>
      <c r="AZ71" s="103"/>
      <c r="BA71" s="103"/>
      <c r="BB71" s="103"/>
      <c r="BC71" s="103"/>
      <c r="BD71" s="103"/>
      <c r="BE71" s="103"/>
      <c r="BF71" s="103"/>
      <c r="BG71" s="103"/>
      <c r="BH71" s="103"/>
      <c r="BI71" s="103"/>
      <c r="BJ71" s="103"/>
      <c r="BK71" s="103"/>
      <c r="BL71" s="103"/>
      <c r="BM71" s="103"/>
      <c r="BN71" s="103"/>
      <c r="BO71" s="103"/>
      <c r="BP71" s="103"/>
      <c r="BQ71" s="103"/>
      <c r="BR71" s="103"/>
      <c r="BS71" s="103"/>
      <c r="BT71" s="103"/>
      <c r="BU71" s="103"/>
      <c r="BV71" s="103"/>
      <c r="BW71" s="103"/>
      <c r="BX71" s="6"/>
      <c r="BY71" s="6"/>
      <c r="BZ71" s="103"/>
      <c r="CA71" s="103"/>
      <c r="CB71" s="103"/>
      <c r="CC71" s="103"/>
    </row>
    <row r="72" spans="1:81" x14ac:dyDescent="0.2">
      <c r="A72" s="5"/>
      <c r="B72" s="5"/>
      <c r="C72" s="5"/>
      <c r="D72" s="5"/>
      <c r="E72" s="5"/>
      <c r="F72" s="5"/>
      <c r="G72" s="5"/>
      <c r="H72" s="5"/>
      <c r="I72" s="5"/>
      <c r="J72" s="5"/>
      <c r="K72" s="5"/>
      <c r="L72" s="35"/>
      <c r="M72" s="6"/>
      <c r="N72" s="6"/>
      <c r="O72" s="6"/>
      <c r="P72" s="6"/>
      <c r="Q72" s="108"/>
      <c r="R72" s="5"/>
      <c r="S72" s="5"/>
      <c r="T72" s="5"/>
      <c r="U72" s="5"/>
      <c r="V72" s="5"/>
      <c r="W72" s="5"/>
      <c r="X72" s="5"/>
      <c r="Y72" s="5"/>
      <c r="Z72" s="150"/>
      <c r="AA72" s="103"/>
      <c r="AB72" s="103"/>
      <c r="AC72" s="103"/>
      <c r="AD72" s="103"/>
      <c r="AE72" s="103"/>
      <c r="AF72" s="103"/>
      <c r="AG72" s="103"/>
      <c r="AH72" s="103"/>
      <c r="AI72" s="103"/>
      <c r="AJ72" s="103"/>
      <c r="AK72" s="103"/>
      <c r="AL72" s="103"/>
      <c r="AM72" s="103"/>
      <c r="AN72" s="103"/>
      <c r="AO72" s="103"/>
      <c r="AP72" s="103"/>
      <c r="AQ72" s="103"/>
      <c r="AR72" s="103"/>
      <c r="AS72" s="103"/>
      <c r="AT72" s="103"/>
      <c r="AU72" s="103"/>
      <c r="AV72" s="103"/>
      <c r="AW72" s="103"/>
      <c r="AX72" s="103"/>
      <c r="AY72" s="103"/>
      <c r="AZ72" s="103"/>
      <c r="BA72" s="103"/>
      <c r="BB72" s="103"/>
      <c r="BC72" s="103"/>
      <c r="BD72" s="103"/>
      <c r="BE72" s="103"/>
      <c r="BF72" s="103"/>
      <c r="BG72" s="103"/>
      <c r="BH72" s="103"/>
      <c r="BI72" s="103"/>
      <c r="BJ72" s="103"/>
      <c r="BK72" s="103"/>
      <c r="BL72" s="103"/>
      <c r="BM72" s="103"/>
      <c r="BN72" s="103"/>
      <c r="BO72" s="103"/>
      <c r="BP72" s="103"/>
      <c r="BQ72" s="103"/>
      <c r="BR72" s="103"/>
      <c r="BS72" s="103"/>
      <c r="BT72" s="103"/>
      <c r="BU72" s="103"/>
      <c r="BV72" s="103"/>
      <c r="BW72" s="103"/>
      <c r="BX72" s="6"/>
      <c r="BY72" s="6"/>
      <c r="BZ72" s="103"/>
      <c r="CA72" s="103"/>
      <c r="CB72" s="103"/>
      <c r="CC72" s="103"/>
    </row>
    <row r="73" spans="1:81" x14ac:dyDescent="0.2">
      <c r="A73" s="5"/>
      <c r="B73" s="5"/>
      <c r="C73" s="5"/>
      <c r="D73" s="5"/>
      <c r="E73" s="5"/>
      <c r="F73" s="5"/>
      <c r="G73" s="5"/>
      <c r="H73" s="5"/>
      <c r="I73" s="5"/>
      <c r="J73" s="5"/>
      <c r="K73" s="5"/>
      <c r="L73" s="35"/>
      <c r="M73" s="6"/>
      <c r="N73" s="6"/>
      <c r="O73" s="6"/>
      <c r="P73" s="6"/>
      <c r="Q73" s="108"/>
      <c r="R73" s="5"/>
      <c r="S73" s="5"/>
      <c r="T73" s="5"/>
      <c r="U73" s="5"/>
      <c r="V73" s="5"/>
      <c r="W73" s="5"/>
      <c r="X73" s="5"/>
      <c r="Y73" s="5"/>
      <c r="Z73" s="150"/>
      <c r="AA73" s="103"/>
      <c r="AB73" s="103"/>
      <c r="AC73" s="103"/>
      <c r="AD73" s="103"/>
      <c r="AE73" s="103"/>
      <c r="AF73" s="103"/>
      <c r="AG73" s="103"/>
      <c r="AH73" s="103"/>
      <c r="AI73" s="103"/>
      <c r="AJ73" s="103"/>
      <c r="AK73" s="103"/>
      <c r="AL73" s="103"/>
      <c r="AM73" s="103"/>
      <c r="AN73" s="103"/>
      <c r="AO73" s="103"/>
      <c r="AP73" s="103"/>
      <c r="AQ73" s="103"/>
      <c r="AR73" s="103"/>
      <c r="AS73" s="103"/>
      <c r="AT73" s="103"/>
      <c r="AU73" s="103"/>
      <c r="AV73" s="103"/>
      <c r="AW73" s="103"/>
      <c r="AX73" s="103"/>
      <c r="AY73" s="103"/>
      <c r="AZ73" s="103"/>
      <c r="BA73" s="103"/>
      <c r="BB73" s="103"/>
      <c r="BC73" s="103"/>
      <c r="BD73" s="103"/>
      <c r="BE73" s="103"/>
      <c r="BF73" s="103"/>
      <c r="BG73" s="103"/>
      <c r="BH73" s="103"/>
      <c r="BI73" s="103"/>
      <c r="BJ73" s="103"/>
      <c r="BK73" s="103"/>
      <c r="BL73" s="103"/>
      <c r="BM73" s="103"/>
      <c r="BN73" s="103"/>
      <c r="BO73" s="103"/>
      <c r="BP73" s="103"/>
      <c r="BQ73" s="103"/>
      <c r="BR73" s="103"/>
      <c r="BS73" s="103"/>
      <c r="BT73" s="103"/>
      <c r="BU73" s="103"/>
      <c r="BV73" s="103"/>
      <c r="BW73" s="103"/>
      <c r="BX73" s="6"/>
      <c r="BY73" s="6"/>
      <c r="BZ73" s="103"/>
      <c r="CA73" s="103"/>
      <c r="CB73" s="103"/>
      <c r="CC73" s="103"/>
    </row>
    <row r="74" spans="1:81" x14ac:dyDescent="0.2">
      <c r="A74" s="5"/>
      <c r="B74" s="5"/>
      <c r="C74" s="5"/>
      <c r="D74" s="5"/>
      <c r="E74" s="5"/>
      <c r="F74" s="5"/>
      <c r="G74" s="5"/>
      <c r="H74" s="5"/>
      <c r="I74" s="5"/>
      <c r="J74" s="5"/>
      <c r="K74" s="5"/>
      <c r="L74" s="35"/>
      <c r="M74" s="6"/>
      <c r="N74" s="6"/>
      <c r="O74" s="6"/>
      <c r="P74" s="6"/>
      <c r="Q74" s="108"/>
      <c r="R74" s="5"/>
      <c r="S74" s="5"/>
      <c r="T74" s="5"/>
      <c r="U74" s="5"/>
      <c r="V74" s="5"/>
      <c r="W74" s="5"/>
      <c r="X74" s="5"/>
      <c r="Y74" s="5"/>
      <c r="Z74" s="150"/>
      <c r="AA74" s="103"/>
      <c r="AB74" s="103"/>
      <c r="AC74" s="103"/>
      <c r="AD74" s="103"/>
      <c r="AE74" s="103"/>
      <c r="AF74" s="103"/>
      <c r="AG74" s="103"/>
      <c r="AH74" s="103"/>
      <c r="AI74" s="103"/>
      <c r="AJ74" s="103"/>
      <c r="AK74" s="103"/>
      <c r="AL74" s="103"/>
      <c r="AM74" s="103"/>
      <c r="AN74" s="103"/>
      <c r="AO74" s="103"/>
      <c r="AP74" s="103"/>
      <c r="AQ74" s="103"/>
      <c r="AR74" s="103"/>
      <c r="AS74" s="103"/>
      <c r="AT74" s="103"/>
      <c r="AU74" s="103"/>
      <c r="AV74" s="103"/>
      <c r="AW74" s="103"/>
      <c r="AX74" s="103"/>
      <c r="AY74" s="103"/>
      <c r="AZ74" s="103"/>
      <c r="BA74" s="103"/>
      <c r="BB74" s="103"/>
      <c r="BC74" s="103"/>
      <c r="BD74" s="103"/>
      <c r="BE74" s="103"/>
      <c r="BF74" s="103"/>
      <c r="BG74" s="103"/>
      <c r="BH74" s="103"/>
      <c r="BI74" s="103"/>
      <c r="BJ74" s="103"/>
      <c r="BK74" s="103"/>
      <c r="BL74" s="103"/>
      <c r="BM74" s="103"/>
      <c r="BN74" s="103"/>
      <c r="BO74" s="103"/>
      <c r="BP74" s="103"/>
      <c r="BQ74" s="103"/>
      <c r="BR74" s="103"/>
      <c r="BS74" s="103"/>
      <c r="BT74" s="103"/>
      <c r="BU74" s="103"/>
      <c r="BV74" s="103"/>
      <c r="BW74" s="103"/>
      <c r="BX74" s="6"/>
      <c r="BY74" s="6"/>
      <c r="BZ74" s="103"/>
      <c r="CA74" s="103"/>
      <c r="CB74" s="103"/>
      <c r="CC74" s="103"/>
    </row>
    <row r="75" spans="1:81" x14ac:dyDescent="0.2">
      <c r="A75" s="5"/>
      <c r="B75" s="5"/>
      <c r="C75" s="5"/>
      <c r="D75" s="5"/>
      <c r="E75" s="5"/>
      <c r="F75" s="5"/>
      <c r="G75" s="5"/>
      <c r="H75" s="5"/>
      <c r="I75" s="5"/>
      <c r="J75" s="5"/>
      <c r="K75" s="5"/>
      <c r="L75" s="35"/>
      <c r="M75" s="6"/>
      <c r="N75" s="6"/>
      <c r="O75" s="6"/>
      <c r="P75" s="6"/>
      <c r="Q75" s="108"/>
      <c r="R75" s="5"/>
      <c r="S75" s="5"/>
      <c r="T75" s="5"/>
      <c r="U75" s="5"/>
      <c r="V75" s="5"/>
      <c r="W75" s="5"/>
      <c r="X75" s="5"/>
      <c r="Y75" s="5"/>
      <c r="Z75" s="150"/>
      <c r="AA75" s="103"/>
      <c r="AB75" s="103"/>
      <c r="AC75" s="103"/>
      <c r="AD75" s="103"/>
      <c r="AE75" s="103"/>
      <c r="AF75" s="103"/>
      <c r="AG75" s="103"/>
      <c r="AH75" s="103"/>
      <c r="AI75" s="103"/>
      <c r="AJ75" s="103"/>
      <c r="AK75" s="103"/>
      <c r="AL75" s="103"/>
      <c r="AM75" s="103"/>
      <c r="AN75" s="103"/>
      <c r="AO75" s="103"/>
      <c r="AP75" s="103"/>
      <c r="AQ75" s="103"/>
      <c r="AR75" s="103"/>
      <c r="AS75" s="103"/>
      <c r="AT75" s="103"/>
      <c r="AU75" s="103"/>
      <c r="AV75" s="103"/>
      <c r="AW75" s="103"/>
      <c r="AX75" s="103"/>
      <c r="AY75" s="103"/>
      <c r="AZ75" s="103"/>
      <c r="BA75" s="103"/>
      <c r="BB75" s="103"/>
      <c r="BC75" s="103"/>
      <c r="BD75" s="103"/>
      <c r="BE75" s="103"/>
      <c r="BF75" s="103"/>
      <c r="BG75" s="103"/>
      <c r="BH75" s="103"/>
      <c r="BI75" s="103"/>
      <c r="BJ75" s="103"/>
      <c r="BK75" s="103"/>
      <c r="BL75" s="103"/>
      <c r="BM75" s="103"/>
      <c r="BN75" s="103"/>
      <c r="BO75" s="103"/>
      <c r="BP75" s="103"/>
      <c r="BQ75" s="103"/>
      <c r="BR75" s="103"/>
      <c r="BS75" s="103"/>
      <c r="BT75" s="103"/>
      <c r="BU75" s="103"/>
      <c r="BV75" s="103"/>
      <c r="BW75" s="103"/>
      <c r="BX75" s="6"/>
      <c r="BY75" s="6"/>
      <c r="BZ75" s="103"/>
      <c r="CA75" s="103"/>
      <c r="CB75" s="103"/>
      <c r="CC75" s="103"/>
    </row>
    <row r="76" spans="1:81" x14ac:dyDescent="0.2">
      <c r="A76" s="5"/>
      <c r="B76" s="5"/>
      <c r="C76" s="5"/>
      <c r="D76" s="5"/>
      <c r="E76" s="5"/>
      <c r="F76" s="5"/>
      <c r="G76" s="5"/>
      <c r="H76" s="5"/>
      <c r="I76" s="5"/>
      <c r="J76" s="5"/>
      <c r="K76" s="5"/>
      <c r="L76" s="35"/>
      <c r="M76" s="6"/>
      <c r="N76" s="6"/>
      <c r="O76" s="6"/>
      <c r="P76" s="6"/>
      <c r="Q76" s="108"/>
      <c r="R76" s="5"/>
      <c r="S76" s="5"/>
      <c r="T76" s="5"/>
      <c r="U76" s="5"/>
      <c r="V76" s="5"/>
      <c r="W76" s="5"/>
      <c r="X76" s="5"/>
      <c r="Y76" s="5"/>
      <c r="Z76" s="150"/>
      <c r="AA76" s="103"/>
      <c r="AB76" s="103"/>
      <c r="AC76" s="103"/>
      <c r="AD76" s="103"/>
      <c r="AE76" s="103"/>
      <c r="AF76" s="103"/>
      <c r="AG76" s="103"/>
      <c r="AH76" s="103"/>
      <c r="AI76" s="103"/>
      <c r="AJ76" s="103"/>
      <c r="AK76" s="103"/>
      <c r="AL76" s="103"/>
      <c r="AM76" s="103"/>
      <c r="AN76" s="103"/>
      <c r="AO76" s="103"/>
      <c r="AP76" s="103"/>
      <c r="AQ76" s="103"/>
      <c r="AR76" s="103"/>
      <c r="AS76" s="103"/>
      <c r="AT76" s="103"/>
      <c r="AU76" s="103"/>
      <c r="AV76" s="103"/>
      <c r="AW76" s="103"/>
      <c r="AX76" s="103"/>
      <c r="AY76" s="103"/>
      <c r="AZ76" s="103"/>
      <c r="BA76" s="103"/>
      <c r="BB76" s="103"/>
      <c r="BC76" s="103"/>
      <c r="BD76" s="103"/>
      <c r="BE76" s="103"/>
      <c r="BF76" s="103"/>
      <c r="BG76" s="103"/>
      <c r="BH76" s="103"/>
      <c r="BI76" s="103"/>
      <c r="BJ76" s="103"/>
      <c r="BK76" s="103"/>
      <c r="BL76" s="103"/>
      <c r="BM76" s="103"/>
      <c r="BN76" s="103"/>
      <c r="BO76" s="103"/>
      <c r="BP76" s="103"/>
      <c r="BQ76" s="103"/>
      <c r="BR76" s="103"/>
      <c r="BS76" s="103"/>
      <c r="BT76" s="103"/>
      <c r="BU76" s="103"/>
      <c r="BV76" s="103"/>
      <c r="BW76" s="103"/>
      <c r="BX76" s="6"/>
      <c r="BY76" s="6"/>
      <c r="BZ76" s="103"/>
      <c r="CA76" s="103"/>
      <c r="CB76" s="103"/>
      <c r="CC76" s="103"/>
    </row>
    <row r="77" spans="1:81" x14ac:dyDescent="0.2">
      <c r="A77" s="5"/>
      <c r="B77" s="5"/>
      <c r="C77" s="5"/>
      <c r="D77" s="5"/>
      <c r="E77" s="5"/>
      <c r="F77" s="5"/>
      <c r="G77" s="5"/>
      <c r="H77" s="5"/>
      <c r="I77" s="5"/>
      <c r="J77" s="5"/>
      <c r="K77" s="5"/>
      <c r="L77" s="35"/>
      <c r="M77" s="6"/>
      <c r="N77" s="6"/>
      <c r="O77" s="6"/>
      <c r="P77" s="6"/>
      <c r="Q77" s="108"/>
      <c r="R77" s="5"/>
      <c r="S77" s="5"/>
      <c r="T77" s="5"/>
      <c r="U77" s="5"/>
      <c r="V77" s="5"/>
      <c r="W77" s="5"/>
      <c r="X77" s="5"/>
      <c r="Y77" s="5"/>
      <c r="Z77" s="150"/>
      <c r="AA77" s="103"/>
      <c r="AB77" s="103"/>
      <c r="AC77" s="103"/>
      <c r="AD77" s="103"/>
      <c r="AE77" s="103"/>
      <c r="AF77" s="103"/>
      <c r="AG77" s="103"/>
      <c r="AH77" s="103"/>
      <c r="AI77" s="103"/>
      <c r="AJ77" s="103"/>
      <c r="AK77" s="103"/>
      <c r="AL77" s="103"/>
      <c r="AM77" s="103"/>
      <c r="AN77" s="103"/>
      <c r="AO77" s="103"/>
      <c r="AP77" s="103"/>
      <c r="AQ77" s="103"/>
      <c r="AR77" s="103"/>
      <c r="AS77" s="103"/>
      <c r="AT77" s="103"/>
      <c r="AU77" s="103"/>
      <c r="AV77" s="103"/>
      <c r="AW77" s="103"/>
      <c r="AX77" s="103"/>
      <c r="AY77" s="103"/>
      <c r="AZ77" s="103"/>
      <c r="BA77" s="103"/>
      <c r="BB77" s="103"/>
      <c r="BC77" s="103"/>
      <c r="BD77" s="103"/>
      <c r="BE77" s="103"/>
      <c r="BF77" s="103"/>
      <c r="BG77" s="103"/>
      <c r="BH77" s="103"/>
      <c r="BI77" s="103"/>
      <c r="BJ77" s="103"/>
      <c r="BK77" s="103"/>
      <c r="BL77" s="103"/>
      <c r="BM77" s="103"/>
      <c r="BN77" s="103"/>
      <c r="BO77" s="103"/>
      <c r="BP77" s="103"/>
      <c r="BQ77" s="103"/>
      <c r="BR77" s="103"/>
      <c r="BS77" s="103"/>
      <c r="BT77" s="103"/>
      <c r="BU77" s="103"/>
      <c r="BV77" s="103"/>
      <c r="BW77" s="103"/>
      <c r="BX77" s="6"/>
      <c r="BY77" s="6"/>
      <c r="BZ77" s="103"/>
      <c r="CA77" s="103"/>
      <c r="CB77" s="103"/>
      <c r="CC77" s="103"/>
    </row>
    <row r="78" spans="1:81" x14ac:dyDescent="0.2">
      <c r="A78" s="5"/>
      <c r="B78" s="5"/>
      <c r="C78" s="5"/>
      <c r="D78" s="5"/>
      <c r="E78" s="5"/>
      <c r="F78" s="5"/>
      <c r="G78" s="5"/>
      <c r="H78" s="5"/>
      <c r="I78" s="5"/>
      <c r="J78" s="5"/>
      <c r="K78" s="5"/>
      <c r="L78" s="35"/>
      <c r="M78" s="6"/>
      <c r="N78" s="6"/>
      <c r="O78" s="6"/>
      <c r="P78" s="6"/>
      <c r="Q78" s="108"/>
      <c r="R78" s="5"/>
      <c r="S78" s="5"/>
      <c r="T78" s="5"/>
      <c r="U78" s="5"/>
      <c r="V78" s="5"/>
      <c r="W78" s="5"/>
      <c r="X78" s="5"/>
      <c r="Y78" s="5"/>
      <c r="Z78" s="150"/>
      <c r="AA78" s="103"/>
      <c r="AB78" s="103"/>
      <c r="AC78" s="103"/>
      <c r="AD78" s="103"/>
      <c r="AE78" s="103"/>
      <c r="AF78" s="103"/>
      <c r="AG78" s="103"/>
      <c r="AH78" s="103"/>
      <c r="AI78" s="103"/>
      <c r="AJ78" s="103"/>
      <c r="AK78" s="103"/>
      <c r="AL78" s="103"/>
      <c r="AM78" s="103"/>
      <c r="AN78" s="103"/>
      <c r="AO78" s="103"/>
      <c r="AP78" s="103"/>
      <c r="AQ78" s="103"/>
      <c r="AR78" s="103"/>
      <c r="AS78" s="103"/>
      <c r="AT78" s="103"/>
      <c r="AU78" s="103"/>
      <c r="AV78" s="103"/>
      <c r="AW78" s="103"/>
      <c r="AX78" s="103"/>
      <c r="AY78" s="103"/>
      <c r="AZ78" s="103"/>
      <c r="BA78" s="103"/>
      <c r="BB78" s="103"/>
      <c r="BC78" s="103"/>
      <c r="BD78" s="103"/>
      <c r="BE78" s="103"/>
      <c r="BF78" s="103"/>
      <c r="BG78" s="103"/>
      <c r="BH78" s="103"/>
      <c r="BI78" s="103"/>
      <c r="BJ78" s="103"/>
      <c r="BK78" s="103"/>
      <c r="BL78" s="103"/>
      <c r="BM78" s="103"/>
      <c r="BN78" s="103"/>
      <c r="BO78" s="103"/>
      <c r="BP78" s="103"/>
      <c r="BQ78" s="103"/>
      <c r="BR78" s="103"/>
      <c r="BS78" s="103"/>
      <c r="BT78" s="103"/>
      <c r="BU78" s="103"/>
      <c r="BV78" s="103"/>
      <c r="BW78" s="103"/>
      <c r="BX78" s="6"/>
      <c r="BY78" s="6"/>
      <c r="BZ78" s="103"/>
      <c r="CA78" s="103"/>
      <c r="CB78" s="103"/>
      <c r="CC78" s="103"/>
    </row>
    <row r="79" spans="1:81" x14ac:dyDescent="0.2">
      <c r="A79" s="5"/>
      <c r="B79" s="5"/>
      <c r="C79" s="5"/>
      <c r="D79" s="5"/>
      <c r="E79" s="5"/>
      <c r="F79" s="5"/>
      <c r="G79" s="5"/>
      <c r="H79" s="5"/>
      <c r="I79" s="5"/>
      <c r="J79" s="5"/>
      <c r="K79" s="5"/>
      <c r="L79" s="35"/>
      <c r="M79" s="6"/>
      <c r="N79" s="6"/>
      <c r="O79" s="6"/>
      <c r="P79" s="6"/>
      <c r="Q79" s="108"/>
      <c r="R79" s="5"/>
      <c r="S79" s="5"/>
      <c r="T79" s="5"/>
      <c r="U79" s="5"/>
      <c r="V79" s="5"/>
      <c r="W79" s="5"/>
      <c r="X79" s="5"/>
      <c r="Y79" s="5"/>
      <c r="Z79" s="150"/>
      <c r="AA79" s="103"/>
      <c r="AB79" s="103"/>
      <c r="AC79" s="103"/>
      <c r="AD79" s="103"/>
      <c r="AE79" s="103"/>
      <c r="AF79" s="103"/>
      <c r="AG79" s="103"/>
      <c r="AH79" s="103"/>
      <c r="AI79" s="103"/>
      <c r="AJ79" s="103"/>
      <c r="AK79" s="103"/>
      <c r="AL79" s="103"/>
      <c r="AM79" s="103"/>
      <c r="AN79" s="103"/>
      <c r="AO79" s="103"/>
      <c r="AP79" s="103"/>
      <c r="AQ79" s="103"/>
      <c r="AR79" s="103"/>
      <c r="AS79" s="103"/>
      <c r="AT79" s="103"/>
      <c r="AU79" s="103"/>
      <c r="AV79" s="103"/>
      <c r="AW79" s="103"/>
      <c r="AX79" s="103"/>
      <c r="AY79" s="103"/>
      <c r="AZ79" s="103"/>
      <c r="BA79" s="103"/>
      <c r="BB79" s="103"/>
      <c r="BC79" s="103"/>
      <c r="BD79" s="103"/>
      <c r="BE79" s="103"/>
      <c r="BF79" s="103"/>
      <c r="BG79" s="103"/>
      <c r="BH79" s="103"/>
      <c r="BI79" s="103"/>
      <c r="BJ79" s="103"/>
      <c r="BK79" s="103"/>
      <c r="BL79" s="103"/>
      <c r="BM79" s="103"/>
      <c r="BN79" s="103"/>
      <c r="BO79" s="103"/>
      <c r="BP79" s="103"/>
      <c r="BQ79" s="103"/>
      <c r="BR79" s="103"/>
      <c r="BS79" s="103"/>
      <c r="BT79" s="103"/>
      <c r="BU79" s="103"/>
      <c r="BV79" s="103"/>
      <c r="BW79" s="103"/>
      <c r="BX79" s="6"/>
      <c r="BY79" s="6"/>
      <c r="BZ79" s="103"/>
      <c r="CA79" s="103"/>
      <c r="CB79" s="103"/>
      <c r="CC79" s="103"/>
    </row>
    <row r="80" spans="1:81" x14ac:dyDescent="0.2">
      <c r="A80" s="5"/>
      <c r="B80" s="5"/>
      <c r="C80" s="5"/>
      <c r="D80" s="5"/>
      <c r="E80" s="5"/>
      <c r="F80" s="5"/>
      <c r="G80" s="5"/>
      <c r="H80" s="5"/>
      <c r="I80" s="5"/>
      <c r="J80" s="5"/>
      <c r="K80" s="5"/>
      <c r="L80" s="35"/>
      <c r="M80" s="6"/>
      <c r="N80" s="6"/>
      <c r="O80" s="6"/>
      <c r="P80" s="6"/>
      <c r="Q80" s="108"/>
      <c r="R80" s="5"/>
      <c r="S80" s="5"/>
      <c r="T80" s="5"/>
      <c r="U80" s="5"/>
      <c r="V80" s="5"/>
      <c r="W80" s="5"/>
      <c r="X80" s="5"/>
      <c r="Y80" s="5"/>
      <c r="Z80" s="150"/>
      <c r="AA80" s="103"/>
      <c r="AB80" s="103"/>
      <c r="AC80" s="103"/>
      <c r="AD80" s="103"/>
      <c r="AE80" s="103"/>
      <c r="AF80" s="103"/>
      <c r="AG80" s="103"/>
      <c r="AH80" s="103"/>
      <c r="AI80" s="103"/>
      <c r="AJ80" s="103"/>
      <c r="AK80" s="103"/>
      <c r="AL80" s="103"/>
      <c r="AM80" s="103"/>
      <c r="AN80" s="103"/>
      <c r="AO80" s="103"/>
      <c r="AP80" s="103"/>
      <c r="AQ80" s="103"/>
      <c r="AR80" s="103"/>
      <c r="AS80" s="103"/>
      <c r="AT80" s="103"/>
      <c r="AU80" s="103"/>
      <c r="AV80" s="103"/>
      <c r="AW80" s="103"/>
      <c r="AX80" s="103"/>
      <c r="AY80" s="103"/>
      <c r="AZ80" s="103"/>
      <c r="BA80" s="103"/>
      <c r="BB80" s="103"/>
      <c r="BC80" s="103"/>
      <c r="BD80" s="103"/>
      <c r="BE80" s="103"/>
      <c r="BF80" s="103"/>
      <c r="BG80" s="103"/>
      <c r="BH80" s="103"/>
      <c r="BI80" s="103"/>
      <c r="BJ80" s="103"/>
      <c r="BK80" s="103"/>
      <c r="BL80" s="103"/>
      <c r="BM80" s="103"/>
      <c r="BN80" s="103"/>
      <c r="BO80" s="103"/>
      <c r="BP80" s="103"/>
      <c r="BQ80" s="103"/>
      <c r="BR80" s="103"/>
      <c r="BS80" s="103"/>
      <c r="BT80" s="103"/>
      <c r="BU80" s="103"/>
      <c r="BV80" s="103"/>
      <c r="BW80" s="103"/>
      <c r="BX80" s="6"/>
      <c r="BY80" s="6"/>
      <c r="BZ80" s="103"/>
      <c r="CA80" s="103"/>
      <c r="CB80" s="103"/>
      <c r="CC80" s="103"/>
    </row>
    <row r="81" spans="1:81" x14ac:dyDescent="0.2">
      <c r="A81" s="5"/>
      <c r="B81" s="5"/>
      <c r="C81" s="5"/>
      <c r="D81" s="5"/>
      <c r="E81" s="5"/>
      <c r="F81" s="5"/>
      <c r="G81" s="5"/>
      <c r="H81" s="5"/>
      <c r="I81" s="5"/>
      <c r="J81" s="5"/>
      <c r="K81" s="5"/>
      <c r="L81" s="35"/>
      <c r="M81" s="6"/>
      <c r="N81" s="6"/>
      <c r="O81" s="6"/>
      <c r="P81" s="6"/>
      <c r="Q81" s="108"/>
      <c r="R81" s="5"/>
      <c r="S81" s="5"/>
      <c r="T81" s="5"/>
      <c r="U81" s="5"/>
      <c r="V81" s="5"/>
      <c r="W81" s="5"/>
      <c r="X81" s="5"/>
      <c r="Y81" s="5"/>
      <c r="Z81" s="150"/>
      <c r="AA81" s="103"/>
      <c r="AB81" s="103"/>
      <c r="AC81" s="103"/>
      <c r="AD81" s="103"/>
      <c r="AE81" s="103"/>
      <c r="AF81" s="103"/>
      <c r="AG81" s="103"/>
      <c r="AH81" s="103"/>
      <c r="AI81" s="103"/>
      <c r="AJ81" s="103"/>
      <c r="AK81" s="103"/>
      <c r="AL81" s="103"/>
      <c r="AM81" s="103"/>
      <c r="AN81" s="103"/>
      <c r="AO81" s="103"/>
      <c r="AP81" s="103"/>
      <c r="AQ81" s="103"/>
      <c r="AR81" s="103"/>
      <c r="AS81" s="103"/>
      <c r="AT81" s="103"/>
      <c r="AU81" s="103"/>
      <c r="AV81" s="103"/>
      <c r="AW81" s="103"/>
      <c r="AX81" s="103"/>
      <c r="AY81" s="103"/>
      <c r="AZ81" s="103"/>
      <c r="BA81" s="103"/>
      <c r="BB81" s="103"/>
      <c r="BC81" s="103"/>
      <c r="BD81" s="103"/>
      <c r="BE81" s="103"/>
      <c r="BF81" s="103"/>
      <c r="BG81" s="103"/>
      <c r="BH81" s="103"/>
      <c r="BI81" s="103"/>
      <c r="BJ81" s="103"/>
      <c r="BK81" s="103"/>
      <c r="BL81" s="103"/>
      <c r="BM81" s="103"/>
      <c r="BN81" s="103"/>
      <c r="BO81" s="103"/>
      <c r="BP81" s="103"/>
      <c r="BQ81" s="103"/>
      <c r="BR81" s="103"/>
      <c r="BS81" s="103"/>
      <c r="BT81" s="103"/>
      <c r="BU81" s="103"/>
      <c r="BV81" s="103"/>
      <c r="BW81" s="103"/>
      <c r="BX81" s="6"/>
      <c r="BY81" s="6"/>
      <c r="BZ81" s="103"/>
      <c r="CA81" s="103"/>
      <c r="CB81" s="103"/>
      <c r="CC81" s="103"/>
    </row>
    <row r="82" spans="1:81" x14ac:dyDescent="0.2">
      <c r="A82" s="5"/>
      <c r="B82" s="5"/>
      <c r="C82" s="5"/>
      <c r="D82" s="5"/>
      <c r="E82" s="5"/>
      <c r="F82" s="5"/>
      <c r="G82" s="5"/>
      <c r="H82" s="5"/>
      <c r="I82" s="5"/>
      <c r="J82" s="5"/>
      <c r="K82" s="5"/>
      <c r="L82" s="35"/>
      <c r="M82" s="6"/>
      <c r="N82" s="6"/>
      <c r="O82" s="6"/>
      <c r="P82" s="6"/>
      <c r="Q82" s="108"/>
      <c r="R82" s="5"/>
      <c r="S82" s="5"/>
      <c r="T82" s="5"/>
      <c r="U82" s="5"/>
      <c r="V82" s="5"/>
      <c r="W82" s="5"/>
      <c r="X82" s="5"/>
      <c r="Y82" s="5"/>
      <c r="Z82" s="150"/>
      <c r="AA82" s="103"/>
      <c r="AB82" s="103"/>
      <c r="AC82" s="103"/>
      <c r="AD82" s="103"/>
      <c r="AE82" s="103"/>
      <c r="AF82" s="103"/>
      <c r="AG82" s="103"/>
      <c r="AH82" s="103"/>
      <c r="AI82" s="103"/>
      <c r="AJ82" s="103"/>
      <c r="AK82" s="103"/>
      <c r="AL82" s="103"/>
      <c r="AM82" s="103"/>
      <c r="AN82" s="103"/>
      <c r="AO82" s="103"/>
      <c r="AP82" s="103"/>
      <c r="AQ82" s="103"/>
      <c r="AR82" s="103"/>
      <c r="AS82" s="103"/>
      <c r="AT82" s="103"/>
      <c r="AU82" s="103"/>
      <c r="AV82" s="103"/>
      <c r="AW82" s="103"/>
      <c r="AX82" s="103"/>
      <c r="AY82" s="103"/>
      <c r="AZ82" s="103"/>
      <c r="BA82" s="103"/>
      <c r="BB82" s="103"/>
      <c r="BC82" s="103"/>
      <c r="BD82" s="103"/>
      <c r="BE82" s="103"/>
      <c r="BF82" s="103"/>
      <c r="BG82" s="103"/>
      <c r="BH82" s="103"/>
      <c r="BI82" s="103"/>
      <c r="BJ82" s="103"/>
      <c r="BK82" s="103"/>
      <c r="BL82" s="103"/>
      <c r="BM82" s="103"/>
      <c r="BN82" s="103"/>
      <c r="BO82" s="103"/>
      <c r="BP82" s="103"/>
      <c r="BQ82" s="103"/>
      <c r="BR82" s="103"/>
      <c r="BS82" s="103"/>
      <c r="BT82" s="103"/>
      <c r="BU82" s="103"/>
      <c r="BV82" s="103"/>
      <c r="BW82" s="103"/>
      <c r="BX82" s="6"/>
      <c r="BY82" s="6"/>
      <c r="BZ82" s="103"/>
      <c r="CA82" s="103"/>
      <c r="CB82" s="103"/>
      <c r="CC82" s="103"/>
    </row>
    <row r="83" spans="1:81" x14ac:dyDescent="0.2">
      <c r="A83" s="5"/>
      <c r="B83" s="5"/>
      <c r="C83" s="5"/>
      <c r="D83" s="5"/>
      <c r="E83" s="5"/>
      <c r="F83" s="5"/>
      <c r="G83" s="5"/>
      <c r="H83" s="5"/>
      <c r="I83" s="5"/>
      <c r="J83" s="5"/>
      <c r="K83" s="5"/>
      <c r="L83" s="35"/>
      <c r="M83" s="6"/>
      <c r="N83" s="6"/>
      <c r="O83" s="6"/>
      <c r="P83" s="6"/>
      <c r="Q83" s="108"/>
      <c r="R83" s="5"/>
      <c r="S83" s="5"/>
      <c r="T83" s="5"/>
      <c r="U83" s="5"/>
      <c r="V83" s="5"/>
      <c r="W83" s="5"/>
      <c r="X83" s="5"/>
      <c r="Y83" s="5"/>
      <c r="Z83" s="150"/>
      <c r="AA83" s="103"/>
      <c r="AB83" s="103"/>
      <c r="AC83" s="103"/>
      <c r="AD83" s="103"/>
      <c r="AE83" s="103"/>
      <c r="AF83" s="103"/>
      <c r="AG83" s="103"/>
      <c r="AH83" s="103"/>
      <c r="AI83" s="103"/>
      <c r="AJ83" s="103"/>
      <c r="AK83" s="103"/>
      <c r="AL83" s="103"/>
      <c r="AM83" s="103"/>
      <c r="AN83" s="103"/>
      <c r="AO83" s="103"/>
      <c r="AP83" s="103"/>
      <c r="AQ83" s="103"/>
      <c r="AR83" s="103"/>
      <c r="AS83" s="103"/>
      <c r="AT83" s="103"/>
      <c r="AU83" s="103"/>
      <c r="AV83" s="103"/>
      <c r="AW83" s="103"/>
      <c r="AX83" s="103"/>
      <c r="AY83" s="103"/>
      <c r="AZ83" s="103"/>
      <c r="BA83" s="103"/>
      <c r="BB83" s="103"/>
      <c r="BC83" s="103"/>
      <c r="BD83" s="103"/>
      <c r="BE83" s="103"/>
      <c r="BF83" s="103"/>
      <c r="BG83" s="103"/>
      <c r="BH83" s="103"/>
      <c r="BI83" s="103"/>
      <c r="BJ83" s="103"/>
      <c r="BK83" s="103"/>
      <c r="BL83" s="103"/>
      <c r="BM83" s="103"/>
      <c r="BN83" s="103"/>
      <c r="BO83" s="103"/>
      <c r="BP83" s="103"/>
      <c r="BQ83" s="103"/>
      <c r="BR83" s="103"/>
      <c r="BS83" s="103"/>
      <c r="BT83" s="103"/>
      <c r="BU83" s="103"/>
      <c r="BV83" s="103"/>
      <c r="BW83" s="103"/>
      <c r="BX83" s="6"/>
      <c r="BY83" s="6"/>
      <c r="BZ83" s="103"/>
      <c r="CA83" s="103"/>
      <c r="CB83" s="103"/>
      <c r="CC83" s="103"/>
    </row>
    <row r="84" spans="1:81" x14ac:dyDescent="0.2">
      <c r="A84" s="5"/>
      <c r="B84" s="5"/>
      <c r="C84" s="5"/>
      <c r="D84" s="5"/>
      <c r="E84" s="5"/>
      <c r="F84" s="5"/>
      <c r="G84" s="5"/>
      <c r="H84" s="5"/>
      <c r="I84" s="5"/>
      <c r="J84" s="5"/>
      <c r="K84" s="5"/>
      <c r="L84" s="35"/>
      <c r="M84" s="6"/>
      <c r="N84" s="6"/>
      <c r="O84" s="6"/>
      <c r="P84" s="6"/>
      <c r="Q84" s="108"/>
      <c r="R84" s="5"/>
      <c r="S84" s="5"/>
      <c r="T84" s="5"/>
      <c r="U84" s="5"/>
      <c r="V84" s="5"/>
      <c r="W84" s="5"/>
      <c r="X84" s="5"/>
      <c r="Y84" s="5"/>
      <c r="Z84" s="150"/>
      <c r="AA84" s="103"/>
      <c r="AB84" s="103"/>
      <c r="AC84" s="103"/>
      <c r="AD84" s="103"/>
      <c r="AE84" s="103"/>
      <c r="AF84" s="103"/>
      <c r="AG84" s="103"/>
      <c r="AH84" s="103"/>
      <c r="AI84" s="103"/>
      <c r="AJ84" s="103"/>
      <c r="AK84" s="103"/>
      <c r="AL84" s="103"/>
      <c r="AM84" s="103"/>
      <c r="AN84" s="103"/>
      <c r="AO84" s="103"/>
      <c r="AP84" s="103"/>
      <c r="AQ84" s="103"/>
      <c r="AR84" s="103"/>
      <c r="AS84" s="103"/>
      <c r="AT84" s="103"/>
      <c r="AU84" s="103"/>
      <c r="AV84" s="103"/>
      <c r="AW84" s="103"/>
      <c r="AX84" s="103"/>
      <c r="AY84" s="103"/>
      <c r="AZ84" s="103"/>
      <c r="BA84" s="103"/>
      <c r="BB84" s="103"/>
      <c r="BC84" s="103"/>
      <c r="BD84" s="103"/>
      <c r="BE84" s="103"/>
      <c r="BF84" s="103"/>
      <c r="BG84" s="103"/>
      <c r="BH84" s="103"/>
      <c r="BI84" s="103"/>
      <c r="BJ84" s="103"/>
      <c r="BK84" s="103"/>
      <c r="BL84" s="103"/>
      <c r="BM84" s="103"/>
      <c r="BN84" s="103"/>
      <c r="BO84" s="103"/>
      <c r="BP84" s="103"/>
      <c r="BQ84" s="103"/>
      <c r="BR84" s="103"/>
      <c r="BS84" s="103"/>
      <c r="BT84" s="103"/>
      <c r="BU84" s="103"/>
      <c r="BV84" s="103"/>
      <c r="BW84" s="103"/>
      <c r="BX84" s="6"/>
      <c r="BY84" s="6"/>
      <c r="BZ84" s="103"/>
      <c r="CA84" s="103"/>
      <c r="CB84" s="103"/>
      <c r="CC84" s="103"/>
    </row>
    <row r="85" spans="1:81" x14ac:dyDescent="0.2">
      <c r="A85" s="5"/>
      <c r="B85" s="5"/>
      <c r="C85" s="5"/>
      <c r="D85" s="5"/>
      <c r="E85" s="5"/>
      <c r="F85" s="5"/>
      <c r="G85" s="5"/>
      <c r="H85" s="5"/>
      <c r="I85" s="5"/>
      <c r="J85" s="5"/>
      <c r="K85" s="5"/>
      <c r="L85" s="35"/>
      <c r="M85" s="6"/>
      <c r="N85" s="6"/>
      <c r="O85" s="6"/>
      <c r="P85" s="6"/>
      <c r="Q85" s="108"/>
      <c r="R85" s="5"/>
      <c r="S85" s="5"/>
      <c r="T85" s="5"/>
      <c r="U85" s="5"/>
      <c r="V85" s="5"/>
      <c r="W85" s="5"/>
      <c r="X85" s="5"/>
      <c r="Y85" s="5"/>
      <c r="Z85" s="150"/>
      <c r="AA85" s="103"/>
      <c r="AB85" s="103"/>
      <c r="AC85" s="103"/>
      <c r="AD85" s="103"/>
      <c r="AE85" s="103"/>
      <c r="AF85" s="103"/>
      <c r="AG85" s="103"/>
      <c r="AH85" s="103"/>
      <c r="AI85" s="103"/>
      <c r="AJ85" s="103"/>
      <c r="AK85" s="103"/>
      <c r="AL85" s="103"/>
      <c r="AM85" s="103"/>
      <c r="AN85" s="103"/>
      <c r="AO85" s="103"/>
      <c r="AP85" s="103"/>
      <c r="AQ85" s="103"/>
      <c r="AR85" s="103"/>
      <c r="AS85" s="103"/>
      <c r="AT85" s="103"/>
      <c r="AU85" s="103"/>
      <c r="AV85" s="103"/>
      <c r="AW85" s="103"/>
      <c r="AX85" s="103"/>
      <c r="AY85" s="103"/>
      <c r="AZ85" s="103"/>
      <c r="BA85" s="103"/>
      <c r="BB85" s="103"/>
      <c r="BC85" s="103"/>
      <c r="BD85" s="103"/>
      <c r="BE85" s="103"/>
      <c r="BF85" s="103"/>
      <c r="BG85" s="103"/>
      <c r="BH85" s="103"/>
      <c r="BI85" s="103"/>
      <c r="BJ85" s="103"/>
      <c r="BK85" s="103"/>
      <c r="BL85" s="103"/>
      <c r="BM85" s="103"/>
      <c r="BN85" s="103"/>
      <c r="BO85" s="103"/>
      <c r="BP85" s="103"/>
      <c r="BQ85" s="103"/>
      <c r="BR85" s="103"/>
      <c r="BS85" s="103"/>
      <c r="BT85" s="103"/>
      <c r="BU85" s="103"/>
      <c r="BV85" s="103"/>
      <c r="BW85" s="103"/>
      <c r="BX85" s="6"/>
      <c r="BY85" s="6"/>
      <c r="BZ85" s="103"/>
      <c r="CA85" s="103"/>
      <c r="CB85" s="103"/>
      <c r="CC85" s="103"/>
    </row>
    <row r="86" spans="1:81" x14ac:dyDescent="0.2">
      <c r="A86" s="5"/>
      <c r="B86" s="5"/>
      <c r="C86" s="5"/>
      <c r="D86" s="5"/>
      <c r="E86" s="5"/>
      <c r="F86" s="5"/>
      <c r="G86" s="5"/>
      <c r="H86" s="5"/>
      <c r="I86" s="5"/>
      <c r="J86" s="5"/>
      <c r="K86" s="5"/>
      <c r="L86" s="35"/>
      <c r="M86" s="6"/>
      <c r="N86" s="6"/>
      <c r="O86" s="6"/>
      <c r="P86" s="6"/>
      <c r="Q86" s="108"/>
      <c r="R86" s="5"/>
      <c r="S86" s="5"/>
      <c r="T86" s="5"/>
      <c r="U86" s="5"/>
      <c r="V86" s="5"/>
      <c r="W86" s="5"/>
      <c r="X86" s="5"/>
      <c r="Y86" s="5"/>
      <c r="Z86" s="150"/>
      <c r="AA86" s="103"/>
      <c r="AB86" s="103"/>
      <c r="AC86" s="103"/>
      <c r="AD86" s="10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103"/>
      <c r="BE86" s="103"/>
      <c r="BF86" s="103"/>
      <c r="BG86" s="103"/>
      <c r="BH86" s="103"/>
      <c r="BI86" s="103"/>
      <c r="BJ86" s="103"/>
      <c r="BK86" s="103"/>
      <c r="BL86" s="103"/>
      <c r="BM86" s="103"/>
      <c r="BN86" s="103"/>
      <c r="BO86" s="103"/>
      <c r="BP86" s="103"/>
      <c r="BQ86" s="103"/>
      <c r="BR86" s="103"/>
      <c r="BS86" s="103"/>
      <c r="BT86" s="103"/>
      <c r="BU86" s="103"/>
      <c r="BV86" s="103"/>
      <c r="BW86" s="103"/>
      <c r="BX86" s="6"/>
      <c r="BY86" s="6"/>
      <c r="BZ86" s="103"/>
      <c r="CA86" s="103"/>
      <c r="CB86" s="103"/>
      <c r="CC86" s="103"/>
    </row>
    <row r="87" spans="1:81" x14ac:dyDescent="0.2">
      <c r="A87" s="5"/>
      <c r="B87" s="5"/>
      <c r="C87" s="5"/>
      <c r="D87" s="5"/>
      <c r="E87" s="5"/>
      <c r="F87" s="5"/>
      <c r="G87" s="5"/>
      <c r="H87" s="5"/>
      <c r="I87" s="5"/>
      <c r="J87" s="5"/>
      <c r="K87" s="5"/>
      <c r="L87" s="35"/>
      <c r="M87" s="6"/>
      <c r="N87" s="6"/>
      <c r="O87" s="6"/>
      <c r="P87" s="6"/>
      <c r="Q87" s="108"/>
      <c r="R87" s="5"/>
      <c r="S87" s="5"/>
      <c r="T87" s="5"/>
      <c r="U87" s="5"/>
      <c r="V87" s="5"/>
      <c r="W87" s="5"/>
      <c r="X87" s="5"/>
      <c r="Y87" s="5"/>
      <c r="Z87" s="150"/>
      <c r="AA87" s="103"/>
      <c r="AB87" s="103"/>
      <c r="AC87" s="103"/>
      <c r="AD87" s="103"/>
      <c r="AE87" s="103"/>
      <c r="AF87" s="103"/>
      <c r="AG87" s="103"/>
      <c r="AH87" s="103"/>
      <c r="AI87" s="103"/>
      <c r="AJ87" s="103"/>
      <c r="AK87" s="103"/>
      <c r="AL87" s="103"/>
      <c r="AM87" s="103"/>
      <c r="AN87" s="103"/>
      <c r="AO87" s="103"/>
      <c r="AP87" s="103"/>
      <c r="AQ87" s="103"/>
      <c r="AR87" s="103"/>
      <c r="AS87" s="103"/>
      <c r="AT87" s="103"/>
      <c r="AU87" s="103"/>
      <c r="AV87" s="103"/>
      <c r="AW87" s="103"/>
      <c r="AX87" s="103"/>
      <c r="AY87" s="103"/>
      <c r="AZ87" s="103"/>
      <c r="BA87" s="103"/>
      <c r="BB87" s="103"/>
      <c r="BC87" s="103"/>
      <c r="BD87" s="103"/>
      <c r="BE87" s="103"/>
      <c r="BF87" s="103"/>
      <c r="BG87" s="103"/>
      <c r="BH87" s="103"/>
      <c r="BI87" s="103"/>
      <c r="BJ87" s="103"/>
      <c r="BK87" s="103"/>
      <c r="BL87" s="103"/>
      <c r="BM87" s="103"/>
      <c r="BN87" s="103"/>
      <c r="BO87" s="103"/>
      <c r="BP87" s="103"/>
      <c r="BQ87" s="103"/>
      <c r="BR87" s="103"/>
      <c r="BS87" s="103"/>
      <c r="BT87" s="103"/>
      <c r="BU87" s="103"/>
      <c r="BV87" s="103"/>
      <c r="BW87" s="103"/>
      <c r="BX87" s="6"/>
      <c r="BY87" s="6"/>
      <c r="BZ87" s="103"/>
      <c r="CA87" s="103"/>
      <c r="CB87" s="103"/>
      <c r="CC87" s="103"/>
    </row>
    <row r="88" spans="1:81" x14ac:dyDescent="0.2">
      <c r="A88" s="5"/>
      <c r="B88" s="5"/>
      <c r="C88" s="5"/>
      <c r="D88" s="5"/>
      <c r="E88" s="5"/>
      <c r="F88" s="5"/>
      <c r="G88" s="5"/>
      <c r="H88" s="5"/>
      <c r="I88" s="5"/>
      <c r="J88" s="5"/>
      <c r="K88" s="5"/>
      <c r="L88" s="35"/>
      <c r="M88" s="6"/>
      <c r="N88" s="6"/>
      <c r="O88" s="6"/>
      <c r="P88" s="6"/>
      <c r="Q88" s="108"/>
      <c r="R88" s="5"/>
      <c r="S88" s="5"/>
      <c r="T88" s="5"/>
      <c r="U88" s="5"/>
      <c r="V88" s="5"/>
      <c r="W88" s="5"/>
      <c r="X88" s="5"/>
      <c r="Y88" s="5"/>
      <c r="Z88" s="150"/>
      <c r="AA88" s="103"/>
      <c r="AB88" s="103"/>
      <c r="AC88" s="103"/>
      <c r="AD88" s="103"/>
      <c r="AE88" s="103"/>
      <c r="AF88" s="103"/>
      <c r="AG88" s="103"/>
      <c r="AH88" s="103"/>
      <c r="AI88" s="103"/>
      <c r="AJ88" s="103"/>
      <c r="AK88" s="103"/>
      <c r="AL88" s="103"/>
      <c r="AM88" s="103"/>
      <c r="AN88" s="103"/>
      <c r="AO88" s="103"/>
      <c r="AP88" s="103"/>
      <c r="AQ88" s="103"/>
      <c r="AR88" s="103"/>
      <c r="AS88" s="103"/>
      <c r="AT88" s="103"/>
      <c r="AU88" s="103"/>
      <c r="AV88" s="103"/>
      <c r="AW88" s="103"/>
      <c r="AX88" s="103"/>
      <c r="AY88" s="103"/>
      <c r="AZ88" s="103"/>
      <c r="BA88" s="103"/>
      <c r="BB88" s="103"/>
      <c r="BC88" s="103"/>
      <c r="BD88" s="103"/>
      <c r="BE88" s="103"/>
      <c r="BF88" s="103"/>
      <c r="BG88" s="103"/>
      <c r="BH88" s="103"/>
      <c r="BI88" s="103"/>
      <c r="BJ88" s="103"/>
      <c r="BK88" s="103"/>
      <c r="BL88" s="103"/>
      <c r="BM88" s="103"/>
      <c r="BN88" s="103"/>
      <c r="BO88" s="103"/>
      <c r="BP88" s="103"/>
      <c r="BQ88" s="103"/>
      <c r="BR88" s="103"/>
      <c r="BS88" s="103"/>
      <c r="BT88" s="103"/>
      <c r="BU88" s="103"/>
      <c r="BV88" s="103"/>
      <c r="BW88" s="103"/>
      <c r="BX88" s="6"/>
      <c r="BY88" s="6"/>
      <c r="BZ88" s="103"/>
      <c r="CA88" s="103"/>
      <c r="CB88" s="103"/>
      <c r="CC88" s="103"/>
    </row>
    <row r="89" spans="1:81" x14ac:dyDescent="0.2">
      <c r="A89" s="5"/>
      <c r="B89" s="5"/>
      <c r="C89" s="5"/>
      <c r="D89" s="5"/>
      <c r="E89" s="5"/>
      <c r="F89" s="5"/>
      <c r="G89" s="5"/>
      <c r="H89" s="5"/>
      <c r="I89" s="5"/>
      <c r="J89" s="5"/>
      <c r="K89" s="5"/>
      <c r="L89" s="35"/>
      <c r="M89" s="6"/>
      <c r="N89" s="6"/>
      <c r="O89" s="6"/>
      <c r="P89" s="6"/>
      <c r="Q89" s="108"/>
      <c r="R89" s="5"/>
      <c r="S89" s="5"/>
      <c r="T89" s="5"/>
      <c r="U89" s="5"/>
      <c r="V89" s="5"/>
      <c r="W89" s="5"/>
      <c r="X89" s="5"/>
      <c r="Y89" s="5"/>
      <c r="Z89" s="150"/>
      <c r="AA89" s="103"/>
      <c r="AB89" s="103"/>
      <c r="AC89" s="103"/>
      <c r="AD89" s="103"/>
      <c r="AE89" s="103"/>
      <c r="AF89" s="103"/>
      <c r="AG89" s="103"/>
      <c r="AH89" s="103"/>
      <c r="AI89" s="103"/>
      <c r="AJ89" s="103"/>
      <c r="AK89" s="103"/>
      <c r="AL89" s="103"/>
      <c r="AM89" s="103"/>
      <c r="AN89" s="103"/>
      <c r="AO89" s="103"/>
      <c r="AP89" s="103"/>
      <c r="AQ89" s="103"/>
      <c r="AR89" s="103"/>
      <c r="AS89" s="103"/>
      <c r="AT89" s="103"/>
      <c r="AU89" s="103"/>
      <c r="AV89" s="103"/>
      <c r="AW89" s="103"/>
      <c r="AX89" s="103"/>
      <c r="AY89" s="103"/>
      <c r="AZ89" s="103"/>
      <c r="BA89" s="103"/>
      <c r="BB89" s="103"/>
      <c r="BC89" s="103"/>
      <c r="BD89" s="103"/>
      <c r="BE89" s="103"/>
      <c r="BF89" s="103"/>
      <c r="BG89" s="103"/>
      <c r="BH89" s="103"/>
      <c r="BI89" s="103"/>
      <c r="BJ89" s="103"/>
      <c r="BK89" s="103"/>
      <c r="BL89" s="103"/>
      <c r="BM89" s="103"/>
      <c r="BN89" s="103"/>
      <c r="BO89" s="103"/>
      <c r="BP89" s="103"/>
      <c r="BQ89" s="103"/>
      <c r="BR89" s="103"/>
      <c r="BS89" s="103"/>
      <c r="BT89" s="103"/>
      <c r="BU89" s="103"/>
      <c r="BV89" s="103"/>
      <c r="BW89" s="103"/>
      <c r="BX89" s="6"/>
      <c r="BY89" s="6"/>
      <c r="BZ89" s="103"/>
      <c r="CA89" s="103"/>
      <c r="CB89" s="103"/>
      <c r="CC89" s="103"/>
    </row>
    <row r="90" spans="1:81" x14ac:dyDescent="0.2">
      <c r="A90" s="5"/>
      <c r="B90" s="5"/>
      <c r="C90" s="5"/>
      <c r="D90" s="5"/>
      <c r="E90" s="5"/>
      <c r="F90" s="5"/>
      <c r="G90" s="5"/>
      <c r="H90" s="5"/>
      <c r="I90" s="5"/>
      <c r="J90" s="5"/>
      <c r="K90" s="5"/>
      <c r="L90" s="35"/>
      <c r="M90" s="6"/>
      <c r="N90" s="6"/>
      <c r="O90" s="6"/>
      <c r="P90" s="6"/>
      <c r="Q90" s="108"/>
      <c r="R90" s="5"/>
      <c r="S90" s="5"/>
      <c r="T90" s="5"/>
      <c r="U90" s="5"/>
      <c r="V90" s="5"/>
      <c r="W90" s="5"/>
      <c r="X90" s="5"/>
      <c r="Y90" s="5"/>
      <c r="Z90" s="150"/>
      <c r="AA90" s="103"/>
      <c r="AB90" s="103"/>
      <c r="AC90" s="103"/>
      <c r="AD90" s="103"/>
      <c r="AE90" s="103"/>
      <c r="AF90" s="103"/>
      <c r="AG90" s="103"/>
      <c r="AH90" s="103"/>
      <c r="AI90" s="103"/>
      <c r="AJ90" s="103"/>
      <c r="AK90" s="103"/>
      <c r="AL90" s="103"/>
      <c r="AM90" s="103"/>
      <c r="AN90" s="103"/>
      <c r="AO90" s="103"/>
      <c r="AP90" s="103"/>
      <c r="AQ90" s="103"/>
      <c r="AR90" s="103"/>
      <c r="AS90" s="103"/>
      <c r="AT90" s="103"/>
      <c r="AU90" s="103"/>
      <c r="AV90" s="103"/>
      <c r="AW90" s="103"/>
      <c r="AX90" s="103"/>
      <c r="AY90" s="103"/>
      <c r="AZ90" s="103"/>
      <c r="BA90" s="103"/>
      <c r="BB90" s="103"/>
      <c r="BC90" s="103"/>
      <c r="BD90" s="103"/>
      <c r="BE90" s="103"/>
      <c r="BF90" s="103"/>
      <c r="BG90" s="103"/>
      <c r="BH90" s="103"/>
      <c r="BI90" s="103"/>
      <c r="BJ90" s="103"/>
      <c r="BK90" s="103"/>
      <c r="BL90" s="103"/>
      <c r="BM90" s="103"/>
      <c r="BN90" s="103"/>
      <c r="BO90" s="103"/>
      <c r="BP90" s="103"/>
      <c r="BQ90" s="103"/>
      <c r="BR90" s="103"/>
      <c r="BS90" s="103"/>
      <c r="BT90" s="103"/>
      <c r="BU90" s="103"/>
      <c r="BV90" s="103"/>
      <c r="BW90" s="103"/>
      <c r="BX90" s="6"/>
      <c r="BY90" s="6"/>
      <c r="BZ90" s="103"/>
      <c r="CA90" s="103"/>
      <c r="CB90" s="103"/>
      <c r="CC90" s="103"/>
    </row>
    <row r="91" spans="1:81" x14ac:dyDescent="0.2">
      <c r="A91" s="5"/>
      <c r="B91" s="5"/>
      <c r="C91" s="5"/>
      <c r="D91" s="5"/>
      <c r="E91" s="5"/>
      <c r="F91" s="5"/>
      <c r="G91" s="5"/>
      <c r="H91" s="5"/>
      <c r="I91" s="5"/>
      <c r="J91" s="5"/>
      <c r="K91" s="5"/>
      <c r="L91" s="35"/>
      <c r="M91" s="6"/>
      <c r="N91" s="6"/>
      <c r="O91" s="6"/>
      <c r="P91" s="6"/>
      <c r="Q91" s="108"/>
      <c r="R91" s="5"/>
      <c r="S91" s="5"/>
      <c r="T91" s="5"/>
      <c r="U91" s="5"/>
      <c r="V91" s="5"/>
      <c r="W91" s="5"/>
      <c r="X91" s="5"/>
      <c r="Y91" s="5"/>
      <c r="Z91" s="150"/>
      <c r="AA91" s="103"/>
      <c r="AB91" s="103"/>
      <c r="AC91" s="103"/>
      <c r="AD91" s="103"/>
      <c r="AE91" s="103"/>
      <c r="AF91" s="103"/>
      <c r="AG91" s="103"/>
      <c r="AH91" s="103"/>
      <c r="AI91" s="103"/>
      <c r="AJ91" s="103"/>
      <c r="AK91" s="103"/>
      <c r="AL91" s="103"/>
      <c r="AM91" s="103"/>
      <c r="AN91" s="103"/>
      <c r="AO91" s="103"/>
      <c r="AP91" s="103"/>
      <c r="AQ91" s="103"/>
      <c r="AR91" s="103"/>
      <c r="AS91" s="103"/>
      <c r="AT91" s="103"/>
      <c r="AU91" s="103"/>
      <c r="AV91" s="103"/>
      <c r="AW91" s="103"/>
      <c r="AX91" s="103"/>
      <c r="AY91" s="103"/>
      <c r="AZ91" s="103"/>
      <c r="BA91" s="103"/>
      <c r="BB91" s="103"/>
      <c r="BC91" s="103"/>
      <c r="BD91" s="103"/>
      <c r="BE91" s="103"/>
      <c r="BF91" s="103"/>
      <c r="BG91" s="103"/>
      <c r="BH91" s="103"/>
      <c r="BI91" s="103"/>
      <c r="BJ91" s="103"/>
      <c r="BK91" s="103"/>
      <c r="BL91" s="103"/>
      <c r="BM91" s="103"/>
      <c r="BN91" s="103"/>
      <c r="BO91" s="103"/>
      <c r="BP91" s="103"/>
      <c r="BQ91" s="103"/>
      <c r="BR91" s="103"/>
      <c r="BS91" s="103"/>
      <c r="BT91" s="103"/>
      <c r="BU91" s="103"/>
      <c r="BV91" s="103"/>
      <c r="BW91" s="103"/>
      <c r="BX91" s="6"/>
      <c r="BY91" s="6"/>
      <c r="BZ91" s="103"/>
      <c r="CA91" s="103"/>
      <c r="CB91" s="103"/>
      <c r="CC91" s="103"/>
    </row>
    <row r="92" spans="1:81" x14ac:dyDescent="0.2">
      <c r="A92" s="5"/>
      <c r="B92" s="5"/>
      <c r="C92" s="5"/>
      <c r="D92" s="5"/>
      <c r="E92" s="5"/>
      <c r="F92" s="5"/>
      <c r="G92" s="5"/>
      <c r="H92" s="5"/>
      <c r="I92" s="5"/>
      <c r="J92" s="5"/>
      <c r="K92" s="5"/>
      <c r="L92" s="35"/>
      <c r="M92" s="6"/>
      <c r="N92" s="6"/>
      <c r="O92" s="6"/>
      <c r="P92" s="6"/>
      <c r="Q92" s="108"/>
      <c r="R92" s="5"/>
      <c r="S92" s="5"/>
      <c r="T92" s="5"/>
      <c r="U92" s="5"/>
      <c r="V92" s="5"/>
      <c r="W92" s="5"/>
      <c r="X92" s="5"/>
      <c r="Y92" s="5"/>
      <c r="Z92" s="150"/>
      <c r="AA92" s="103"/>
      <c r="AB92" s="103"/>
      <c r="AC92" s="103"/>
      <c r="AD92" s="103"/>
      <c r="AE92" s="103"/>
      <c r="AF92" s="103"/>
      <c r="AG92" s="103"/>
      <c r="AH92" s="103"/>
      <c r="AI92" s="103"/>
      <c r="AJ92" s="103"/>
      <c r="AK92" s="103"/>
      <c r="AL92" s="103"/>
      <c r="AM92" s="103"/>
      <c r="AN92" s="103"/>
      <c r="AO92" s="103"/>
      <c r="AP92" s="103"/>
      <c r="AQ92" s="103"/>
      <c r="AR92" s="103"/>
      <c r="AS92" s="103"/>
      <c r="AT92" s="103"/>
      <c r="AU92" s="103"/>
      <c r="AV92" s="103"/>
      <c r="AW92" s="103"/>
      <c r="AX92" s="103"/>
      <c r="AY92" s="103"/>
      <c r="AZ92" s="103"/>
      <c r="BA92" s="103"/>
      <c r="BB92" s="103"/>
      <c r="BC92" s="103"/>
      <c r="BD92" s="103"/>
      <c r="BE92" s="103"/>
      <c r="BF92" s="103"/>
      <c r="BG92" s="103"/>
      <c r="BH92" s="103"/>
      <c r="BI92" s="103"/>
      <c r="BJ92" s="103"/>
      <c r="BK92" s="103"/>
      <c r="BL92" s="103"/>
      <c r="BM92" s="103"/>
      <c r="BN92" s="103"/>
      <c r="BO92" s="103"/>
      <c r="BP92" s="103"/>
      <c r="BQ92" s="103"/>
      <c r="BR92" s="103"/>
      <c r="BS92" s="103"/>
      <c r="BT92" s="103"/>
      <c r="BU92" s="103"/>
      <c r="BV92" s="103"/>
      <c r="BW92" s="103"/>
      <c r="BX92" s="6"/>
      <c r="BY92" s="6"/>
      <c r="BZ92" s="103"/>
      <c r="CA92" s="103"/>
      <c r="CB92" s="103"/>
      <c r="CC92" s="103"/>
    </row>
    <row r="93" spans="1:81" x14ac:dyDescent="0.2">
      <c r="A93" s="5"/>
      <c r="B93" s="5"/>
      <c r="C93" s="5"/>
      <c r="D93" s="5"/>
      <c r="E93" s="5"/>
      <c r="F93" s="5"/>
      <c r="G93" s="5"/>
      <c r="H93" s="5"/>
      <c r="I93" s="5"/>
      <c r="J93" s="5"/>
      <c r="K93" s="5"/>
      <c r="L93" s="35"/>
      <c r="M93" s="6"/>
      <c r="N93" s="6"/>
      <c r="O93" s="6"/>
      <c r="P93" s="6"/>
      <c r="Q93" s="108"/>
      <c r="R93" s="5"/>
      <c r="S93" s="5"/>
      <c r="T93" s="5"/>
      <c r="U93" s="5"/>
      <c r="V93" s="5"/>
      <c r="W93" s="5"/>
      <c r="X93" s="5"/>
      <c r="Y93" s="5"/>
      <c r="Z93" s="150"/>
      <c r="AA93" s="103"/>
      <c r="AB93" s="103"/>
      <c r="AC93" s="103"/>
      <c r="AD93" s="103"/>
      <c r="AE93" s="103"/>
      <c r="AF93" s="103"/>
      <c r="AG93" s="103"/>
      <c r="AH93" s="103"/>
      <c r="AI93" s="103"/>
      <c r="AJ93" s="103"/>
      <c r="AK93" s="103"/>
      <c r="AL93" s="103"/>
      <c r="AM93" s="103"/>
      <c r="AN93" s="103"/>
      <c r="AO93" s="103"/>
      <c r="AP93" s="103"/>
      <c r="AQ93" s="103"/>
      <c r="AR93" s="103"/>
      <c r="AS93" s="103"/>
      <c r="AT93" s="103"/>
      <c r="AU93" s="103"/>
      <c r="AV93" s="103"/>
      <c r="AW93" s="103"/>
      <c r="AX93" s="103"/>
      <c r="AY93" s="103"/>
      <c r="AZ93" s="103"/>
      <c r="BA93" s="103"/>
      <c r="BB93" s="103"/>
      <c r="BC93" s="103"/>
      <c r="BD93" s="103"/>
      <c r="BE93" s="103"/>
      <c r="BF93" s="103"/>
      <c r="BG93" s="103"/>
      <c r="BH93" s="103"/>
      <c r="BI93" s="103"/>
      <c r="BJ93" s="103"/>
      <c r="BK93" s="103"/>
      <c r="BL93" s="103"/>
      <c r="BM93" s="103"/>
      <c r="BN93" s="103"/>
      <c r="BO93" s="103"/>
      <c r="BP93" s="103"/>
      <c r="BQ93" s="103"/>
      <c r="BR93" s="103"/>
      <c r="BS93" s="103"/>
      <c r="BT93" s="103"/>
      <c r="BU93" s="103"/>
      <c r="BV93" s="103"/>
      <c r="BW93" s="103"/>
      <c r="BX93" s="6"/>
      <c r="BY93" s="6"/>
      <c r="BZ93" s="103"/>
      <c r="CA93" s="103"/>
      <c r="CB93" s="103"/>
      <c r="CC93" s="103"/>
    </row>
    <row r="94" spans="1:81" x14ac:dyDescent="0.2">
      <c r="A94" s="5"/>
      <c r="B94" s="5"/>
      <c r="C94" s="5"/>
      <c r="D94" s="5"/>
      <c r="E94" s="5"/>
      <c r="F94" s="5"/>
      <c r="G94" s="5"/>
      <c r="H94" s="5"/>
      <c r="I94" s="5"/>
      <c r="J94" s="5"/>
      <c r="K94" s="5"/>
      <c r="L94" s="35"/>
      <c r="M94" s="6"/>
      <c r="N94" s="6"/>
      <c r="O94" s="6"/>
      <c r="P94" s="6"/>
      <c r="Q94" s="108"/>
      <c r="R94" s="5"/>
      <c r="S94" s="5"/>
      <c r="T94" s="5"/>
      <c r="U94" s="5"/>
      <c r="V94" s="5"/>
      <c r="W94" s="5"/>
      <c r="X94" s="5"/>
      <c r="Y94" s="5"/>
      <c r="Z94" s="150"/>
      <c r="AA94" s="103"/>
      <c r="AB94" s="103"/>
      <c r="AC94" s="103"/>
      <c r="AD94" s="103"/>
      <c r="AE94" s="103"/>
      <c r="AF94" s="103"/>
      <c r="AG94" s="103"/>
      <c r="AH94" s="103"/>
      <c r="AI94" s="103"/>
      <c r="AJ94" s="103"/>
      <c r="AK94" s="103"/>
      <c r="AL94" s="103"/>
      <c r="AM94" s="103"/>
      <c r="AN94" s="103"/>
      <c r="AO94" s="103"/>
      <c r="AP94" s="103"/>
      <c r="AQ94" s="103"/>
      <c r="AR94" s="103"/>
      <c r="AS94" s="103"/>
      <c r="AT94" s="103"/>
      <c r="AU94" s="103"/>
      <c r="AV94" s="103"/>
      <c r="AW94" s="103"/>
      <c r="AX94" s="103"/>
      <c r="AY94" s="103"/>
      <c r="AZ94" s="103"/>
      <c r="BA94" s="103"/>
      <c r="BB94" s="103"/>
      <c r="BC94" s="103"/>
      <c r="BD94" s="103"/>
      <c r="BE94" s="103"/>
      <c r="BF94" s="103"/>
      <c r="BG94" s="103"/>
      <c r="BH94" s="103"/>
      <c r="BI94" s="103"/>
      <c r="BJ94" s="103"/>
      <c r="BK94" s="103"/>
      <c r="BL94" s="103"/>
      <c r="BM94" s="103"/>
      <c r="BN94" s="103"/>
      <c r="BO94" s="103"/>
      <c r="BP94" s="103"/>
      <c r="BQ94" s="103"/>
      <c r="BR94" s="103"/>
      <c r="BS94" s="103"/>
      <c r="BT94" s="103"/>
      <c r="BU94" s="103"/>
      <c r="BV94" s="103"/>
      <c r="BW94" s="103"/>
      <c r="BX94" s="6"/>
      <c r="BY94" s="6"/>
      <c r="BZ94" s="103"/>
      <c r="CA94" s="103"/>
      <c r="CB94" s="103"/>
      <c r="CC94" s="103"/>
    </row>
    <row r="95" spans="1:81" x14ac:dyDescent="0.2">
      <c r="A95" s="5"/>
      <c r="B95" s="5"/>
      <c r="C95" s="5"/>
      <c r="D95" s="5"/>
      <c r="E95" s="5"/>
      <c r="F95" s="5"/>
      <c r="G95" s="5"/>
      <c r="H95" s="5"/>
      <c r="I95" s="5"/>
      <c r="J95" s="5"/>
      <c r="K95" s="5"/>
      <c r="L95" s="35"/>
      <c r="M95" s="6"/>
      <c r="N95" s="6"/>
      <c r="O95" s="6"/>
      <c r="P95" s="6"/>
      <c r="Q95" s="108"/>
      <c r="R95" s="5"/>
      <c r="S95" s="5"/>
      <c r="T95" s="5"/>
      <c r="U95" s="5"/>
      <c r="V95" s="5"/>
      <c r="W95" s="5"/>
      <c r="X95" s="5"/>
      <c r="Y95" s="5"/>
      <c r="Z95" s="150"/>
      <c r="AA95" s="103"/>
      <c r="AB95" s="103"/>
      <c r="AC95" s="103"/>
      <c r="AD95" s="103"/>
      <c r="AE95" s="103"/>
      <c r="AF95" s="103"/>
      <c r="AG95" s="103"/>
      <c r="AH95" s="103"/>
      <c r="AI95" s="103"/>
      <c r="AJ95" s="103"/>
      <c r="AK95" s="103"/>
      <c r="AL95" s="103"/>
      <c r="AM95" s="103"/>
      <c r="AN95" s="103"/>
      <c r="AO95" s="103"/>
      <c r="AP95" s="103"/>
      <c r="AQ95" s="103"/>
      <c r="AR95" s="103"/>
      <c r="AS95" s="103"/>
      <c r="AT95" s="103"/>
      <c r="AU95" s="103"/>
      <c r="AV95" s="103"/>
      <c r="AW95" s="103"/>
      <c r="AX95" s="103"/>
      <c r="AY95" s="103"/>
      <c r="AZ95" s="103"/>
      <c r="BA95" s="103"/>
      <c r="BB95" s="103"/>
      <c r="BC95" s="103"/>
      <c r="BD95" s="103"/>
      <c r="BE95" s="103"/>
      <c r="BF95" s="103"/>
      <c r="BG95" s="103"/>
      <c r="BH95" s="103"/>
      <c r="BI95" s="103"/>
      <c r="BJ95" s="103"/>
      <c r="BK95" s="103"/>
      <c r="BL95" s="103"/>
      <c r="BM95" s="103"/>
      <c r="BN95" s="103"/>
      <c r="BO95" s="103"/>
      <c r="BP95" s="103"/>
      <c r="BQ95" s="103"/>
      <c r="BR95" s="103"/>
      <c r="BS95" s="103"/>
      <c r="BT95" s="103"/>
      <c r="BU95" s="103"/>
      <c r="BV95" s="103"/>
      <c r="BW95" s="103"/>
      <c r="BX95" s="6"/>
      <c r="BY95" s="6"/>
      <c r="BZ95" s="103"/>
      <c r="CA95" s="103"/>
      <c r="CB95" s="103"/>
      <c r="CC95" s="103"/>
    </row>
    <row r="96" spans="1:81" x14ac:dyDescent="0.2">
      <c r="A96" s="5"/>
      <c r="B96" s="5"/>
      <c r="C96" s="5"/>
      <c r="D96" s="5"/>
      <c r="E96" s="5"/>
      <c r="F96" s="5"/>
      <c r="G96" s="5"/>
      <c r="H96" s="5"/>
      <c r="I96" s="5"/>
      <c r="J96" s="5"/>
      <c r="K96" s="5"/>
      <c r="L96" s="35"/>
      <c r="M96" s="6"/>
      <c r="N96" s="6"/>
      <c r="O96" s="6"/>
      <c r="P96" s="6"/>
      <c r="Q96" s="108"/>
      <c r="R96" s="5"/>
      <c r="S96" s="5"/>
      <c r="T96" s="5"/>
      <c r="U96" s="5"/>
      <c r="V96" s="5"/>
      <c r="W96" s="5"/>
      <c r="X96" s="5"/>
      <c r="Y96" s="5"/>
      <c r="Z96" s="150"/>
      <c r="AA96" s="103"/>
      <c r="AB96" s="103"/>
      <c r="AC96" s="103"/>
      <c r="AD96" s="103"/>
      <c r="AE96" s="103"/>
      <c r="AF96" s="103"/>
      <c r="AG96" s="103"/>
      <c r="AH96" s="103"/>
      <c r="AI96" s="103"/>
      <c r="AJ96" s="103"/>
      <c r="AK96" s="103"/>
      <c r="AL96" s="103"/>
      <c r="AM96" s="103"/>
      <c r="AN96" s="103"/>
      <c r="AO96" s="103"/>
      <c r="AP96" s="103"/>
      <c r="AQ96" s="103"/>
      <c r="AR96" s="103"/>
      <c r="AS96" s="103"/>
      <c r="AT96" s="103"/>
      <c r="AU96" s="103"/>
      <c r="AV96" s="103"/>
      <c r="AW96" s="103"/>
      <c r="AX96" s="103"/>
      <c r="AY96" s="103"/>
      <c r="AZ96" s="103"/>
      <c r="BA96" s="103"/>
      <c r="BB96" s="103"/>
      <c r="BC96" s="103"/>
      <c r="BD96" s="103"/>
      <c r="BE96" s="103"/>
      <c r="BF96" s="103"/>
      <c r="BG96" s="103"/>
      <c r="BH96" s="103"/>
      <c r="BI96" s="103"/>
      <c r="BJ96" s="103"/>
      <c r="BK96" s="103"/>
      <c r="BL96" s="103"/>
      <c r="BM96" s="103"/>
      <c r="BN96" s="103"/>
      <c r="BO96" s="103"/>
      <c r="BP96" s="103"/>
      <c r="BQ96" s="103"/>
      <c r="BR96" s="103"/>
      <c r="BS96" s="103"/>
      <c r="BT96" s="103"/>
      <c r="BU96" s="103"/>
      <c r="BV96" s="103"/>
      <c r="BW96" s="103"/>
      <c r="BX96" s="6"/>
      <c r="BY96" s="6"/>
      <c r="BZ96" s="103"/>
      <c r="CA96" s="103"/>
      <c r="CB96" s="103"/>
      <c r="CC96" s="103"/>
    </row>
    <row r="97" spans="18:25" x14ac:dyDescent="0.2">
      <c r="R97" s="5"/>
      <c r="S97" s="5"/>
      <c r="T97" s="5"/>
      <c r="U97" s="5"/>
      <c r="V97" s="5"/>
      <c r="W97" s="5"/>
      <c r="X97" s="5"/>
      <c r="Y97" s="5"/>
    </row>
    <row r="98" spans="18:25" x14ac:dyDescent="0.2">
      <c r="R98" s="5"/>
      <c r="S98" s="5"/>
      <c r="T98" s="5"/>
      <c r="U98" s="5"/>
      <c r="V98" s="5"/>
      <c r="W98" s="5"/>
      <c r="X98" s="5"/>
      <c r="Y98" s="5"/>
    </row>
    <row r="99" spans="18:25" x14ac:dyDescent="0.2">
      <c r="R99" s="5"/>
      <c r="S99" s="5"/>
      <c r="T99" s="5"/>
      <c r="U99" s="5"/>
      <c r="V99" s="5"/>
      <c r="W99" s="5"/>
      <c r="X99" s="5"/>
      <c r="Y99" s="5"/>
    </row>
    <row r="100" spans="18:25" x14ac:dyDescent="0.2">
      <c r="R100" s="5"/>
      <c r="S100" s="5"/>
      <c r="T100" s="5"/>
      <c r="U100" s="5"/>
      <c r="V100" s="5"/>
      <c r="W100" s="5"/>
      <c r="X100" s="5"/>
      <c r="Y100" s="5"/>
    </row>
    <row r="101" spans="18:25" x14ac:dyDescent="0.2">
      <c r="R101" s="5"/>
      <c r="S101" s="5"/>
      <c r="T101" s="5"/>
      <c r="U101" s="5"/>
      <c r="V101" s="5"/>
      <c r="W101" s="5"/>
      <c r="X101" s="5"/>
      <c r="Y101" s="5"/>
    </row>
    <row r="102" spans="18:25" x14ac:dyDescent="0.2">
      <c r="R102" s="5"/>
      <c r="S102" s="5"/>
      <c r="T102" s="5"/>
      <c r="U102" s="5"/>
      <c r="V102" s="5"/>
      <c r="W102" s="5"/>
      <c r="X102" s="5"/>
      <c r="Y102" s="5"/>
    </row>
    <row r="103" spans="18:25" x14ac:dyDescent="0.2">
      <c r="R103" s="5"/>
      <c r="S103" s="5"/>
      <c r="T103" s="5"/>
      <c r="U103" s="5"/>
      <c r="V103" s="5"/>
      <c r="W103" s="5"/>
      <c r="X103" s="5"/>
      <c r="Y103" s="5"/>
    </row>
    <row r="104" spans="18:25" x14ac:dyDescent="0.2">
      <c r="R104" s="5"/>
      <c r="S104" s="5"/>
      <c r="T104" s="5"/>
      <c r="U104" s="5"/>
      <c r="V104" s="5"/>
      <c r="W104" s="5"/>
      <c r="X104" s="5"/>
      <c r="Y104" s="5"/>
    </row>
    <row r="105" spans="18:25" x14ac:dyDescent="0.2">
      <c r="R105" s="5"/>
      <c r="S105" s="5"/>
      <c r="T105" s="5"/>
      <c r="U105" s="5"/>
      <c r="V105" s="5"/>
      <c r="W105" s="5"/>
      <c r="X105" s="5"/>
      <c r="Y105" s="5"/>
    </row>
    <row r="106" spans="18:25" x14ac:dyDescent="0.2">
      <c r="R106" s="5"/>
      <c r="S106" s="5"/>
      <c r="T106" s="5"/>
      <c r="U106" s="5"/>
      <c r="V106" s="5"/>
      <c r="W106" s="5"/>
      <c r="X106" s="5"/>
      <c r="Y106" s="5"/>
    </row>
    <row r="107" spans="18:25" x14ac:dyDescent="0.2">
      <c r="R107" s="5"/>
      <c r="S107" s="5"/>
      <c r="T107" s="5"/>
      <c r="U107" s="5"/>
      <c r="V107" s="5"/>
      <c r="W107" s="5"/>
      <c r="X107" s="5"/>
      <c r="Y107" s="5"/>
    </row>
    <row r="108" spans="18:25" x14ac:dyDescent="0.2">
      <c r="R108" s="5"/>
      <c r="S108" s="5"/>
      <c r="T108" s="5"/>
      <c r="U108" s="5"/>
      <c r="V108" s="5"/>
      <c r="W108" s="5"/>
      <c r="X108" s="5"/>
      <c r="Y108" s="5"/>
    </row>
    <row r="109" spans="18:25" x14ac:dyDescent="0.2">
      <c r="R109" s="5"/>
      <c r="S109" s="5"/>
      <c r="T109" s="5"/>
      <c r="U109" s="5"/>
      <c r="V109" s="5"/>
      <c r="W109" s="5"/>
      <c r="X109" s="5"/>
      <c r="Y109" s="5"/>
    </row>
    <row r="110" spans="18:25" x14ac:dyDescent="0.2">
      <c r="R110" s="5"/>
      <c r="S110" s="5"/>
      <c r="T110" s="5"/>
      <c r="U110" s="5"/>
      <c r="V110" s="5"/>
      <c r="W110" s="5"/>
      <c r="X110" s="5"/>
      <c r="Y110" s="5"/>
    </row>
    <row r="111" spans="18:25" x14ac:dyDescent="0.2">
      <c r="R111" s="5"/>
      <c r="S111" s="5"/>
      <c r="T111" s="5"/>
      <c r="U111" s="5"/>
      <c r="V111" s="5"/>
      <c r="W111" s="5"/>
      <c r="X111" s="5"/>
      <c r="Y111" s="5"/>
    </row>
    <row r="112" spans="18:25" x14ac:dyDescent="0.2">
      <c r="R112" s="5"/>
      <c r="S112" s="5"/>
      <c r="T112" s="5"/>
      <c r="U112" s="5"/>
      <c r="V112" s="5"/>
      <c r="W112" s="5"/>
      <c r="X112" s="5"/>
      <c r="Y112" s="5"/>
    </row>
    <row r="113" spans="18:25" x14ac:dyDescent="0.2">
      <c r="R113" s="5"/>
      <c r="S113" s="5"/>
      <c r="T113" s="5"/>
      <c r="U113" s="5"/>
      <c r="V113" s="5"/>
      <c r="W113" s="5"/>
      <c r="X113" s="5"/>
      <c r="Y113" s="5"/>
    </row>
    <row r="114" spans="18:25" x14ac:dyDescent="0.2">
      <c r="R114" s="5"/>
      <c r="S114" s="5"/>
      <c r="T114" s="5"/>
      <c r="U114" s="5"/>
      <c r="V114" s="5"/>
      <c r="W114" s="5"/>
      <c r="X114" s="5"/>
      <c r="Y114" s="5"/>
    </row>
    <row r="115" spans="18:25" x14ac:dyDescent="0.2">
      <c r="R115" s="5"/>
      <c r="S115" s="5"/>
      <c r="T115" s="5"/>
      <c r="U115" s="5"/>
      <c r="V115" s="5"/>
      <c r="W115" s="5"/>
      <c r="X115" s="5"/>
      <c r="Y115" s="5"/>
    </row>
    <row r="116" spans="18:25" x14ac:dyDescent="0.2">
      <c r="R116" s="5"/>
      <c r="S116" s="5"/>
      <c r="T116" s="5"/>
      <c r="U116" s="5"/>
      <c r="V116" s="5"/>
      <c r="W116" s="5"/>
      <c r="X116" s="5"/>
      <c r="Y116" s="5"/>
    </row>
    <row r="117" spans="18:25" x14ac:dyDescent="0.2">
      <c r="R117" s="5"/>
      <c r="S117" s="5"/>
      <c r="T117" s="5"/>
      <c r="U117" s="5"/>
      <c r="V117" s="5"/>
      <c r="W117" s="5"/>
      <c r="X117" s="5"/>
      <c r="Y117" s="5"/>
    </row>
    <row r="118" spans="18:25" x14ac:dyDescent="0.2">
      <c r="R118" s="5"/>
      <c r="S118" s="5"/>
      <c r="T118" s="5"/>
      <c r="U118" s="5"/>
      <c r="V118" s="5"/>
      <c r="W118" s="5"/>
      <c r="X118" s="5"/>
      <c r="Y118" s="5"/>
    </row>
    <row r="119" spans="18:25" x14ac:dyDescent="0.2">
      <c r="R119" s="5"/>
      <c r="S119" s="5"/>
      <c r="T119" s="5"/>
      <c r="U119" s="5"/>
      <c r="V119" s="5"/>
      <c r="W119" s="5"/>
      <c r="X119" s="5"/>
      <c r="Y119" s="5"/>
    </row>
    <row r="120" spans="18:25" x14ac:dyDescent="0.2">
      <c r="R120" s="5"/>
      <c r="S120" s="5"/>
      <c r="T120" s="5"/>
      <c r="U120" s="5"/>
      <c r="V120" s="5"/>
      <c r="W120" s="5"/>
      <c r="X120" s="5"/>
      <c r="Y120" s="5"/>
    </row>
    <row r="121" spans="18:25" x14ac:dyDescent="0.2">
      <c r="R121" s="5"/>
      <c r="S121" s="5"/>
      <c r="T121" s="5"/>
      <c r="U121" s="5"/>
      <c r="V121" s="5"/>
      <c r="W121" s="5"/>
      <c r="X121" s="5"/>
      <c r="Y121" s="5"/>
    </row>
    <row r="122" spans="18:25" x14ac:dyDescent="0.2">
      <c r="R122" s="5"/>
      <c r="S122" s="5"/>
      <c r="T122" s="5"/>
      <c r="U122" s="5"/>
      <c r="V122" s="5"/>
      <c r="W122" s="5"/>
      <c r="X122" s="5"/>
      <c r="Y122" s="5"/>
    </row>
    <row r="123" spans="18:25" x14ac:dyDescent="0.2">
      <c r="R123" s="5"/>
      <c r="S123" s="5"/>
      <c r="T123" s="5"/>
      <c r="U123" s="5"/>
      <c r="V123" s="5"/>
      <c r="W123" s="5"/>
      <c r="X123" s="5"/>
      <c r="Y123" s="5"/>
    </row>
    <row r="124" spans="18:25" x14ac:dyDescent="0.2">
      <c r="R124" s="5"/>
      <c r="S124" s="5"/>
      <c r="T124" s="5"/>
      <c r="U124" s="5"/>
      <c r="V124" s="5"/>
      <c r="W124" s="5"/>
      <c r="X124" s="5"/>
      <c r="Y124" s="5"/>
    </row>
    <row r="125" spans="18:25" x14ac:dyDescent="0.2">
      <c r="R125" s="5"/>
      <c r="S125" s="5"/>
      <c r="T125" s="5"/>
      <c r="U125" s="5"/>
      <c r="V125" s="5"/>
      <c r="W125" s="5"/>
      <c r="X125" s="5"/>
      <c r="Y125" s="5"/>
    </row>
    <row r="126" spans="18:25" x14ac:dyDescent="0.2">
      <c r="R126" s="5"/>
      <c r="S126" s="5"/>
      <c r="T126" s="5"/>
      <c r="U126" s="5"/>
      <c r="V126" s="5"/>
      <c r="W126" s="5"/>
      <c r="X126" s="5"/>
      <c r="Y126" s="5"/>
    </row>
    <row r="127" spans="18:25" x14ac:dyDescent="0.2">
      <c r="R127" s="5"/>
      <c r="S127" s="5"/>
      <c r="T127" s="5"/>
      <c r="U127" s="5"/>
      <c r="V127" s="5"/>
      <c r="W127" s="5"/>
      <c r="X127" s="5"/>
      <c r="Y127" s="5"/>
    </row>
    <row r="128" spans="18:25" x14ac:dyDescent="0.2">
      <c r="R128" s="5"/>
      <c r="S128" s="5"/>
      <c r="T128" s="5"/>
      <c r="U128" s="5"/>
      <c r="V128" s="5"/>
      <c r="W128" s="5"/>
      <c r="X128" s="5"/>
      <c r="Y128" s="5"/>
    </row>
    <row r="129" spans="18:25" x14ac:dyDescent="0.2">
      <c r="R129" s="5"/>
      <c r="S129" s="5"/>
      <c r="T129" s="5"/>
      <c r="U129" s="5"/>
      <c r="V129" s="5"/>
      <c r="W129" s="5"/>
      <c r="X129" s="5"/>
      <c r="Y129" s="5"/>
    </row>
    <row r="130" spans="18:25" x14ac:dyDescent="0.2">
      <c r="R130" s="5"/>
      <c r="S130" s="5"/>
      <c r="T130" s="5"/>
      <c r="U130" s="5"/>
      <c r="V130" s="5"/>
      <c r="W130" s="5"/>
      <c r="X130" s="5"/>
      <c r="Y130" s="5"/>
    </row>
    <row r="131" spans="18:25" x14ac:dyDescent="0.2">
      <c r="R131" s="5"/>
      <c r="S131" s="5"/>
      <c r="T131" s="5"/>
      <c r="U131" s="5"/>
      <c r="V131" s="5"/>
      <c r="W131" s="5"/>
      <c r="X131" s="5"/>
      <c r="Y131" s="5"/>
    </row>
    <row r="132" spans="18:25" x14ac:dyDescent="0.2">
      <c r="R132" s="5"/>
      <c r="S132" s="5"/>
      <c r="T132" s="5"/>
      <c r="U132" s="5"/>
      <c r="V132" s="5"/>
      <c r="W132" s="5"/>
      <c r="X132" s="5"/>
      <c r="Y132" s="5"/>
    </row>
    <row r="133" spans="18:25" x14ac:dyDescent="0.2">
      <c r="R133" s="5"/>
      <c r="S133" s="5"/>
      <c r="T133" s="5"/>
      <c r="U133" s="5"/>
      <c r="V133" s="5"/>
      <c r="W133" s="5"/>
      <c r="X133" s="5"/>
      <c r="Y133" s="5"/>
    </row>
    <row r="134" spans="18:25" x14ac:dyDescent="0.2">
      <c r="R134" s="5"/>
      <c r="S134" s="5"/>
      <c r="T134" s="5"/>
      <c r="U134" s="5"/>
      <c r="V134" s="5"/>
      <c r="W134" s="5"/>
      <c r="X134" s="5"/>
      <c r="Y134" s="5"/>
    </row>
    <row r="135" spans="18:25" x14ac:dyDescent="0.2">
      <c r="R135" s="5"/>
      <c r="S135" s="5"/>
      <c r="T135" s="5"/>
      <c r="U135" s="5"/>
      <c r="V135" s="5"/>
      <c r="W135" s="5"/>
      <c r="X135" s="5"/>
      <c r="Y135" s="5"/>
    </row>
    <row r="136" spans="18:25" x14ac:dyDescent="0.2">
      <c r="R136" s="5"/>
      <c r="S136" s="5"/>
      <c r="T136" s="5"/>
      <c r="U136" s="5"/>
      <c r="V136" s="5"/>
      <c r="W136" s="5"/>
      <c r="X136" s="5"/>
      <c r="Y136" s="5"/>
    </row>
    <row r="137" spans="18:25" x14ac:dyDescent="0.2">
      <c r="R137" s="5"/>
      <c r="S137" s="5"/>
      <c r="T137" s="5"/>
      <c r="U137" s="5"/>
      <c r="V137" s="5"/>
      <c r="W137" s="5"/>
      <c r="X137" s="5"/>
      <c r="Y137" s="5"/>
    </row>
    <row r="138" spans="18:25" x14ac:dyDescent="0.2">
      <c r="R138" s="5"/>
      <c r="S138" s="5"/>
      <c r="T138" s="5"/>
      <c r="U138" s="5"/>
      <c r="V138" s="5"/>
      <c r="W138" s="5"/>
      <c r="X138" s="5"/>
      <c r="Y138" s="5"/>
    </row>
    <row r="139" spans="18:25" x14ac:dyDescent="0.2">
      <c r="R139" s="5"/>
      <c r="S139" s="5"/>
      <c r="T139" s="5"/>
      <c r="U139" s="5"/>
      <c r="V139" s="5"/>
      <c r="W139" s="5"/>
      <c r="X139" s="5"/>
      <c r="Y139" s="5"/>
    </row>
    <row r="140" spans="18:25" x14ac:dyDescent="0.2">
      <c r="R140" s="5"/>
      <c r="S140" s="5"/>
      <c r="T140" s="5"/>
      <c r="U140" s="5"/>
      <c r="V140" s="5"/>
      <c r="W140" s="5"/>
      <c r="X140" s="5"/>
      <c r="Y140" s="5"/>
    </row>
    <row r="141" spans="18:25" x14ac:dyDescent="0.2">
      <c r="R141" s="5"/>
      <c r="S141" s="5"/>
      <c r="T141" s="5"/>
      <c r="U141" s="5"/>
      <c r="V141" s="5"/>
      <c r="W141" s="5"/>
      <c r="X141" s="5"/>
      <c r="Y141" s="5"/>
    </row>
    <row r="142" spans="18:25" x14ac:dyDescent="0.2">
      <c r="R142" s="5"/>
      <c r="S142" s="5"/>
      <c r="T142" s="5"/>
      <c r="U142" s="5"/>
      <c r="V142" s="5"/>
      <c r="W142" s="5"/>
      <c r="X142" s="5"/>
      <c r="Y142" s="5"/>
    </row>
    <row r="143" spans="18:25" x14ac:dyDescent="0.2">
      <c r="R143" s="5"/>
      <c r="S143" s="5"/>
      <c r="T143" s="5"/>
      <c r="U143" s="5"/>
      <c r="V143" s="5"/>
      <c r="W143" s="5"/>
      <c r="X143" s="5"/>
      <c r="Y143" s="5"/>
    </row>
    <row r="144" spans="18:25" x14ac:dyDescent="0.2">
      <c r="R144" s="5"/>
      <c r="S144" s="5"/>
      <c r="T144" s="5"/>
      <c r="U144" s="5"/>
      <c r="V144" s="5"/>
      <c r="W144" s="5"/>
      <c r="X144" s="5"/>
      <c r="Y144" s="5"/>
    </row>
    <row r="145" spans="18:25" x14ac:dyDescent="0.2">
      <c r="R145" s="5"/>
      <c r="S145" s="5"/>
      <c r="T145" s="5"/>
      <c r="U145" s="5"/>
      <c r="V145" s="5"/>
      <c r="W145" s="5"/>
      <c r="X145" s="5"/>
      <c r="Y145" s="5"/>
    </row>
    <row r="146" spans="18:25" x14ac:dyDescent="0.2">
      <c r="R146" s="5"/>
      <c r="S146" s="5"/>
      <c r="T146" s="5"/>
      <c r="U146" s="5"/>
      <c r="V146" s="5"/>
      <c r="W146" s="5"/>
      <c r="X146" s="5"/>
      <c r="Y146" s="5"/>
    </row>
    <row r="147" spans="18:25" x14ac:dyDescent="0.2">
      <c r="R147" s="5"/>
      <c r="S147" s="5"/>
      <c r="T147" s="5"/>
      <c r="U147" s="5"/>
      <c r="V147" s="5"/>
      <c r="W147" s="5"/>
      <c r="X147" s="5"/>
      <c r="Y147" s="5"/>
    </row>
    <row r="148" spans="18:25" x14ac:dyDescent="0.2">
      <c r="R148" s="5"/>
      <c r="S148" s="5"/>
      <c r="T148" s="5"/>
      <c r="U148" s="5"/>
      <c r="V148" s="5"/>
      <c r="W148" s="5"/>
      <c r="X148" s="5"/>
      <c r="Y148" s="5"/>
    </row>
    <row r="149" spans="18:25" x14ac:dyDescent="0.2">
      <c r="R149" s="5"/>
      <c r="S149" s="5"/>
      <c r="T149" s="5"/>
      <c r="U149" s="5"/>
      <c r="V149" s="5"/>
      <c r="W149" s="5"/>
      <c r="X149" s="5"/>
      <c r="Y149" s="5"/>
    </row>
    <row r="150" spans="18:25" x14ac:dyDescent="0.2">
      <c r="R150" s="5"/>
      <c r="S150" s="5"/>
      <c r="T150" s="5"/>
      <c r="U150" s="5"/>
      <c r="V150" s="5"/>
      <c r="W150" s="5"/>
      <c r="X150" s="5"/>
      <c r="Y150" s="5"/>
    </row>
    <row r="151" spans="18:25" x14ac:dyDescent="0.2">
      <c r="R151" s="5"/>
      <c r="S151" s="5"/>
      <c r="T151" s="5"/>
      <c r="U151" s="5"/>
      <c r="V151" s="5"/>
      <c r="W151" s="5"/>
      <c r="X151" s="5"/>
      <c r="Y151" s="5"/>
    </row>
    <row r="152" spans="18:25" x14ac:dyDescent="0.2">
      <c r="R152" s="5"/>
      <c r="S152" s="5"/>
      <c r="T152" s="5"/>
      <c r="U152" s="5"/>
      <c r="V152" s="5"/>
      <c r="W152" s="5"/>
      <c r="X152" s="5"/>
      <c r="Y152" s="5"/>
    </row>
    <row r="153" spans="18:25" x14ac:dyDescent="0.2">
      <c r="R153" s="5"/>
      <c r="S153" s="5"/>
      <c r="T153" s="5"/>
      <c r="U153" s="5"/>
      <c r="V153" s="5"/>
      <c r="W153" s="5"/>
      <c r="X153" s="5"/>
      <c r="Y153" s="5"/>
    </row>
    <row r="154" spans="18:25" x14ac:dyDescent="0.2">
      <c r="R154" s="5"/>
      <c r="S154" s="5"/>
      <c r="T154" s="5"/>
      <c r="U154" s="5"/>
      <c r="V154" s="5"/>
      <c r="W154" s="5"/>
      <c r="X154" s="5"/>
      <c r="Y154" s="5"/>
    </row>
    <row r="155" spans="18:25" x14ac:dyDescent="0.2">
      <c r="R155" s="5"/>
      <c r="S155" s="5"/>
      <c r="T155" s="5"/>
      <c r="U155" s="5"/>
      <c r="V155" s="5"/>
      <c r="W155" s="5"/>
      <c r="X155" s="5"/>
      <c r="Y155" s="5"/>
    </row>
    <row r="156" spans="18:25" x14ac:dyDescent="0.2">
      <c r="R156" s="5"/>
      <c r="S156" s="5"/>
      <c r="T156" s="5"/>
      <c r="U156" s="5"/>
      <c r="V156" s="5"/>
      <c r="W156" s="5"/>
      <c r="X156" s="5"/>
      <c r="Y156" s="5"/>
    </row>
    <row r="157" spans="18:25" x14ac:dyDescent="0.2">
      <c r="R157" s="5"/>
      <c r="S157" s="5"/>
      <c r="T157" s="5"/>
      <c r="U157" s="5"/>
      <c r="V157" s="5"/>
      <c r="W157" s="5"/>
      <c r="X157" s="5"/>
      <c r="Y157" s="5"/>
    </row>
    <row r="158" spans="18:25" x14ac:dyDescent="0.2">
      <c r="R158" s="5"/>
      <c r="S158" s="5"/>
      <c r="T158" s="5"/>
      <c r="U158" s="5"/>
      <c r="V158" s="5"/>
      <c r="W158" s="5"/>
      <c r="X158" s="5"/>
      <c r="Y158" s="5"/>
    </row>
    <row r="159" spans="18:25" x14ac:dyDescent="0.2">
      <c r="R159" s="5"/>
      <c r="S159" s="5"/>
      <c r="T159" s="5"/>
      <c r="U159" s="5"/>
      <c r="V159" s="5"/>
      <c r="W159" s="5"/>
      <c r="X159" s="5"/>
      <c r="Y159" s="5"/>
    </row>
    <row r="160" spans="18:25" x14ac:dyDescent="0.2">
      <c r="R160" s="5"/>
      <c r="S160" s="5"/>
      <c r="T160" s="5"/>
      <c r="U160" s="5"/>
      <c r="V160" s="5"/>
      <c r="W160" s="5"/>
      <c r="X160" s="5"/>
      <c r="Y160" s="5"/>
    </row>
    <row r="161" spans="18:25" x14ac:dyDescent="0.2">
      <c r="R161" s="5"/>
      <c r="S161" s="5"/>
      <c r="T161" s="5"/>
      <c r="U161" s="5"/>
      <c r="V161" s="5"/>
      <c r="W161" s="5"/>
      <c r="X161" s="5"/>
      <c r="Y161" s="5"/>
    </row>
    <row r="162" spans="18:25" x14ac:dyDescent="0.2">
      <c r="R162" s="5"/>
      <c r="S162" s="5"/>
      <c r="T162" s="5"/>
      <c r="U162" s="5"/>
      <c r="V162" s="5"/>
      <c r="W162" s="5"/>
      <c r="X162" s="5"/>
      <c r="Y162" s="5"/>
    </row>
    <row r="163" spans="18:25" x14ac:dyDescent="0.2">
      <c r="R163" s="5"/>
      <c r="S163" s="5"/>
      <c r="T163" s="5"/>
      <c r="U163" s="5"/>
      <c r="V163" s="5"/>
      <c r="W163" s="5"/>
      <c r="X163" s="5"/>
      <c r="Y163" s="5"/>
    </row>
    <row r="164" spans="18:25" x14ac:dyDescent="0.2">
      <c r="R164" s="5"/>
      <c r="S164" s="5"/>
      <c r="T164" s="5"/>
      <c r="U164" s="5"/>
      <c r="V164" s="5"/>
      <c r="W164" s="5"/>
      <c r="X164" s="5"/>
      <c r="Y164" s="5"/>
    </row>
    <row r="165" spans="18:25" x14ac:dyDescent="0.2">
      <c r="R165" s="5"/>
      <c r="S165" s="5"/>
      <c r="T165" s="5"/>
      <c r="U165" s="5"/>
      <c r="V165" s="5"/>
      <c r="W165" s="5"/>
      <c r="X165" s="5"/>
      <c r="Y165" s="5"/>
    </row>
    <row r="166" spans="18:25" x14ac:dyDescent="0.2">
      <c r="R166" s="5"/>
      <c r="S166" s="5"/>
      <c r="T166" s="5"/>
      <c r="U166" s="5"/>
      <c r="V166" s="5"/>
      <c r="W166" s="5"/>
      <c r="X166" s="5"/>
      <c r="Y166" s="5"/>
    </row>
    <row r="167" spans="18:25" x14ac:dyDescent="0.2">
      <c r="R167" s="5"/>
      <c r="S167" s="5"/>
      <c r="T167" s="5"/>
      <c r="U167" s="5"/>
      <c r="V167" s="5"/>
      <c r="W167" s="5"/>
      <c r="X167" s="5"/>
      <c r="Y167" s="5"/>
    </row>
    <row r="168" spans="18:25" x14ac:dyDescent="0.2">
      <c r="R168" s="5"/>
      <c r="S168" s="5"/>
      <c r="T168" s="5"/>
      <c r="U168" s="5"/>
      <c r="V168" s="5"/>
      <c r="W168" s="5"/>
      <c r="X168" s="5"/>
      <c r="Y168" s="5"/>
    </row>
    <row r="169" spans="18:25" x14ac:dyDescent="0.2">
      <c r="R169" s="5"/>
      <c r="S169" s="5"/>
      <c r="T169" s="5"/>
      <c r="U169" s="5"/>
      <c r="V169" s="5"/>
      <c r="W169" s="5"/>
      <c r="X169" s="5"/>
      <c r="Y169" s="5"/>
    </row>
    <row r="170" spans="18:25" x14ac:dyDescent="0.2">
      <c r="R170" s="5"/>
      <c r="S170" s="5"/>
      <c r="T170" s="5"/>
      <c r="U170" s="5"/>
      <c r="V170" s="5"/>
      <c r="W170" s="5"/>
      <c r="X170" s="5"/>
      <c r="Y170" s="5"/>
    </row>
    <row r="171" spans="18:25" x14ac:dyDescent="0.2">
      <c r="R171" s="5"/>
      <c r="S171" s="5"/>
      <c r="T171" s="5"/>
      <c r="U171" s="5"/>
      <c r="V171" s="5"/>
      <c r="W171" s="5"/>
      <c r="X171" s="5"/>
      <c r="Y171" s="5"/>
    </row>
    <row r="172" spans="18:25" x14ac:dyDescent="0.2">
      <c r="R172" s="5"/>
      <c r="S172" s="5"/>
      <c r="T172" s="5"/>
      <c r="U172" s="5"/>
      <c r="V172" s="5"/>
      <c r="W172" s="5"/>
      <c r="X172" s="5"/>
      <c r="Y172" s="5"/>
    </row>
    <row r="173" spans="18:25" x14ac:dyDescent="0.2">
      <c r="R173" s="5"/>
      <c r="S173" s="5"/>
      <c r="T173" s="5"/>
      <c r="U173" s="5"/>
      <c r="V173" s="5"/>
      <c r="W173" s="5"/>
      <c r="X173" s="5"/>
      <c r="Y173" s="5"/>
    </row>
    <row r="174" spans="18:25" x14ac:dyDescent="0.2">
      <c r="R174" s="5"/>
      <c r="S174" s="5"/>
      <c r="T174" s="5"/>
      <c r="U174" s="5"/>
      <c r="V174" s="5"/>
      <c r="W174" s="5"/>
      <c r="X174" s="5"/>
      <c r="Y174" s="5"/>
    </row>
    <row r="175" spans="18:25" x14ac:dyDescent="0.2">
      <c r="R175" s="5"/>
      <c r="S175" s="5"/>
      <c r="T175" s="5"/>
      <c r="U175" s="5"/>
      <c r="V175" s="5"/>
      <c r="W175" s="5"/>
      <c r="X175" s="5"/>
      <c r="Y175" s="5"/>
    </row>
    <row r="176" spans="18:25" x14ac:dyDescent="0.2">
      <c r="R176" s="5"/>
      <c r="S176" s="5"/>
      <c r="T176" s="5"/>
      <c r="U176" s="5"/>
      <c r="V176" s="5"/>
      <c r="W176" s="5"/>
      <c r="X176" s="5"/>
      <c r="Y176" s="5"/>
    </row>
    <row r="177" spans="18:25" x14ac:dyDescent="0.2">
      <c r="R177" s="5"/>
      <c r="S177" s="5"/>
      <c r="T177" s="5"/>
      <c r="U177" s="5"/>
      <c r="V177" s="5"/>
      <c r="W177" s="5"/>
      <c r="X177" s="5"/>
      <c r="Y177" s="5"/>
    </row>
    <row r="178" spans="18:25" x14ac:dyDescent="0.2">
      <c r="R178" s="5"/>
      <c r="S178" s="5"/>
      <c r="T178" s="5"/>
      <c r="U178" s="5"/>
      <c r="V178" s="5"/>
      <c r="W178" s="5"/>
      <c r="X178" s="5"/>
      <c r="Y178" s="5"/>
    </row>
    <row r="179" spans="18:25" x14ac:dyDescent="0.2">
      <c r="R179" s="5"/>
      <c r="S179" s="5"/>
      <c r="T179" s="5"/>
      <c r="U179" s="5"/>
      <c r="V179" s="5"/>
      <c r="W179" s="5"/>
      <c r="X179" s="5"/>
      <c r="Y179" s="5"/>
    </row>
    <row r="180" spans="18:25" x14ac:dyDescent="0.2">
      <c r="R180" s="5"/>
      <c r="S180" s="5"/>
      <c r="T180" s="5"/>
      <c r="U180" s="5"/>
      <c r="V180" s="5"/>
      <c r="W180" s="5"/>
      <c r="X180" s="5"/>
      <c r="Y180" s="5"/>
    </row>
    <row r="181" spans="18:25" x14ac:dyDescent="0.2">
      <c r="R181" s="5"/>
      <c r="S181" s="5"/>
      <c r="T181" s="5"/>
      <c r="U181" s="5"/>
      <c r="V181" s="5"/>
      <c r="W181" s="5"/>
      <c r="X181" s="5"/>
      <c r="Y181" s="5"/>
    </row>
    <row r="182" spans="18:25" x14ac:dyDescent="0.2">
      <c r="R182" s="5"/>
      <c r="S182" s="5"/>
      <c r="T182" s="5"/>
      <c r="U182" s="5"/>
      <c r="V182" s="5"/>
      <c r="W182" s="5"/>
      <c r="X182" s="5"/>
      <c r="Y182" s="5"/>
    </row>
    <row r="183" spans="18:25" x14ac:dyDescent="0.2">
      <c r="R183" s="5"/>
      <c r="S183" s="5"/>
      <c r="T183" s="5"/>
      <c r="U183" s="5"/>
      <c r="V183" s="5"/>
      <c r="W183" s="5"/>
      <c r="X183" s="5"/>
      <c r="Y183" s="5"/>
    </row>
    <row r="184" spans="18:25" x14ac:dyDescent="0.2">
      <c r="R184" s="5"/>
      <c r="S184" s="5"/>
      <c r="T184" s="5"/>
      <c r="U184" s="5"/>
      <c r="V184" s="5"/>
      <c r="W184" s="5"/>
      <c r="X184" s="5"/>
      <c r="Y184" s="5"/>
    </row>
    <row r="185" spans="18:25" x14ac:dyDescent="0.2">
      <c r="R185" s="5"/>
      <c r="S185" s="5"/>
      <c r="T185" s="5"/>
      <c r="U185" s="5"/>
      <c r="V185" s="5"/>
      <c r="W185" s="5"/>
      <c r="X185" s="5"/>
      <c r="Y185" s="5"/>
    </row>
    <row r="186" spans="18:25" x14ac:dyDescent="0.2">
      <c r="R186" s="5"/>
      <c r="S186" s="5"/>
      <c r="T186" s="5"/>
      <c r="U186" s="5"/>
      <c r="V186" s="5"/>
      <c r="W186" s="5"/>
      <c r="X186" s="5"/>
      <c r="Y186" s="5"/>
    </row>
    <row r="187" spans="18:25" x14ac:dyDescent="0.2">
      <c r="R187" s="5"/>
      <c r="S187" s="5"/>
      <c r="T187" s="5"/>
      <c r="U187" s="5"/>
      <c r="V187" s="5"/>
      <c r="W187" s="5"/>
      <c r="X187" s="5"/>
      <c r="Y187" s="5"/>
    </row>
    <row r="188" spans="18:25" x14ac:dyDescent="0.2">
      <c r="R188" s="5"/>
      <c r="S188" s="5"/>
      <c r="T188" s="5"/>
      <c r="U188" s="5"/>
      <c r="V188" s="5"/>
      <c r="W188" s="5"/>
      <c r="X188" s="5"/>
      <c r="Y188" s="5"/>
    </row>
    <row r="189" spans="18:25" x14ac:dyDescent="0.2">
      <c r="R189" s="5"/>
      <c r="S189" s="5"/>
      <c r="T189" s="5"/>
      <c r="U189" s="5"/>
      <c r="V189" s="5"/>
      <c r="W189" s="5"/>
      <c r="X189" s="5"/>
      <c r="Y189" s="5"/>
    </row>
    <row r="190" spans="18:25" x14ac:dyDescent="0.2">
      <c r="R190" s="5"/>
      <c r="S190" s="5"/>
      <c r="T190" s="5"/>
      <c r="U190" s="5"/>
      <c r="V190" s="5"/>
      <c r="W190" s="5"/>
      <c r="X190" s="5"/>
      <c r="Y190" s="5"/>
    </row>
    <row r="191" spans="18:25" x14ac:dyDescent="0.2">
      <c r="R191" s="5"/>
      <c r="S191" s="5"/>
      <c r="T191" s="5"/>
      <c r="U191" s="5"/>
      <c r="V191" s="5"/>
      <c r="W191" s="5"/>
      <c r="X191" s="5"/>
      <c r="Y191" s="5"/>
    </row>
    <row r="192" spans="18:25" x14ac:dyDescent="0.2">
      <c r="R192" s="5"/>
      <c r="S192" s="5"/>
      <c r="T192" s="5"/>
      <c r="U192" s="5"/>
      <c r="V192" s="5"/>
      <c r="W192" s="5"/>
      <c r="X192" s="5"/>
      <c r="Y192" s="5"/>
    </row>
    <row r="193" spans="18:25" x14ac:dyDescent="0.2">
      <c r="R193" s="5"/>
      <c r="S193" s="5"/>
      <c r="T193" s="5"/>
      <c r="U193" s="5"/>
      <c r="V193" s="5"/>
      <c r="W193" s="5"/>
      <c r="X193" s="5"/>
      <c r="Y193" s="5"/>
    </row>
    <row r="194" spans="18:25" x14ac:dyDescent="0.2">
      <c r="R194" s="5"/>
      <c r="S194" s="5"/>
      <c r="T194" s="5"/>
      <c r="U194" s="5"/>
      <c r="V194" s="5"/>
      <c r="W194" s="5"/>
      <c r="X194" s="5"/>
      <c r="Y194" s="5"/>
    </row>
    <row r="195" spans="18:25" x14ac:dyDescent="0.2">
      <c r="R195" s="5"/>
      <c r="S195" s="5"/>
      <c r="T195" s="5"/>
      <c r="U195" s="5"/>
      <c r="V195" s="5"/>
      <c r="W195" s="5"/>
      <c r="X195" s="5"/>
      <c r="Y195" s="5"/>
    </row>
    <row r="196" spans="18:25" x14ac:dyDescent="0.2">
      <c r="R196" s="5"/>
      <c r="S196" s="5"/>
      <c r="T196" s="5"/>
      <c r="U196" s="5"/>
      <c r="V196" s="5"/>
      <c r="W196" s="5"/>
      <c r="X196" s="5"/>
      <c r="Y196" s="5"/>
    </row>
    <row r="197" spans="18:25" x14ac:dyDescent="0.2">
      <c r="R197" s="5"/>
      <c r="S197" s="5"/>
      <c r="T197" s="5"/>
      <c r="U197" s="5"/>
      <c r="V197" s="5"/>
      <c r="W197" s="5"/>
      <c r="X197" s="5"/>
      <c r="Y197" s="5"/>
    </row>
    <row r="198" spans="18:25" x14ac:dyDescent="0.2">
      <c r="R198" s="5"/>
      <c r="S198" s="5"/>
      <c r="T198" s="5"/>
      <c r="U198" s="5"/>
      <c r="V198" s="5"/>
      <c r="W198" s="5"/>
      <c r="X198" s="5"/>
      <c r="Y198" s="5"/>
    </row>
    <row r="199" spans="18:25" x14ac:dyDescent="0.2">
      <c r="R199" s="5"/>
      <c r="S199" s="5"/>
      <c r="T199" s="5"/>
      <c r="U199" s="5"/>
      <c r="V199" s="5"/>
      <c r="W199" s="5"/>
      <c r="X199" s="5"/>
      <c r="Y199" s="5"/>
    </row>
    <row r="200" spans="18:25" x14ac:dyDescent="0.2">
      <c r="R200" s="5"/>
      <c r="S200" s="5"/>
      <c r="T200" s="5"/>
      <c r="U200" s="5"/>
      <c r="V200" s="5"/>
      <c r="W200" s="5"/>
      <c r="X200" s="5"/>
      <c r="Y200" s="5"/>
    </row>
    <row r="201" spans="18:25" x14ac:dyDescent="0.2">
      <c r="R201" s="5"/>
      <c r="S201" s="5"/>
      <c r="T201" s="5"/>
      <c r="U201" s="5"/>
      <c r="V201" s="5"/>
      <c r="W201" s="5"/>
      <c r="X201" s="5"/>
      <c r="Y201" s="5"/>
    </row>
    <row r="202" spans="18:25" x14ac:dyDescent="0.2">
      <c r="R202" s="5"/>
      <c r="S202" s="5"/>
      <c r="T202" s="5"/>
      <c r="U202" s="5"/>
      <c r="V202" s="5"/>
      <c r="W202" s="5"/>
      <c r="X202" s="5"/>
      <c r="Y202" s="5"/>
    </row>
    <row r="203" spans="18:25" x14ac:dyDescent="0.2">
      <c r="R203" s="5"/>
      <c r="S203" s="5"/>
      <c r="T203" s="5"/>
      <c r="U203" s="5"/>
      <c r="V203" s="5"/>
      <c r="W203" s="5"/>
      <c r="X203" s="5"/>
      <c r="Y203" s="5"/>
    </row>
    <row r="204" spans="18:25" x14ac:dyDescent="0.2">
      <c r="R204" s="5"/>
      <c r="S204" s="5"/>
      <c r="T204" s="5"/>
      <c r="U204" s="5"/>
      <c r="V204" s="5"/>
      <c r="W204" s="5"/>
      <c r="X204" s="5"/>
      <c r="Y204" s="5"/>
    </row>
    <row r="205" spans="18:25" x14ac:dyDescent="0.2">
      <c r="R205" s="5"/>
      <c r="S205" s="5"/>
      <c r="T205" s="5"/>
      <c r="U205" s="5"/>
      <c r="V205" s="5"/>
      <c r="W205" s="5"/>
      <c r="X205" s="5"/>
      <c r="Y205" s="5"/>
    </row>
    <row r="206" spans="18:25" x14ac:dyDescent="0.2">
      <c r="R206" s="5"/>
      <c r="S206" s="5"/>
      <c r="T206" s="5"/>
      <c r="U206" s="5"/>
      <c r="V206" s="5"/>
      <c r="W206" s="5"/>
      <c r="X206" s="5"/>
      <c r="Y206" s="5"/>
    </row>
    <row r="207" spans="18:25" x14ac:dyDescent="0.2">
      <c r="R207" s="5"/>
      <c r="S207" s="5"/>
      <c r="T207" s="5"/>
      <c r="U207" s="5"/>
      <c r="V207" s="5"/>
      <c r="W207" s="5"/>
      <c r="X207" s="5"/>
      <c r="Y207" s="5"/>
    </row>
    <row r="208" spans="18:25" x14ac:dyDescent="0.2">
      <c r="R208" s="5"/>
      <c r="S208" s="5"/>
      <c r="T208" s="5"/>
      <c r="U208" s="5"/>
      <c r="V208" s="5"/>
      <c r="W208" s="5"/>
      <c r="X208" s="5"/>
      <c r="Y208" s="5"/>
    </row>
    <row r="209" spans="18:25" x14ac:dyDescent="0.2">
      <c r="R209" s="5"/>
      <c r="S209" s="5"/>
      <c r="T209" s="5"/>
      <c r="U209" s="5"/>
      <c r="V209" s="5"/>
      <c r="W209" s="5"/>
      <c r="X209" s="5"/>
      <c r="Y209" s="5"/>
    </row>
  </sheetData>
  <dataConsolidate/>
  <mergeCells count="72">
    <mergeCell ref="BM8:BM9"/>
    <mergeCell ref="BO8:BO9"/>
    <mergeCell ref="AI8:AI9"/>
    <mergeCell ref="AQ7:AT7"/>
    <mergeCell ref="AU7:AV7"/>
    <mergeCell ref="AZ8:AZ9"/>
    <mergeCell ref="BK7:BL7"/>
    <mergeCell ref="BV8:BV9"/>
    <mergeCell ref="BP8:BP9"/>
    <mergeCell ref="BD7:BF7"/>
    <mergeCell ref="BJ8:BJ9"/>
    <mergeCell ref="BH7:BJ7"/>
    <mergeCell ref="BM7:BR7"/>
    <mergeCell ref="BH8:BH9"/>
    <mergeCell ref="BQ8:BQ9"/>
    <mergeCell ref="BI8:BI9"/>
    <mergeCell ref="BD8:BD9"/>
    <mergeCell ref="BZ8:BZ9"/>
    <mergeCell ref="BX8:BX9"/>
    <mergeCell ref="BW8:BW9"/>
    <mergeCell ref="BK8:BK9"/>
    <mergeCell ref="BL8:BL9"/>
    <mergeCell ref="BN8:BN9"/>
    <mergeCell ref="BU8:BU9"/>
    <mergeCell ref="BR8:BR9"/>
    <mergeCell ref="BS8:BS9"/>
    <mergeCell ref="BY8:BY9"/>
    <mergeCell ref="BG8:BG9"/>
    <mergeCell ref="BA8:BA9"/>
    <mergeCell ref="BF8:BF9"/>
    <mergeCell ref="AU8:AU9"/>
    <mergeCell ref="AK8:AK9"/>
    <mergeCell ref="BB8:BB9"/>
    <mergeCell ref="A1:J1"/>
    <mergeCell ref="L2:S2"/>
    <mergeCell ref="L4:S5"/>
    <mergeCell ref="D5:E5"/>
    <mergeCell ref="A2:J2"/>
    <mergeCell ref="AQ8:AQ9"/>
    <mergeCell ref="A8:L8"/>
    <mergeCell ref="A7:Y7"/>
    <mergeCell ref="Z8:Z9"/>
    <mergeCell ref="CB8:CB9"/>
    <mergeCell ref="CC8:CC9"/>
    <mergeCell ref="Z6:CC6"/>
    <mergeCell ref="CA8:CA9"/>
    <mergeCell ref="AV8:AV9"/>
    <mergeCell ref="AY8:AY9"/>
    <mergeCell ref="AB7:AD7"/>
    <mergeCell ref="AC8:AC9"/>
    <mergeCell ref="BE8:BE9"/>
    <mergeCell ref="BT7:BV7"/>
    <mergeCell ref="BX7:BY7"/>
    <mergeCell ref="BT8:BT9"/>
    <mergeCell ref="AH8:AH9"/>
    <mergeCell ref="AR8:AR9"/>
    <mergeCell ref="AS8:AS9"/>
    <mergeCell ref="BC8:BC9"/>
    <mergeCell ref="AN8:AN9"/>
    <mergeCell ref="AO8:AO9"/>
    <mergeCell ref="AT8:AT9"/>
    <mergeCell ref="AW8:AW9"/>
    <mergeCell ref="R8:Y8"/>
    <mergeCell ref="AP8:AP9"/>
    <mergeCell ref="AB8:AB9"/>
    <mergeCell ref="AD8:AD9"/>
    <mergeCell ref="AF8:AF9"/>
    <mergeCell ref="AE8:AE9"/>
    <mergeCell ref="AG8:AG9"/>
    <mergeCell ref="AM8:AM9"/>
    <mergeCell ref="AA8:AA9"/>
    <mergeCell ref="AJ8:AJ9"/>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placeOrder">
                <anchor moveWithCells="1">
                  <from>
                    <xdr:col>0</xdr:col>
                    <xdr:colOff>1238250</xdr:colOff>
                    <xdr:row>1</xdr:row>
                    <xdr:rowOff>85725</xdr:rowOff>
                  </from>
                  <to>
                    <xdr:col>2</xdr:col>
                    <xdr:colOff>762000</xdr:colOff>
                    <xdr:row>1</xdr:row>
                    <xdr:rowOff>285750</xdr:rowOff>
                  </to>
                </anchor>
              </controlPr>
            </control>
          </mc:Choice>
        </mc:AlternateContent>
        <mc:AlternateContent xmlns:mc="http://schemas.openxmlformats.org/markup-compatibility/2006">
          <mc:Choice Requires="x14">
            <control shapeId="2051" r:id="rId5" name="Button 3">
              <controlPr defaultSize="0" print="0" autoFill="0" autoPict="0" macro="[0]!Sheet2.cancelOrder">
                <anchor moveWithCells="1">
                  <from>
                    <xdr:col>3</xdr:col>
                    <xdr:colOff>314325</xdr:colOff>
                    <xdr:row>1</xdr:row>
                    <xdr:rowOff>85725</xdr:rowOff>
                  </from>
                  <to>
                    <xdr:col>5</xdr:col>
                    <xdr:colOff>457200</xdr:colOff>
                    <xdr:row>1</xdr:row>
                    <xdr:rowOff>285750</xdr:rowOff>
                  </to>
                </anchor>
              </controlPr>
            </control>
          </mc:Choice>
        </mc:AlternateContent>
        <mc:AlternateContent xmlns:mc="http://schemas.openxmlformats.org/markup-compatibility/2006">
          <mc:Choice Requires="x14">
            <control shapeId="2060" r:id="rId6" name="Button 12">
              <controlPr defaultSize="0" print="0" autoFill="0" autoPict="0" macro="[0]!Sheet2.onShowError">
                <anchor moveWithCells="1">
                  <from>
                    <xdr:col>8</xdr:col>
                    <xdr:colOff>419100</xdr:colOff>
                    <xdr:row>1</xdr:row>
                    <xdr:rowOff>76200</xdr:rowOff>
                  </from>
                  <to>
                    <xdr:col>9</xdr:col>
                    <xdr:colOff>190500</xdr:colOff>
                    <xdr:row>1</xdr:row>
                    <xdr:rowOff>276225</xdr:rowOff>
                  </to>
                </anchor>
              </controlPr>
            </control>
          </mc:Choice>
        </mc:AlternateContent>
        <mc:AlternateContent xmlns:mc="http://schemas.openxmlformats.org/markup-compatibility/2006">
          <mc:Choice Requires="x14">
            <control shapeId="2061" r:id="rId7" name="Button 13">
              <controlPr defaultSize="0" print="0" autoFill="0" autoPict="0" macro="[0]!createComboLegs">
                <anchor moveWithCells="1">
                  <from>
                    <xdr:col>0</xdr:col>
                    <xdr:colOff>123825</xdr:colOff>
                    <xdr:row>1</xdr:row>
                    <xdr:rowOff>85725</xdr:rowOff>
                  </from>
                  <to>
                    <xdr:col>0</xdr:col>
                    <xdr:colOff>1000125</xdr:colOff>
                    <xdr:row>1</xdr:row>
                    <xdr:rowOff>285750</xdr:rowOff>
                  </to>
                </anchor>
              </controlPr>
            </control>
          </mc:Choice>
        </mc:AlternateContent>
        <mc:AlternateContent xmlns:mc="http://schemas.openxmlformats.org/markup-compatibility/2006">
          <mc:Choice Requires="x14">
            <control shapeId="2063" r:id="rId8" name="Button 15">
              <controlPr defaultSize="0" print="0" autoFill="0" autoPict="0" macro="[0]!Sheet2.applyTemplate">
                <anchor moveWithCells="1">
                  <from>
                    <xdr:col>6</xdr:col>
                    <xdr:colOff>114300</xdr:colOff>
                    <xdr:row>1</xdr:row>
                    <xdr:rowOff>85725</xdr:rowOff>
                  </from>
                  <to>
                    <xdr:col>8</xdr:col>
                    <xdr:colOff>180975</xdr:colOff>
                    <xdr:row>1</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62"/>
  <sheetViews>
    <sheetView zoomScale="80" zoomScaleNormal="80" workbookViewId="0">
      <selection activeCell="D7" sqref="D7"/>
    </sheetView>
  </sheetViews>
  <sheetFormatPr defaultRowHeight="12.75" x14ac:dyDescent="0.2"/>
  <cols>
    <col min="3" max="3" width="29.85546875" customWidth="1"/>
    <col min="4" max="4" width="13.140625" customWidth="1"/>
    <col min="9" max="9" width="16" customWidth="1"/>
    <col min="10" max="10" width="114.5703125" customWidth="1"/>
  </cols>
  <sheetData>
    <row r="1" spans="1:24" s="7" customFormat="1" x14ac:dyDescent="0.2">
      <c r="A1" s="266" t="s">
        <v>69</v>
      </c>
      <c r="B1" s="268"/>
      <c r="C1" s="268"/>
      <c r="D1" s="268"/>
      <c r="E1" s="268"/>
      <c r="F1" s="268"/>
      <c r="G1" s="268"/>
      <c r="H1" s="268"/>
      <c r="I1" s="268"/>
      <c r="J1" s="25"/>
      <c r="L1"/>
      <c r="M1"/>
      <c r="N1"/>
      <c r="O1"/>
      <c r="P1"/>
      <c r="Q1"/>
      <c r="R1"/>
      <c r="S1"/>
      <c r="T1"/>
      <c r="U1"/>
      <c r="V1"/>
      <c r="W1"/>
      <c r="X1"/>
    </row>
    <row r="2" spans="1:24" s="7" customFormat="1" x14ac:dyDescent="0.2">
      <c r="A2" s="25"/>
      <c r="B2" s="25"/>
      <c r="C2" s="25"/>
      <c r="D2" s="25"/>
      <c r="E2" s="25"/>
      <c r="F2" s="25"/>
      <c r="G2" s="25"/>
      <c r="H2" s="25"/>
      <c r="I2" s="25"/>
      <c r="J2" s="25"/>
      <c r="L2"/>
      <c r="M2"/>
      <c r="N2"/>
      <c r="O2"/>
      <c r="P2"/>
      <c r="Q2"/>
      <c r="R2"/>
      <c r="S2"/>
      <c r="T2"/>
      <c r="U2"/>
      <c r="V2"/>
      <c r="W2"/>
      <c r="X2"/>
    </row>
    <row r="3" spans="1:24" s="7" customFormat="1" ht="12.75" customHeight="1" x14ac:dyDescent="0.2">
      <c r="A3" s="335" t="s">
        <v>427</v>
      </c>
      <c r="B3" s="336"/>
      <c r="C3" s="336"/>
      <c r="D3" s="336"/>
      <c r="E3" s="336"/>
      <c r="F3" s="336"/>
      <c r="G3" s="336"/>
      <c r="H3" s="336"/>
      <c r="I3" s="337"/>
      <c r="J3" s="25"/>
      <c r="L3"/>
      <c r="M3"/>
      <c r="N3"/>
      <c r="O3"/>
      <c r="P3"/>
      <c r="Q3"/>
      <c r="R3"/>
      <c r="S3"/>
      <c r="T3"/>
      <c r="U3"/>
      <c r="V3"/>
      <c r="W3"/>
      <c r="X3"/>
    </row>
    <row r="4" spans="1:24" s="7" customFormat="1" x14ac:dyDescent="0.2">
      <c r="A4" s="338"/>
      <c r="B4" s="339"/>
      <c r="C4" s="339"/>
      <c r="D4" s="339"/>
      <c r="E4" s="339"/>
      <c r="F4" s="339"/>
      <c r="G4" s="339"/>
      <c r="H4" s="339"/>
      <c r="I4" s="340"/>
      <c r="J4" s="25"/>
      <c r="L4"/>
      <c r="M4"/>
      <c r="N4"/>
      <c r="O4"/>
      <c r="P4"/>
      <c r="Q4"/>
      <c r="R4"/>
      <c r="S4"/>
      <c r="T4"/>
      <c r="U4"/>
      <c r="V4"/>
      <c r="W4"/>
      <c r="X4"/>
    </row>
    <row r="5" spans="1:24" s="7" customFormat="1" x14ac:dyDescent="0.2">
      <c r="A5" s="25"/>
      <c r="B5" s="25"/>
      <c r="C5" s="25"/>
      <c r="D5" s="25"/>
      <c r="E5" s="25"/>
      <c r="F5" s="25"/>
      <c r="G5" s="25"/>
      <c r="H5" s="25"/>
      <c r="I5" s="25"/>
      <c r="J5" s="25"/>
      <c r="L5"/>
      <c r="M5"/>
      <c r="N5"/>
      <c r="O5"/>
      <c r="P5"/>
      <c r="Q5"/>
      <c r="R5"/>
      <c r="S5"/>
      <c r="T5"/>
      <c r="U5"/>
      <c r="V5"/>
      <c r="W5"/>
      <c r="X5"/>
    </row>
    <row r="6" spans="1:24" s="7" customFormat="1" x14ac:dyDescent="0.2">
      <c r="A6" s="327" t="s">
        <v>70</v>
      </c>
      <c r="B6" s="328"/>
      <c r="C6" s="328"/>
      <c r="D6" s="51" t="s">
        <v>63</v>
      </c>
      <c r="E6" s="329" t="s">
        <v>75</v>
      </c>
      <c r="F6" s="330"/>
      <c r="G6" s="330"/>
      <c r="H6" s="330"/>
      <c r="I6" s="305"/>
      <c r="J6" s="285"/>
      <c r="K6" s="23"/>
      <c r="L6"/>
      <c r="M6"/>
      <c r="N6"/>
      <c r="O6"/>
      <c r="P6"/>
      <c r="Q6"/>
      <c r="R6"/>
      <c r="S6"/>
      <c r="T6"/>
      <c r="U6"/>
      <c r="V6"/>
      <c r="W6"/>
      <c r="X6"/>
    </row>
    <row r="7" spans="1:24" s="7" customFormat="1" ht="15" x14ac:dyDescent="0.25">
      <c r="A7" s="308" t="s">
        <v>76</v>
      </c>
      <c r="B7" s="309"/>
      <c r="C7" s="331"/>
      <c r="D7" s="190" t="s">
        <v>471</v>
      </c>
      <c r="E7" s="311" t="s">
        <v>410</v>
      </c>
      <c r="F7" s="312"/>
      <c r="G7" s="312"/>
      <c r="H7" s="312"/>
      <c r="I7" s="312"/>
      <c r="J7" s="313"/>
      <c r="K7" s="23"/>
      <c r="L7" s="23"/>
      <c r="M7" s="23"/>
      <c r="N7"/>
      <c r="O7"/>
      <c r="P7"/>
      <c r="Q7"/>
      <c r="R7"/>
      <c r="S7"/>
      <c r="T7"/>
    </row>
    <row r="8" spans="1:24" s="7" customFormat="1" ht="15" x14ac:dyDescent="0.25">
      <c r="A8" s="308" t="s">
        <v>71</v>
      </c>
      <c r="B8" s="309"/>
      <c r="C8" s="310"/>
      <c r="D8" s="171"/>
      <c r="E8" s="314" t="s">
        <v>301</v>
      </c>
      <c r="F8" s="315"/>
      <c r="G8" s="316"/>
      <c r="H8" s="316"/>
      <c r="I8" s="316"/>
      <c r="J8" s="317"/>
      <c r="K8" s="24"/>
      <c r="L8" s="23"/>
      <c r="M8" s="23"/>
      <c r="N8"/>
      <c r="O8"/>
      <c r="P8"/>
      <c r="Q8"/>
      <c r="R8"/>
      <c r="S8"/>
      <c r="T8"/>
    </row>
    <row r="9" spans="1:24" s="7" customFormat="1" ht="15" x14ac:dyDescent="0.25">
      <c r="A9" s="308" t="s">
        <v>285</v>
      </c>
      <c r="B9" s="309"/>
      <c r="C9" s="310"/>
      <c r="D9" s="191"/>
      <c r="E9" s="318" t="s">
        <v>405</v>
      </c>
      <c r="F9" s="315"/>
      <c r="G9" s="316"/>
      <c r="H9" s="316"/>
      <c r="I9" s="316"/>
      <c r="J9" s="317"/>
      <c r="K9" s="23"/>
      <c r="L9" s="23"/>
      <c r="M9" s="23"/>
      <c r="N9"/>
      <c r="O9"/>
      <c r="P9"/>
      <c r="Q9"/>
      <c r="R9"/>
      <c r="S9"/>
      <c r="T9"/>
    </row>
    <row r="10" spans="1:24" s="7" customFormat="1" ht="15" x14ac:dyDescent="0.25">
      <c r="A10" s="308" t="s">
        <v>286</v>
      </c>
      <c r="B10" s="309"/>
      <c r="C10" s="310"/>
      <c r="D10" s="171" t="s">
        <v>118</v>
      </c>
      <c r="E10" s="314" t="s">
        <v>401</v>
      </c>
      <c r="F10" s="315"/>
      <c r="G10" s="316"/>
      <c r="H10" s="316"/>
      <c r="I10" s="316"/>
      <c r="J10" s="317"/>
      <c r="K10" s="24"/>
      <c r="L10" s="23"/>
      <c r="M10" s="23"/>
      <c r="N10" s="23"/>
      <c r="O10"/>
      <c r="P10"/>
      <c r="Q10"/>
      <c r="R10"/>
      <c r="S10"/>
      <c r="T10" s="23"/>
    </row>
    <row r="11" spans="1:24" s="7" customFormat="1" ht="15" x14ac:dyDescent="0.25">
      <c r="A11" s="308" t="s">
        <v>287</v>
      </c>
      <c r="B11" s="309"/>
      <c r="C11" s="310"/>
      <c r="D11" s="171">
        <v>0</v>
      </c>
      <c r="E11" s="318" t="s">
        <v>411</v>
      </c>
      <c r="F11" s="315"/>
      <c r="G11" s="316"/>
      <c r="H11" s="316"/>
      <c r="I11" s="316"/>
      <c r="J11" s="317"/>
      <c r="K11" s="23"/>
      <c r="L11" s="23"/>
      <c r="M11" s="23"/>
      <c r="N11"/>
      <c r="O11"/>
      <c r="P11"/>
      <c r="Q11"/>
      <c r="R11"/>
      <c r="S11"/>
      <c r="T11" s="23"/>
    </row>
    <row r="12" spans="1:24" s="7" customFormat="1" ht="15" x14ac:dyDescent="0.25">
      <c r="A12" s="308" t="s">
        <v>73</v>
      </c>
      <c r="B12" s="309"/>
      <c r="C12" s="310"/>
      <c r="D12" s="171"/>
      <c r="E12" s="324" t="s">
        <v>425</v>
      </c>
      <c r="F12" s="325"/>
      <c r="G12" s="325"/>
      <c r="H12" s="325"/>
      <c r="I12" s="325"/>
      <c r="J12" s="326"/>
      <c r="K12" s="23"/>
      <c r="L12" s="23"/>
      <c r="M12"/>
      <c r="N12"/>
      <c r="O12"/>
      <c r="P12"/>
      <c r="Q12"/>
      <c r="R12"/>
      <c r="S12"/>
      <c r="T12" s="23"/>
    </row>
    <row r="13" spans="1:24" s="7" customFormat="1" ht="15" x14ac:dyDescent="0.25">
      <c r="A13" s="308" t="s">
        <v>74</v>
      </c>
      <c r="B13" s="309"/>
      <c r="C13" s="310"/>
      <c r="D13" s="171">
        <v>1</v>
      </c>
      <c r="E13" s="324" t="s">
        <v>409</v>
      </c>
      <c r="F13" s="325"/>
      <c r="G13" s="325"/>
      <c r="H13" s="325"/>
      <c r="I13" s="325"/>
      <c r="J13" s="326"/>
      <c r="K13"/>
      <c r="L13" s="23"/>
      <c r="M13"/>
      <c r="N13"/>
      <c r="O13"/>
      <c r="P13"/>
      <c r="Q13"/>
      <c r="R13"/>
      <c r="S13"/>
      <c r="T13" s="23"/>
    </row>
    <row r="14" spans="1:24" s="7" customFormat="1" ht="15" x14ac:dyDescent="0.25">
      <c r="A14" s="308" t="s">
        <v>82</v>
      </c>
      <c r="B14" s="309"/>
      <c r="C14" s="310"/>
      <c r="D14" s="171"/>
      <c r="E14" s="324" t="s">
        <v>413</v>
      </c>
      <c r="F14" s="325"/>
      <c r="G14" s="325"/>
      <c r="H14" s="325"/>
      <c r="I14" s="325"/>
      <c r="J14" s="326"/>
      <c r="K14" s="23"/>
      <c r="L14" s="23"/>
      <c r="M14"/>
      <c r="N14"/>
      <c r="O14"/>
      <c r="P14"/>
      <c r="Q14"/>
      <c r="R14"/>
      <c r="S14"/>
    </row>
    <row r="15" spans="1:24" s="7" customFormat="1" ht="15" x14ac:dyDescent="0.25">
      <c r="A15" s="308" t="s">
        <v>95</v>
      </c>
      <c r="B15" s="322"/>
      <c r="C15" s="323"/>
      <c r="D15" s="171">
        <v>0</v>
      </c>
      <c r="E15" s="161" t="s">
        <v>412</v>
      </c>
      <c r="F15" s="162"/>
      <c r="G15" s="162"/>
      <c r="H15" s="162"/>
      <c r="I15" s="162"/>
      <c r="J15" s="163"/>
      <c r="K15" s="23"/>
      <c r="L15" s="23"/>
      <c r="M15"/>
      <c r="N15"/>
      <c r="O15"/>
      <c r="P15"/>
      <c r="Q15"/>
      <c r="R15"/>
      <c r="S15"/>
    </row>
    <row r="16" spans="1:24" s="7" customFormat="1" ht="15" x14ac:dyDescent="0.25">
      <c r="A16" s="308" t="s">
        <v>98</v>
      </c>
      <c r="B16" s="322"/>
      <c r="C16" s="323"/>
      <c r="D16" s="171">
        <v>0</v>
      </c>
      <c r="E16" s="161" t="s">
        <v>407</v>
      </c>
      <c r="F16" s="164"/>
      <c r="G16" s="164"/>
      <c r="H16" s="164"/>
      <c r="I16" s="165"/>
      <c r="J16" s="166"/>
      <c r="K16" s="23"/>
      <c r="L16" s="23"/>
      <c r="M16" s="23"/>
      <c r="N16" s="23"/>
      <c r="O16"/>
      <c r="P16"/>
      <c r="Q16"/>
      <c r="R16"/>
      <c r="S16"/>
    </row>
    <row r="17" spans="1:20" s="7" customFormat="1" ht="15" x14ac:dyDescent="0.25">
      <c r="A17" s="308" t="s">
        <v>96</v>
      </c>
      <c r="B17" s="322"/>
      <c r="C17" s="323"/>
      <c r="D17" s="171">
        <v>0</v>
      </c>
      <c r="E17" s="161" t="s">
        <v>408</v>
      </c>
      <c r="F17" s="164"/>
      <c r="G17" s="164"/>
      <c r="H17" s="164"/>
      <c r="I17" s="165"/>
      <c r="J17" s="166"/>
      <c r="K17" s="23"/>
      <c r="L17" s="23"/>
      <c r="M17" s="23"/>
      <c r="N17" s="23"/>
      <c r="O17"/>
      <c r="P17"/>
      <c r="Q17"/>
      <c r="R17"/>
      <c r="S17"/>
    </row>
    <row r="18" spans="1:20" s="7" customFormat="1" ht="15" x14ac:dyDescent="0.25">
      <c r="A18" s="308" t="s">
        <v>97</v>
      </c>
      <c r="B18" s="322"/>
      <c r="C18" s="323"/>
      <c r="D18" s="171">
        <v>0</v>
      </c>
      <c r="E18" s="324" t="s">
        <v>300</v>
      </c>
      <c r="F18" s="325"/>
      <c r="G18" s="325"/>
      <c r="H18" s="325"/>
      <c r="I18" s="325"/>
      <c r="J18" s="326"/>
      <c r="K18" s="23"/>
      <c r="L18" s="23"/>
      <c r="M18" s="23"/>
      <c r="N18" s="23"/>
      <c r="O18"/>
      <c r="P18"/>
      <c r="Q18"/>
      <c r="R18"/>
      <c r="S18"/>
    </row>
    <row r="19" spans="1:20" s="7" customFormat="1" ht="15" hidden="1" x14ac:dyDescent="0.25">
      <c r="A19" s="70"/>
      <c r="B19" s="183"/>
      <c r="C19" s="176"/>
      <c r="D19" s="171"/>
      <c r="E19" s="161"/>
      <c r="F19" s="184"/>
      <c r="G19" s="184"/>
      <c r="H19" s="184"/>
      <c r="I19" s="184"/>
      <c r="J19" s="185"/>
      <c r="K19" s="23"/>
      <c r="L19" s="23"/>
      <c r="M19" s="23"/>
      <c r="N19" s="23"/>
      <c r="O19"/>
      <c r="P19"/>
      <c r="Q19"/>
      <c r="R19"/>
      <c r="S19"/>
    </row>
    <row r="20" spans="1:20" s="7" customFormat="1" ht="15" x14ac:dyDescent="0.25">
      <c r="A20" s="308" t="s">
        <v>112</v>
      </c>
      <c r="B20" s="322"/>
      <c r="C20" s="323"/>
      <c r="D20" s="171">
        <v>0</v>
      </c>
      <c r="E20" s="318" t="s">
        <v>406</v>
      </c>
      <c r="F20" s="315"/>
      <c r="G20" s="316"/>
      <c r="H20" s="316"/>
      <c r="I20" s="316"/>
      <c r="J20" s="317"/>
      <c r="K20" s="23"/>
      <c r="L20" s="23"/>
      <c r="M20" s="23"/>
      <c r="N20" s="23"/>
      <c r="O20"/>
      <c r="P20"/>
      <c r="Q20"/>
      <c r="R20"/>
      <c r="S20"/>
    </row>
    <row r="21" spans="1:20" ht="15" x14ac:dyDescent="0.25">
      <c r="A21" s="308" t="s">
        <v>288</v>
      </c>
      <c r="B21" s="322"/>
      <c r="C21" s="323"/>
      <c r="D21" s="171">
        <v>0</v>
      </c>
      <c r="E21" s="324" t="s">
        <v>414</v>
      </c>
      <c r="F21" s="325"/>
      <c r="G21" s="325"/>
      <c r="H21" s="325"/>
      <c r="I21" s="325"/>
      <c r="J21" s="326"/>
    </row>
    <row r="22" spans="1:20" ht="15" x14ac:dyDescent="0.25">
      <c r="A22" s="308" t="s">
        <v>135</v>
      </c>
      <c r="B22" s="322"/>
      <c r="C22" s="323"/>
      <c r="D22" s="190"/>
      <c r="E22" s="311" t="s">
        <v>303</v>
      </c>
      <c r="F22" s="312"/>
      <c r="G22" s="312"/>
      <c r="H22" s="312"/>
      <c r="I22" s="312"/>
      <c r="J22" s="313"/>
    </row>
    <row r="23" spans="1:20" ht="15" x14ac:dyDescent="0.25">
      <c r="A23" s="308" t="s">
        <v>136</v>
      </c>
      <c r="B23" s="322"/>
      <c r="C23" s="323"/>
      <c r="D23" s="190"/>
      <c r="E23" s="311" t="s">
        <v>303</v>
      </c>
      <c r="F23" s="312"/>
      <c r="G23" s="312"/>
      <c r="H23" s="312"/>
      <c r="I23" s="312"/>
      <c r="J23" s="313"/>
    </row>
    <row r="24" spans="1:20" ht="15" x14ac:dyDescent="0.25">
      <c r="A24" s="308" t="s">
        <v>289</v>
      </c>
      <c r="B24" s="322"/>
      <c r="C24" s="323"/>
      <c r="D24" s="171"/>
      <c r="E24" s="311" t="s">
        <v>404</v>
      </c>
      <c r="F24" s="312"/>
      <c r="G24" s="312"/>
      <c r="H24" s="312"/>
      <c r="I24" s="312"/>
      <c r="J24" s="313"/>
    </row>
    <row r="25" spans="1:20" ht="15" x14ac:dyDescent="0.25">
      <c r="A25" s="308" t="s">
        <v>290</v>
      </c>
      <c r="B25" s="322"/>
      <c r="C25" s="323"/>
      <c r="D25" s="171"/>
      <c r="E25" s="311" t="s">
        <v>415</v>
      </c>
      <c r="F25" s="312"/>
      <c r="G25" s="312"/>
      <c r="H25" s="312"/>
      <c r="I25" s="312"/>
      <c r="J25" s="313"/>
    </row>
    <row r="26" spans="1:20" ht="15" x14ac:dyDescent="0.25">
      <c r="A26" s="308" t="s">
        <v>291</v>
      </c>
      <c r="B26" s="322"/>
      <c r="C26" s="323"/>
      <c r="D26" s="171"/>
      <c r="E26" s="311" t="s">
        <v>403</v>
      </c>
      <c r="F26" s="312"/>
      <c r="G26" s="312"/>
      <c r="H26" s="312"/>
      <c r="I26" s="312"/>
      <c r="J26" s="313"/>
    </row>
    <row r="27" spans="1:20" ht="15" x14ac:dyDescent="0.25">
      <c r="A27" s="308" t="s">
        <v>292</v>
      </c>
      <c r="B27" s="322"/>
      <c r="C27" s="323"/>
      <c r="D27" s="171"/>
      <c r="E27" s="311" t="s">
        <v>402</v>
      </c>
      <c r="F27" s="312"/>
      <c r="G27" s="312"/>
      <c r="H27" s="312"/>
      <c r="I27" s="312"/>
      <c r="J27" s="313"/>
    </row>
    <row r="28" spans="1:20" s="7" customFormat="1" ht="15" x14ac:dyDescent="0.25">
      <c r="A28" s="308" t="s">
        <v>142</v>
      </c>
      <c r="B28" s="322"/>
      <c r="C28" s="323"/>
      <c r="D28" s="171"/>
      <c r="E28" s="314" t="s">
        <v>155</v>
      </c>
      <c r="F28" s="315"/>
      <c r="G28" s="316"/>
      <c r="H28" s="316"/>
      <c r="I28" s="316"/>
      <c r="J28" s="317"/>
      <c r="K28" s="23"/>
      <c r="L28" s="23"/>
      <c r="M28" s="23"/>
      <c r="N28" s="23"/>
      <c r="O28"/>
      <c r="P28"/>
      <c r="Q28"/>
      <c r="R28"/>
      <c r="S28"/>
      <c r="T28" s="23"/>
    </row>
    <row r="29" spans="1:20" s="7" customFormat="1" ht="15" x14ac:dyDescent="0.25">
      <c r="A29" s="308" t="s">
        <v>154</v>
      </c>
      <c r="B29" s="322"/>
      <c r="C29" s="323"/>
      <c r="D29" s="171"/>
      <c r="E29" s="314" t="s">
        <v>174</v>
      </c>
      <c r="F29" s="315"/>
      <c r="G29" s="316"/>
      <c r="H29" s="316"/>
      <c r="I29" s="316"/>
      <c r="J29" s="317"/>
      <c r="K29" s="23"/>
      <c r="L29" s="23"/>
      <c r="M29" s="23"/>
      <c r="N29" s="23"/>
      <c r="O29"/>
      <c r="P29"/>
      <c r="Q29"/>
      <c r="R29"/>
      <c r="S29"/>
      <c r="T29" s="23"/>
    </row>
    <row r="30" spans="1:20" s="7" customFormat="1" ht="15" x14ac:dyDescent="0.25">
      <c r="A30" s="308" t="s">
        <v>156</v>
      </c>
      <c r="B30" s="322"/>
      <c r="C30" s="323"/>
      <c r="D30" s="171"/>
      <c r="E30" s="314" t="s">
        <v>169</v>
      </c>
      <c r="F30" s="315"/>
      <c r="G30" s="316"/>
      <c r="H30" s="316"/>
      <c r="I30" s="316"/>
      <c r="J30" s="317"/>
      <c r="K30" s="23"/>
      <c r="L30" s="23"/>
      <c r="M30" s="23"/>
      <c r="N30" s="23"/>
      <c r="O30"/>
      <c r="P30"/>
      <c r="Q30"/>
      <c r="R30"/>
      <c r="S30"/>
      <c r="T30" s="23"/>
    </row>
    <row r="31" spans="1:20" s="7" customFormat="1" ht="15" hidden="1" x14ac:dyDescent="0.25">
      <c r="A31" s="70"/>
      <c r="B31" s="183"/>
      <c r="C31" s="176"/>
      <c r="D31" s="171"/>
      <c r="E31" s="175"/>
      <c r="F31" s="177"/>
      <c r="G31" s="181"/>
      <c r="H31" s="181"/>
      <c r="I31" s="181"/>
      <c r="J31" s="182"/>
      <c r="K31" s="23"/>
      <c r="L31" s="23"/>
      <c r="M31" s="23"/>
      <c r="N31" s="23"/>
      <c r="O31"/>
      <c r="P31"/>
      <c r="Q31"/>
      <c r="R31"/>
      <c r="S31"/>
      <c r="T31" s="23"/>
    </row>
    <row r="32" spans="1:20" s="7" customFormat="1" ht="15" x14ac:dyDescent="0.25">
      <c r="A32" s="308" t="s">
        <v>157</v>
      </c>
      <c r="B32" s="322"/>
      <c r="C32" s="323"/>
      <c r="D32" s="171"/>
      <c r="E32" s="314" t="s">
        <v>173</v>
      </c>
      <c r="F32" s="315"/>
      <c r="G32" s="319"/>
      <c r="H32" s="319"/>
      <c r="I32" s="319"/>
      <c r="J32" s="320"/>
      <c r="K32" s="23"/>
      <c r="L32" s="52"/>
      <c r="M32" s="23"/>
      <c r="N32" s="23"/>
      <c r="O32"/>
      <c r="P32"/>
      <c r="Q32"/>
      <c r="R32"/>
      <c r="S32"/>
      <c r="T32" s="23"/>
    </row>
    <row r="33" spans="1:20" s="7" customFormat="1" ht="15" x14ac:dyDescent="0.25">
      <c r="A33" s="308" t="s">
        <v>293</v>
      </c>
      <c r="B33" s="322"/>
      <c r="C33" s="323"/>
      <c r="D33" s="171"/>
      <c r="E33" s="318" t="s">
        <v>422</v>
      </c>
      <c r="F33" s="315"/>
      <c r="G33" s="316"/>
      <c r="H33" s="316"/>
      <c r="I33" s="316"/>
      <c r="J33" s="317"/>
      <c r="K33" s="23"/>
      <c r="L33" s="52"/>
      <c r="M33" s="23"/>
      <c r="N33" s="23"/>
      <c r="O33"/>
      <c r="P33"/>
      <c r="Q33"/>
      <c r="R33"/>
      <c r="S33"/>
      <c r="T33" s="23"/>
    </row>
    <row r="34" spans="1:20" s="7" customFormat="1" ht="15" x14ac:dyDescent="0.25">
      <c r="A34" s="308" t="s">
        <v>168</v>
      </c>
      <c r="B34" s="322"/>
      <c r="C34" s="323"/>
      <c r="D34" s="171"/>
      <c r="E34" s="318" t="s">
        <v>416</v>
      </c>
      <c r="F34" s="315"/>
      <c r="G34" s="316"/>
      <c r="H34" s="316"/>
      <c r="I34" s="316"/>
      <c r="J34" s="317"/>
      <c r="K34" s="23"/>
      <c r="L34" s="52"/>
      <c r="M34" s="23"/>
      <c r="N34" s="23"/>
      <c r="O34"/>
      <c r="P34"/>
      <c r="Q34"/>
      <c r="R34"/>
      <c r="S34"/>
      <c r="T34" s="23"/>
    </row>
    <row r="35" spans="1:20" s="7" customFormat="1" ht="15" x14ac:dyDescent="0.25">
      <c r="A35" s="308" t="s">
        <v>167</v>
      </c>
      <c r="B35" s="322"/>
      <c r="C35" s="323"/>
      <c r="D35" s="171"/>
      <c r="E35" s="318" t="s">
        <v>417</v>
      </c>
      <c r="F35" s="315"/>
      <c r="G35" s="316"/>
      <c r="H35" s="316"/>
      <c r="I35" s="316"/>
      <c r="J35" s="317"/>
      <c r="K35" s="23"/>
      <c r="L35" s="52"/>
      <c r="M35" s="23"/>
      <c r="N35" s="23"/>
      <c r="O35"/>
      <c r="P35"/>
      <c r="Q35"/>
      <c r="R35"/>
      <c r="S35"/>
      <c r="T35" s="23"/>
    </row>
    <row r="36" spans="1:20" s="7" customFormat="1" ht="15" x14ac:dyDescent="0.25">
      <c r="A36" s="308" t="s">
        <v>159</v>
      </c>
      <c r="B36" s="322"/>
      <c r="C36" s="323"/>
      <c r="D36" s="171"/>
      <c r="E36" s="314" t="s">
        <v>170</v>
      </c>
      <c r="F36" s="315"/>
      <c r="G36" s="316"/>
      <c r="H36" s="316"/>
      <c r="I36" s="316"/>
      <c r="J36" s="317"/>
      <c r="K36" s="23"/>
      <c r="L36" s="52"/>
      <c r="M36" s="23"/>
      <c r="N36" s="23"/>
      <c r="O36"/>
      <c r="P36"/>
      <c r="Q36"/>
      <c r="R36"/>
      <c r="S36"/>
      <c r="T36" s="23"/>
    </row>
    <row r="37" spans="1:20" s="7" customFormat="1" x14ac:dyDescent="0.2">
      <c r="A37" s="334" t="s">
        <v>419</v>
      </c>
      <c r="B37" s="322"/>
      <c r="C37" s="323"/>
      <c r="D37" s="172"/>
      <c r="E37" s="318" t="s">
        <v>420</v>
      </c>
      <c r="F37" s="315"/>
      <c r="G37" s="316"/>
      <c r="H37" s="316"/>
      <c r="I37" s="316"/>
      <c r="J37" s="317"/>
      <c r="K37" s="23"/>
      <c r="L37" s="52"/>
      <c r="M37" s="23"/>
      <c r="N37" s="23"/>
      <c r="O37"/>
      <c r="P37"/>
      <c r="Q37"/>
      <c r="R37"/>
      <c r="S37"/>
      <c r="T37" s="23"/>
    </row>
    <row r="38" spans="1:20" s="7" customFormat="1" x14ac:dyDescent="0.2">
      <c r="A38" s="334" t="s">
        <v>312</v>
      </c>
      <c r="B38" s="322"/>
      <c r="C38" s="323"/>
      <c r="D38" s="172"/>
      <c r="E38" s="318" t="s">
        <v>420</v>
      </c>
      <c r="F38" s="315"/>
      <c r="G38" s="316"/>
      <c r="H38" s="316"/>
      <c r="I38" s="316"/>
      <c r="J38" s="317"/>
      <c r="K38" s="23"/>
      <c r="L38" s="52"/>
      <c r="M38" s="23"/>
      <c r="N38" s="23"/>
      <c r="O38"/>
      <c r="P38"/>
      <c r="Q38"/>
      <c r="R38"/>
      <c r="S38"/>
      <c r="T38" s="23"/>
    </row>
    <row r="39" spans="1:20" s="7" customFormat="1" ht="15" x14ac:dyDescent="0.25">
      <c r="A39" s="308" t="s">
        <v>294</v>
      </c>
      <c r="B39" s="322"/>
      <c r="C39" s="323"/>
      <c r="D39" s="171"/>
      <c r="E39" s="318" t="s">
        <v>418</v>
      </c>
      <c r="F39" s="315"/>
      <c r="G39" s="316"/>
      <c r="H39" s="316"/>
      <c r="I39" s="316"/>
      <c r="J39" s="317"/>
      <c r="K39" s="23"/>
      <c r="L39" s="52"/>
      <c r="M39" s="23"/>
      <c r="N39" s="23"/>
      <c r="O39"/>
      <c r="P39"/>
      <c r="Q39"/>
      <c r="R39"/>
      <c r="S39"/>
      <c r="T39" s="23"/>
    </row>
    <row r="40" spans="1:20" s="7" customFormat="1" ht="15" x14ac:dyDescent="0.25">
      <c r="A40" s="308" t="s">
        <v>161</v>
      </c>
      <c r="B40" s="322"/>
      <c r="C40" s="323"/>
      <c r="D40" s="171"/>
      <c r="E40" s="314" t="s">
        <v>171</v>
      </c>
      <c r="F40" s="315"/>
      <c r="G40" s="316"/>
      <c r="H40" s="316"/>
      <c r="I40" s="316"/>
      <c r="J40" s="317"/>
      <c r="K40" s="23"/>
      <c r="L40" s="23"/>
      <c r="M40" s="23"/>
      <c r="N40" s="23"/>
      <c r="O40"/>
      <c r="P40"/>
      <c r="Q40"/>
      <c r="R40"/>
      <c r="S40"/>
      <c r="T40" s="23"/>
    </row>
    <row r="41" spans="1:20" s="7" customFormat="1" ht="15" x14ac:dyDescent="0.25">
      <c r="A41" s="308" t="s">
        <v>162</v>
      </c>
      <c r="B41" s="322"/>
      <c r="C41" s="323"/>
      <c r="D41" s="171"/>
      <c r="E41" s="318" t="s">
        <v>172</v>
      </c>
      <c r="F41" s="315"/>
      <c r="G41" s="316"/>
      <c r="H41" s="316"/>
      <c r="I41" s="316"/>
      <c r="J41" s="317"/>
      <c r="K41" s="23"/>
      <c r="L41" s="23"/>
      <c r="M41" s="23"/>
      <c r="N41" s="23"/>
      <c r="O41"/>
      <c r="P41"/>
      <c r="Q41"/>
      <c r="R41"/>
      <c r="S41"/>
      <c r="T41" s="23"/>
    </row>
    <row r="42" spans="1:20" s="7" customFormat="1" ht="15" x14ac:dyDescent="0.25">
      <c r="A42" s="308" t="s">
        <v>163</v>
      </c>
      <c r="B42" s="322"/>
      <c r="C42" s="323"/>
      <c r="D42" s="171"/>
      <c r="E42" s="314" t="s">
        <v>172</v>
      </c>
      <c r="F42" s="315"/>
      <c r="G42" s="316"/>
      <c r="H42" s="316"/>
      <c r="I42" s="316"/>
      <c r="J42" s="317"/>
      <c r="K42" s="23"/>
      <c r="L42" s="23"/>
      <c r="M42" s="23"/>
      <c r="N42" s="23"/>
      <c r="O42"/>
      <c r="P42"/>
      <c r="Q42"/>
      <c r="R42"/>
      <c r="S42"/>
      <c r="T42" s="23"/>
    </row>
    <row r="43" spans="1:20" s="7" customFormat="1" ht="15" x14ac:dyDescent="0.25">
      <c r="A43" s="308" t="s">
        <v>164</v>
      </c>
      <c r="B43" s="322"/>
      <c r="C43" s="323"/>
      <c r="D43" s="171"/>
      <c r="E43" s="314" t="s">
        <v>172</v>
      </c>
      <c r="F43" s="315"/>
      <c r="G43" s="316"/>
      <c r="H43" s="316"/>
      <c r="I43" s="316"/>
      <c r="J43" s="317"/>
      <c r="K43" s="23"/>
      <c r="L43" s="23"/>
      <c r="M43" s="23"/>
      <c r="N43" s="23"/>
      <c r="O43"/>
      <c r="P43"/>
      <c r="Q43"/>
      <c r="R43"/>
      <c r="S43"/>
      <c r="T43" s="23"/>
    </row>
    <row r="44" spans="1:20" s="7" customFormat="1" x14ac:dyDescent="0.2">
      <c r="A44" s="334" t="s">
        <v>423</v>
      </c>
      <c r="B44" s="322"/>
      <c r="C44" s="323"/>
      <c r="D44" s="172"/>
      <c r="E44" s="314" t="s">
        <v>201</v>
      </c>
      <c r="F44" s="315"/>
      <c r="G44" s="316"/>
      <c r="H44" s="316"/>
      <c r="I44" s="316"/>
      <c r="J44" s="317"/>
      <c r="K44" s="23"/>
      <c r="L44" s="23"/>
      <c r="M44" s="23"/>
      <c r="N44" s="23"/>
      <c r="O44"/>
      <c r="P44"/>
      <c r="Q44"/>
      <c r="R44"/>
      <c r="S44"/>
      <c r="T44" s="23"/>
    </row>
    <row r="45" spans="1:20" s="7" customFormat="1" x14ac:dyDescent="0.2">
      <c r="A45" s="334" t="s">
        <v>424</v>
      </c>
      <c r="B45" s="322"/>
      <c r="C45" s="323"/>
      <c r="D45" s="172"/>
      <c r="E45" s="314" t="s">
        <v>201</v>
      </c>
      <c r="F45" s="315"/>
      <c r="G45" s="316"/>
      <c r="H45" s="316"/>
      <c r="I45" s="316"/>
      <c r="J45" s="317"/>
      <c r="K45" s="23"/>
      <c r="L45" s="23"/>
      <c r="M45" s="23"/>
      <c r="N45" s="23"/>
      <c r="O45"/>
      <c r="P45"/>
      <c r="Q45"/>
      <c r="R45"/>
      <c r="S45"/>
      <c r="T45" s="23"/>
    </row>
    <row r="46" spans="1:20" s="7" customFormat="1" ht="15" x14ac:dyDescent="0.25">
      <c r="A46" s="308" t="s">
        <v>202</v>
      </c>
      <c r="B46" s="322"/>
      <c r="C46" s="323"/>
      <c r="D46" s="171"/>
      <c r="E46" s="314" t="s">
        <v>208</v>
      </c>
      <c r="F46" s="315"/>
      <c r="G46" s="316"/>
      <c r="H46" s="316"/>
      <c r="I46" s="316"/>
      <c r="J46" s="317"/>
      <c r="K46" s="23"/>
      <c r="L46" s="23"/>
      <c r="M46" s="23"/>
      <c r="N46" s="23"/>
      <c r="O46"/>
      <c r="P46"/>
      <c r="Q46"/>
      <c r="R46"/>
      <c r="S46"/>
      <c r="T46" s="23"/>
    </row>
    <row r="47" spans="1:20" s="7" customFormat="1" ht="15" x14ac:dyDescent="0.25">
      <c r="A47" s="308" t="s">
        <v>205</v>
      </c>
      <c r="B47" s="322"/>
      <c r="C47" s="323"/>
      <c r="D47" s="171"/>
      <c r="E47" s="314" t="s">
        <v>203</v>
      </c>
      <c r="F47" s="315"/>
      <c r="G47" s="316"/>
      <c r="H47" s="316"/>
      <c r="I47" s="316"/>
      <c r="J47" s="317"/>
      <c r="K47" s="23"/>
      <c r="L47" s="23"/>
      <c r="M47" s="23"/>
      <c r="N47" s="23"/>
      <c r="O47"/>
      <c r="P47"/>
      <c r="Q47"/>
      <c r="R47"/>
      <c r="S47"/>
      <c r="T47" s="23"/>
    </row>
    <row r="48" spans="1:20" s="7" customFormat="1" ht="15" x14ac:dyDescent="0.25">
      <c r="A48" s="308" t="s">
        <v>206</v>
      </c>
      <c r="B48" s="322"/>
      <c r="C48" s="323"/>
      <c r="D48" s="171"/>
      <c r="E48" s="314" t="s">
        <v>203</v>
      </c>
      <c r="F48" s="315"/>
      <c r="G48" s="316"/>
      <c r="H48" s="316"/>
      <c r="I48" s="316"/>
      <c r="J48" s="317"/>
      <c r="K48" s="23"/>
      <c r="L48" s="23"/>
      <c r="M48" s="23"/>
      <c r="N48" s="23"/>
      <c r="O48"/>
      <c r="P48"/>
      <c r="Q48"/>
      <c r="R48"/>
      <c r="S48"/>
      <c r="T48" s="23"/>
    </row>
    <row r="49" spans="1:20" s="7" customFormat="1" ht="15" x14ac:dyDescent="0.25">
      <c r="A49" s="308" t="s">
        <v>209</v>
      </c>
      <c r="B49" s="322"/>
      <c r="C49" s="323"/>
      <c r="D49" s="171"/>
      <c r="E49" s="314" t="s">
        <v>212</v>
      </c>
      <c r="F49" s="315"/>
      <c r="G49" s="316"/>
      <c r="H49" s="316"/>
      <c r="I49" s="316"/>
      <c r="J49" s="317"/>
      <c r="K49" s="23"/>
      <c r="L49" s="23"/>
      <c r="M49" s="23"/>
      <c r="N49" s="23"/>
      <c r="O49"/>
      <c r="P49"/>
      <c r="Q49"/>
      <c r="R49"/>
      <c r="S49"/>
      <c r="T49" s="23"/>
    </row>
    <row r="50" spans="1:20" s="7" customFormat="1" ht="15" x14ac:dyDescent="0.25">
      <c r="A50" s="308" t="s">
        <v>204</v>
      </c>
      <c r="B50" s="322"/>
      <c r="C50" s="323"/>
      <c r="D50" s="171"/>
      <c r="E50" s="314" t="s">
        <v>203</v>
      </c>
      <c r="F50" s="315"/>
      <c r="G50" s="316"/>
      <c r="H50" s="316"/>
      <c r="I50" s="316"/>
      <c r="J50" s="317"/>
      <c r="K50" s="23"/>
      <c r="L50" s="23"/>
      <c r="M50" s="23"/>
      <c r="N50" s="23"/>
      <c r="O50"/>
      <c r="P50"/>
      <c r="Q50"/>
      <c r="R50"/>
      <c r="S50"/>
      <c r="T50" s="23"/>
    </row>
    <row r="51" spans="1:20" s="7" customFormat="1" ht="15" x14ac:dyDescent="0.25">
      <c r="A51" s="308" t="s">
        <v>210</v>
      </c>
      <c r="B51" s="322"/>
      <c r="C51" s="323"/>
      <c r="D51" s="171"/>
      <c r="E51" s="314" t="s">
        <v>211</v>
      </c>
      <c r="F51" s="315"/>
      <c r="G51" s="316"/>
      <c r="H51" s="316"/>
      <c r="I51" s="316"/>
      <c r="J51" s="317"/>
      <c r="K51" s="23"/>
      <c r="L51" s="23"/>
      <c r="M51" s="23"/>
      <c r="N51" s="23"/>
      <c r="O51"/>
      <c r="P51"/>
      <c r="Q51"/>
      <c r="R51"/>
      <c r="S51"/>
      <c r="T51" s="23"/>
    </row>
    <row r="52" spans="1:20" s="7" customFormat="1" ht="15" x14ac:dyDescent="0.25">
      <c r="A52" s="308" t="s">
        <v>264</v>
      </c>
      <c r="B52" s="309"/>
      <c r="C52" s="310"/>
      <c r="D52" s="171"/>
      <c r="E52" s="314" t="s">
        <v>431</v>
      </c>
      <c r="F52" s="315"/>
      <c r="G52" s="315"/>
      <c r="H52" s="315"/>
      <c r="I52" s="315"/>
      <c r="J52" s="321"/>
      <c r="K52" s="23"/>
      <c r="L52" s="52"/>
      <c r="M52" s="23"/>
      <c r="N52" s="23"/>
      <c r="O52"/>
      <c r="P52"/>
      <c r="Q52"/>
      <c r="R52"/>
      <c r="S52"/>
      <c r="T52" s="23"/>
    </row>
    <row r="53" spans="1:20" s="7" customFormat="1" ht="15" hidden="1" x14ac:dyDescent="0.25">
      <c r="A53" s="70"/>
      <c r="B53" s="174"/>
      <c r="C53" s="180"/>
      <c r="D53" s="171"/>
      <c r="E53" s="175"/>
      <c r="F53" s="177"/>
      <c r="G53" s="177"/>
      <c r="H53" s="177"/>
      <c r="I53" s="177"/>
      <c r="J53" s="173"/>
      <c r="K53" s="23"/>
      <c r="L53" s="52"/>
      <c r="M53" s="23"/>
      <c r="N53" s="23"/>
      <c r="O53"/>
      <c r="P53"/>
      <c r="Q53"/>
      <c r="R53"/>
      <c r="S53"/>
      <c r="T53" s="23"/>
    </row>
    <row r="54" spans="1:20" s="7" customFormat="1" ht="15" x14ac:dyDescent="0.25">
      <c r="A54" s="308" t="s">
        <v>357</v>
      </c>
      <c r="B54" s="309"/>
      <c r="C54" s="310"/>
      <c r="D54" s="171"/>
      <c r="E54" s="318" t="s">
        <v>362</v>
      </c>
      <c r="F54" s="332"/>
      <c r="G54" s="332"/>
      <c r="H54" s="332"/>
      <c r="I54" s="332"/>
      <c r="J54" s="333"/>
      <c r="K54" s="23"/>
      <c r="L54" s="52"/>
      <c r="M54" s="23"/>
      <c r="N54" s="23"/>
      <c r="O54"/>
      <c r="P54"/>
      <c r="Q54"/>
      <c r="R54"/>
      <c r="S54"/>
      <c r="T54" s="23"/>
    </row>
    <row r="55" spans="1:20" s="7" customFormat="1" ht="15" x14ac:dyDescent="0.25">
      <c r="A55" s="308" t="s">
        <v>358</v>
      </c>
      <c r="B55" s="309"/>
      <c r="C55" s="310"/>
      <c r="D55" s="171"/>
      <c r="E55" s="314" t="s">
        <v>362</v>
      </c>
      <c r="F55" s="315"/>
      <c r="G55" s="315"/>
      <c r="H55" s="315"/>
      <c r="I55" s="315"/>
      <c r="J55" s="321"/>
      <c r="K55" s="23"/>
      <c r="L55" s="52"/>
      <c r="M55" s="23"/>
      <c r="N55" s="23"/>
      <c r="O55"/>
      <c r="P55"/>
      <c r="Q55"/>
      <c r="R55"/>
      <c r="S55"/>
      <c r="T55" s="23"/>
    </row>
    <row r="56" spans="1:20" s="7" customFormat="1" ht="15" x14ac:dyDescent="0.25">
      <c r="A56" s="308" t="s">
        <v>363</v>
      </c>
      <c r="B56" s="309"/>
      <c r="C56" s="310"/>
      <c r="D56" s="189"/>
      <c r="E56" s="318" t="s">
        <v>421</v>
      </c>
      <c r="F56" s="315"/>
      <c r="G56" s="315"/>
      <c r="H56" s="315"/>
      <c r="I56" s="315"/>
      <c r="J56" s="321"/>
      <c r="K56" s="23"/>
      <c r="L56" s="52"/>
      <c r="M56" s="23"/>
      <c r="N56" s="23"/>
      <c r="O56"/>
      <c r="P56"/>
      <c r="Q56"/>
      <c r="R56"/>
      <c r="S56"/>
      <c r="T56" s="23"/>
    </row>
    <row r="57" spans="1:20" ht="15" x14ac:dyDescent="0.25">
      <c r="A57" s="308" t="s">
        <v>434</v>
      </c>
      <c r="B57" s="309"/>
      <c r="C57" s="310"/>
      <c r="D57" s="191"/>
      <c r="E57" s="318" t="s">
        <v>422</v>
      </c>
      <c r="F57" s="315"/>
      <c r="G57" s="316"/>
      <c r="H57" s="316"/>
      <c r="I57" s="316"/>
      <c r="J57" s="317"/>
    </row>
    <row r="58" spans="1:20" ht="15" x14ac:dyDescent="0.25">
      <c r="A58" s="308" t="s">
        <v>459</v>
      </c>
      <c r="B58" s="309"/>
      <c r="C58" s="310"/>
      <c r="D58" s="190"/>
      <c r="E58" s="318" t="s">
        <v>422</v>
      </c>
      <c r="F58" s="315"/>
      <c r="G58" s="316"/>
      <c r="H58" s="316"/>
      <c r="I58" s="316"/>
      <c r="J58" s="317"/>
    </row>
    <row r="59" spans="1:20" ht="15" x14ac:dyDescent="0.25">
      <c r="A59" s="308" t="s">
        <v>466</v>
      </c>
      <c r="B59" s="309"/>
      <c r="C59" s="310"/>
      <c r="D59" s="171">
        <v>0</v>
      </c>
      <c r="E59" s="314" t="s">
        <v>420</v>
      </c>
      <c r="F59" s="332"/>
      <c r="G59" s="332"/>
      <c r="H59" s="332"/>
      <c r="I59" s="332"/>
      <c r="J59" s="333"/>
    </row>
    <row r="60" spans="1:20" ht="15" x14ac:dyDescent="0.25">
      <c r="A60" s="308" t="s">
        <v>491</v>
      </c>
      <c r="B60" s="309"/>
      <c r="C60" s="310"/>
      <c r="D60" s="171">
        <v>0</v>
      </c>
      <c r="E60" s="314" t="s">
        <v>493</v>
      </c>
      <c r="F60" s="332"/>
      <c r="G60" s="332"/>
      <c r="H60" s="332"/>
      <c r="I60" s="332"/>
      <c r="J60" s="333"/>
    </row>
    <row r="61" spans="1:20" ht="15" x14ac:dyDescent="0.25">
      <c r="A61" s="308" t="s">
        <v>494</v>
      </c>
      <c r="B61" s="309"/>
      <c r="C61" s="310"/>
      <c r="D61" s="171"/>
      <c r="E61" s="314" t="s">
        <v>496</v>
      </c>
      <c r="F61" s="332"/>
      <c r="G61" s="332"/>
      <c r="H61" s="332"/>
      <c r="I61" s="332"/>
      <c r="J61" s="333"/>
    </row>
    <row r="62" spans="1:20" ht="15" x14ac:dyDescent="0.25">
      <c r="A62" s="308" t="s">
        <v>495</v>
      </c>
      <c r="B62" s="309"/>
      <c r="C62" s="310"/>
      <c r="D62" s="171"/>
      <c r="E62" s="314" t="s">
        <v>496</v>
      </c>
      <c r="F62" s="332"/>
      <c r="G62" s="332"/>
      <c r="H62" s="332"/>
      <c r="I62" s="332"/>
      <c r="J62" s="333"/>
    </row>
  </sheetData>
  <mergeCells count="107">
    <mergeCell ref="E59:J59"/>
    <mergeCell ref="A57:C57"/>
    <mergeCell ref="A60:C60"/>
    <mergeCell ref="E60:J60"/>
    <mergeCell ref="A61:C61"/>
    <mergeCell ref="E61:J61"/>
    <mergeCell ref="E48:J48"/>
    <mergeCell ref="E41:J41"/>
    <mergeCell ref="A62:C62"/>
    <mergeCell ref="E62:J62"/>
    <mergeCell ref="E49:J49"/>
    <mergeCell ref="E58:J58"/>
    <mergeCell ref="E56:J56"/>
    <mergeCell ref="A49:C49"/>
    <mergeCell ref="A58:C58"/>
    <mergeCell ref="E55:J55"/>
    <mergeCell ref="A36:C36"/>
    <mergeCell ref="A40:C40"/>
    <mergeCell ref="E57:J57"/>
    <mergeCell ref="A59:C59"/>
    <mergeCell ref="A1:I1"/>
    <mergeCell ref="A51:C51"/>
    <mergeCell ref="E51:J51"/>
    <mergeCell ref="A50:C50"/>
    <mergeCell ref="E50:J50"/>
    <mergeCell ref="E47:J47"/>
    <mergeCell ref="A46:C46"/>
    <mergeCell ref="A43:C43"/>
    <mergeCell ref="A3:I4"/>
    <mergeCell ref="E39:J39"/>
    <mergeCell ref="E40:J40"/>
    <mergeCell ref="E38:J38"/>
    <mergeCell ref="E37:J37"/>
    <mergeCell ref="A38:C38"/>
    <mergeCell ref="A39:C39"/>
    <mergeCell ref="A37:C37"/>
    <mergeCell ref="A33:C33"/>
    <mergeCell ref="A32:C32"/>
    <mergeCell ref="E33:J33"/>
    <mergeCell ref="E54:J54"/>
    <mergeCell ref="A55:C55"/>
    <mergeCell ref="A47:C47"/>
    <mergeCell ref="A45:C45"/>
    <mergeCell ref="A41:C41"/>
    <mergeCell ref="A54:C54"/>
    <mergeCell ref="A48:C48"/>
    <mergeCell ref="A30:C30"/>
    <mergeCell ref="E28:J28"/>
    <mergeCell ref="A29:C29"/>
    <mergeCell ref="E27:J27"/>
    <mergeCell ref="A56:C56"/>
    <mergeCell ref="E35:J35"/>
    <mergeCell ref="E34:J34"/>
    <mergeCell ref="E29:J29"/>
    <mergeCell ref="E30:J30"/>
    <mergeCell ref="A34:C34"/>
    <mergeCell ref="E26:J26"/>
    <mergeCell ref="A27:C27"/>
    <mergeCell ref="A24:C24"/>
    <mergeCell ref="A25:C25"/>
    <mergeCell ref="E24:J24"/>
    <mergeCell ref="E25:J25"/>
    <mergeCell ref="A26:C26"/>
    <mergeCell ref="E14:J14"/>
    <mergeCell ref="A10:C10"/>
    <mergeCell ref="A15:C15"/>
    <mergeCell ref="A11:C11"/>
    <mergeCell ref="A12:C12"/>
    <mergeCell ref="E12:J12"/>
    <mergeCell ref="E13:J13"/>
    <mergeCell ref="A13:C13"/>
    <mergeCell ref="A28:C28"/>
    <mergeCell ref="A17:C17"/>
    <mergeCell ref="A22:C22"/>
    <mergeCell ref="A6:C6"/>
    <mergeCell ref="E6:J6"/>
    <mergeCell ref="A7:C7"/>
    <mergeCell ref="A8:C8"/>
    <mergeCell ref="E10:J10"/>
    <mergeCell ref="E11:J11"/>
    <mergeCell ref="A14:C14"/>
    <mergeCell ref="E20:J20"/>
    <mergeCell ref="E21:J21"/>
    <mergeCell ref="E22:J22"/>
    <mergeCell ref="A16:C16"/>
    <mergeCell ref="A18:C18"/>
    <mergeCell ref="A20:C20"/>
    <mergeCell ref="A52:C52"/>
    <mergeCell ref="E52:J52"/>
    <mergeCell ref="A35:C35"/>
    <mergeCell ref="E42:J42"/>
    <mergeCell ref="E45:J45"/>
    <mergeCell ref="E46:J46"/>
    <mergeCell ref="E43:J43"/>
    <mergeCell ref="E44:J44"/>
    <mergeCell ref="A44:C44"/>
    <mergeCell ref="A42:C42"/>
    <mergeCell ref="A9:C9"/>
    <mergeCell ref="E7:J7"/>
    <mergeCell ref="E8:J8"/>
    <mergeCell ref="E9:J9"/>
    <mergeCell ref="E36:J36"/>
    <mergeCell ref="E32:J32"/>
    <mergeCell ref="E18:J18"/>
    <mergeCell ref="A23:C23"/>
    <mergeCell ref="E23:J23"/>
    <mergeCell ref="A21:C21"/>
  </mergeCells>
  <phoneticPr fontId="11"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J209"/>
  <sheetViews>
    <sheetView zoomScale="80" zoomScaleNormal="80" workbookViewId="0">
      <pane ySplit="9" topLeftCell="A10" activePane="bottomLeft" state="frozenSplit"/>
      <selection pane="bottomLeft" activeCell="D5" sqref="D5:E5"/>
    </sheetView>
  </sheetViews>
  <sheetFormatPr defaultRowHeight="12.75" x14ac:dyDescent="0.2"/>
  <cols>
    <col min="1" max="1" width="7.28515625" style="107" bestFit="1" customWidth="1"/>
    <col min="2" max="2" width="5" style="107" bestFit="1" customWidth="1"/>
    <col min="3" max="3" width="15.28515625" style="107" customWidth="1"/>
    <col min="4" max="4" width="8.5703125" style="107" customWidth="1"/>
    <col min="5" max="5" width="4.140625" style="107" bestFit="1" customWidth="1"/>
    <col min="6" max="6" width="8.42578125" style="107" customWidth="1"/>
    <col min="7" max="7" width="13.42578125" style="107" customWidth="1"/>
    <col min="8" max="8" width="11.42578125" style="107" customWidth="1"/>
    <col min="9" max="9" width="17" style="107" customWidth="1"/>
    <col min="10" max="10" width="10.7109375" style="107" customWidth="1"/>
    <col min="11" max="11" width="14.42578125" style="107" customWidth="1"/>
    <col min="12" max="12" width="6.28515625" style="107" bestFit="1" customWidth="1"/>
    <col min="13" max="13" width="8" style="107" bestFit="1" customWidth="1"/>
    <col min="14" max="14" width="10.140625" style="107" bestFit="1" customWidth="1"/>
    <col min="15" max="15" width="10.5703125" style="107" customWidth="1"/>
    <col min="16" max="16" width="11.140625" style="107" customWidth="1"/>
    <col min="17" max="17" width="9.28515625" customWidth="1"/>
    <col min="18" max="18" width="10.7109375" customWidth="1"/>
    <col min="19" max="19" width="7.28515625" customWidth="1"/>
    <col min="20" max="20" width="8.42578125" customWidth="1"/>
    <col min="21" max="22" width="10.7109375" customWidth="1"/>
    <col min="23" max="23" width="12.85546875" customWidth="1"/>
    <col min="24" max="24" width="11.85546875" customWidth="1"/>
    <col min="25" max="25" width="11.42578125" customWidth="1"/>
    <col min="26" max="26" width="9.7109375" style="107" bestFit="1" customWidth="1"/>
    <col min="27" max="27" width="9.85546875" style="107" customWidth="1"/>
    <col min="28" max="28" width="8" style="107" bestFit="1" customWidth="1"/>
    <col min="29" max="29" width="10.140625" style="107" customWidth="1"/>
    <col min="30" max="30" width="9" style="107" customWidth="1"/>
    <col min="31" max="43" width="9.140625" style="107"/>
    <col min="44" max="44" width="0" style="107" hidden="1" customWidth="1"/>
    <col min="45" max="55" width="9.140625" style="107"/>
    <col min="56" max="56" width="0" style="107" hidden="1" customWidth="1"/>
    <col min="57" max="64" width="9.140625" style="107"/>
    <col min="65" max="65" width="15.5703125" style="107" customWidth="1"/>
    <col min="66" max="77" width="9.140625" style="107"/>
    <col min="78" max="78" width="13" style="107" customWidth="1"/>
    <col min="79" max="79" width="13" style="107" hidden="1" customWidth="1"/>
    <col min="80" max="82" width="9.140625" style="107"/>
    <col min="83" max="83" width="13.140625" style="107" customWidth="1"/>
    <col min="84" max="84" width="14.5703125" style="107" customWidth="1"/>
    <col min="85" max="86" width="9.140625" style="107"/>
    <col min="87" max="87" width="10.28515625" style="107" customWidth="1"/>
    <col min="88" max="88" width="10.7109375" style="107" customWidth="1"/>
    <col min="89" max="16384" width="9.140625" style="107"/>
  </cols>
  <sheetData>
    <row r="1" spans="1:88" s="7" customFormat="1" x14ac:dyDescent="0.2">
      <c r="A1" s="293" t="s">
        <v>47</v>
      </c>
      <c r="B1" s="356"/>
      <c r="C1" s="356"/>
      <c r="D1" s="356"/>
      <c r="E1" s="356"/>
      <c r="F1" s="356"/>
      <c r="G1" s="356"/>
      <c r="H1" s="356"/>
      <c r="I1" s="356"/>
      <c r="J1" s="356"/>
      <c r="K1" s="357"/>
      <c r="L1" s="47"/>
      <c r="M1" s="47"/>
      <c r="N1" s="47"/>
      <c r="O1"/>
      <c r="P1"/>
      <c r="Q1"/>
      <c r="R1"/>
      <c r="S1"/>
      <c r="T1"/>
      <c r="U1"/>
      <c r="V1"/>
      <c r="W1"/>
      <c r="X1"/>
      <c r="Y1"/>
      <c r="Z1"/>
      <c r="AA1"/>
      <c r="AB1"/>
      <c r="AC1"/>
      <c r="AD1"/>
      <c r="AE1"/>
    </row>
    <row r="2" spans="1:88" s="7" customFormat="1" ht="26.25" customHeight="1" x14ac:dyDescent="0.2">
      <c r="A2" s="303"/>
      <c r="B2" s="356"/>
      <c r="C2" s="356"/>
      <c r="D2" s="356"/>
      <c r="E2" s="356"/>
      <c r="F2" s="356"/>
      <c r="G2" s="356"/>
      <c r="H2" s="356"/>
      <c r="I2" s="356"/>
      <c r="J2" s="356"/>
      <c r="K2" s="357"/>
      <c r="L2" s="47"/>
      <c r="M2" s="47"/>
      <c r="N2" s="360" t="s">
        <v>426</v>
      </c>
      <c r="O2" s="361"/>
      <c r="P2" s="361"/>
      <c r="Q2" s="361"/>
      <c r="R2" s="361"/>
      <c r="S2" s="361"/>
      <c r="T2" s="361"/>
      <c r="U2" s="361"/>
      <c r="V2" s="362"/>
      <c r="W2" s="25"/>
      <c r="X2" s="343" t="s">
        <v>432</v>
      </c>
      <c r="Y2" s="344"/>
      <c r="Z2" s="344"/>
      <c r="AA2" s="344"/>
      <c r="AB2" s="344"/>
      <c r="AC2" s="344"/>
      <c r="AD2" s="345"/>
      <c r="AE2"/>
    </row>
    <row r="3" spans="1:88" s="7" customFormat="1" x14ac:dyDescent="0.2">
      <c r="A3" s="353"/>
      <c r="B3" s="353"/>
      <c r="C3" s="353"/>
      <c r="D3" s="353"/>
      <c r="E3" s="353"/>
      <c r="F3" s="353"/>
      <c r="G3" s="353"/>
      <c r="H3" s="257"/>
      <c r="I3" s="257"/>
      <c r="J3" s="19"/>
      <c r="K3" s="19"/>
      <c r="L3"/>
      <c r="M3"/>
      <c r="N3"/>
      <c r="O3"/>
      <c r="P3"/>
      <c r="Q3"/>
      <c r="R3"/>
      <c r="S3"/>
      <c r="T3"/>
      <c r="U3"/>
      <c r="V3"/>
      <c r="W3"/>
      <c r="X3" s="346"/>
      <c r="Y3" s="347"/>
      <c r="Z3" s="347"/>
      <c r="AA3" s="347"/>
      <c r="AB3" s="347"/>
      <c r="AC3" s="347"/>
      <c r="AD3" s="348"/>
      <c r="AE3"/>
    </row>
    <row r="4" spans="1:88" s="7" customFormat="1" ht="12.75" customHeight="1" x14ac:dyDescent="0.2">
      <c r="A4" s="342" t="s">
        <v>51</v>
      </c>
      <c r="B4" s="276"/>
      <c r="C4" s="276"/>
      <c r="D4" s="276"/>
      <c r="E4" s="276"/>
      <c r="F4" s="277"/>
      <c r="G4" s="47"/>
      <c r="H4" s="70" t="s">
        <v>152</v>
      </c>
      <c r="I4" s="48"/>
      <c r="J4" s="73">
        <v>10</v>
      </c>
      <c r="K4" s="18"/>
      <c r="L4"/>
      <c r="M4"/>
      <c r="N4" s="170"/>
      <c r="O4" s="170"/>
      <c r="P4"/>
      <c r="Q4"/>
      <c r="R4"/>
      <c r="S4" s="170"/>
      <c r="T4" s="170"/>
      <c r="U4" s="170"/>
      <c r="V4" s="170"/>
      <c r="W4" s="170"/>
      <c r="X4" s="349"/>
      <c r="Y4" s="350"/>
      <c r="Z4" s="350"/>
      <c r="AA4" s="350"/>
      <c r="AB4" s="350"/>
      <c r="AC4" s="350"/>
      <c r="AD4" s="351"/>
      <c r="AE4"/>
    </row>
    <row r="5" spans="1:88" s="7" customFormat="1" x14ac:dyDescent="0.2">
      <c r="A5" s="71" t="s">
        <v>58</v>
      </c>
      <c r="B5" s="72"/>
      <c r="C5" s="33"/>
      <c r="D5" s="341"/>
      <c r="E5" s="279"/>
      <c r="F5" s="85"/>
      <c r="G5" s="47"/>
      <c r="H5" s="71" t="s">
        <v>153</v>
      </c>
      <c r="I5" s="72"/>
      <c r="J5" s="22">
        <v>200</v>
      </c>
      <c r="K5" s="85"/>
      <c r="L5"/>
      <c r="M5"/>
      <c r="N5" s="170"/>
      <c r="O5" s="170"/>
      <c r="P5"/>
      <c r="Q5"/>
      <c r="R5"/>
      <c r="S5" s="170"/>
      <c r="T5" s="170"/>
      <c r="U5" s="170"/>
      <c r="V5" s="170"/>
      <c r="W5" s="170"/>
      <c r="X5" s="170"/>
      <c r="Y5" s="170"/>
      <c r="Z5" s="170"/>
      <c r="AA5" s="170"/>
      <c r="AB5"/>
      <c r="AC5"/>
      <c r="AD5"/>
      <c r="AE5"/>
    </row>
    <row r="6" spans="1:88" s="7" customFormat="1" x14ac:dyDescent="0.2">
      <c r="A6" s="354"/>
      <c r="B6" s="354"/>
      <c r="C6" s="354"/>
      <c r="D6" s="354"/>
      <c r="E6" s="354"/>
      <c r="F6" s="353"/>
      <c r="G6" s="353"/>
      <c r="H6" s="353"/>
      <c r="I6" s="353"/>
      <c r="J6" s="19"/>
      <c r="K6" s="19"/>
      <c r="L6"/>
      <c r="M6"/>
      <c r="N6"/>
      <c r="O6"/>
      <c r="P6"/>
      <c r="Q6"/>
      <c r="R6"/>
      <c r="S6"/>
      <c r="T6"/>
      <c r="U6"/>
      <c r="V6"/>
      <c r="W6"/>
      <c r="X6"/>
      <c r="Y6"/>
      <c r="Z6"/>
      <c r="AA6"/>
      <c r="AB6"/>
      <c r="AC6"/>
      <c r="AD6"/>
      <c r="AE6"/>
      <c r="AG6" s="288" t="s">
        <v>69</v>
      </c>
      <c r="AH6" s="288"/>
      <c r="AI6" s="288"/>
      <c r="AJ6" s="288"/>
      <c r="AK6" s="288"/>
      <c r="AL6" s="288"/>
      <c r="AM6" s="288"/>
      <c r="AN6" s="288"/>
      <c r="AO6" s="288"/>
      <c r="AP6" s="288"/>
      <c r="AQ6" s="288"/>
      <c r="AR6" s="288"/>
      <c r="AS6" s="288"/>
      <c r="AT6" s="288"/>
      <c r="AU6" s="288"/>
      <c r="AV6" s="288"/>
      <c r="AW6" s="288"/>
      <c r="AX6" s="288"/>
      <c r="AY6" s="288"/>
      <c r="AZ6" s="288"/>
      <c r="BA6" s="288"/>
      <c r="BB6" s="288"/>
      <c r="BC6" s="288"/>
      <c r="BD6" s="288"/>
      <c r="BE6" s="288"/>
      <c r="BF6" s="288"/>
      <c r="BG6" s="288"/>
      <c r="BH6" s="288"/>
      <c r="BI6" s="288"/>
      <c r="BJ6" s="288"/>
      <c r="BK6" s="288"/>
      <c r="BL6" s="288"/>
      <c r="BM6" s="288"/>
      <c r="BN6" s="288"/>
      <c r="BO6" s="288"/>
      <c r="BP6" s="288"/>
      <c r="BQ6" s="288"/>
      <c r="BR6" s="288"/>
      <c r="BS6" s="288"/>
      <c r="BT6" s="288"/>
      <c r="BU6" s="288"/>
      <c r="BV6" s="288"/>
      <c r="BW6" s="288"/>
      <c r="BX6" s="288"/>
      <c r="BY6" s="288"/>
      <c r="BZ6" s="288"/>
      <c r="CA6" s="288"/>
      <c r="CB6" s="288"/>
      <c r="CC6" s="288"/>
      <c r="CD6" s="288"/>
      <c r="CE6" s="288"/>
      <c r="CF6" s="288"/>
      <c r="CG6" s="288"/>
      <c r="CH6" s="288"/>
      <c r="CI6" s="288"/>
      <c r="CJ6" s="288"/>
    </row>
    <row r="7" spans="1:88" s="7" customFormat="1" x14ac:dyDescent="0.2">
      <c r="A7" s="355" t="s">
        <v>144</v>
      </c>
      <c r="B7" s="279"/>
      <c r="C7" s="279"/>
      <c r="D7" s="279"/>
      <c r="E7" s="279"/>
      <c r="F7" s="279"/>
      <c r="G7" s="279"/>
      <c r="H7" s="279"/>
      <c r="I7" s="279"/>
      <c r="J7" s="279"/>
      <c r="K7" s="279"/>
      <c r="L7" s="279"/>
      <c r="M7" s="279"/>
      <c r="N7" s="279"/>
      <c r="O7" s="279"/>
      <c r="P7" s="279"/>
      <c r="Q7" s="279"/>
      <c r="R7" s="279"/>
      <c r="S7" s="279"/>
      <c r="T7" s="279"/>
      <c r="U7" s="279"/>
      <c r="V7" s="279"/>
      <c r="W7" s="279"/>
      <c r="X7" s="279"/>
      <c r="Y7" s="279"/>
      <c r="Z7" s="279"/>
      <c r="AA7" s="279"/>
      <c r="AB7" s="279"/>
      <c r="AC7" s="279"/>
      <c r="AD7" s="279"/>
      <c r="AE7" s="279"/>
      <c r="AF7" s="279"/>
      <c r="AG7" s="117"/>
      <c r="AH7" s="117"/>
      <c r="AI7" s="284" t="s">
        <v>280</v>
      </c>
      <c r="AJ7" s="289"/>
      <c r="AK7" s="290"/>
      <c r="AL7" s="117"/>
      <c r="AM7" s="117"/>
      <c r="AN7" s="117"/>
      <c r="AO7" s="117"/>
      <c r="AP7" s="117"/>
      <c r="AQ7" s="117"/>
      <c r="AR7" s="117"/>
      <c r="AS7" s="117"/>
      <c r="AT7" s="117"/>
      <c r="AU7" s="116" t="s">
        <v>67</v>
      </c>
      <c r="AV7" s="117"/>
      <c r="AW7" s="117"/>
      <c r="AX7" s="284" t="s">
        <v>279</v>
      </c>
      <c r="AY7" s="289"/>
      <c r="AZ7" s="289"/>
      <c r="BA7" s="290"/>
      <c r="BB7" s="284" t="s">
        <v>280</v>
      </c>
      <c r="BC7" s="290"/>
      <c r="BD7" s="117"/>
      <c r="BE7" s="117"/>
      <c r="BF7" s="117"/>
      <c r="BG7" s="116" t="s">
        <v>280</v>
      </c>
      <c r="BH7" s="117"/>
      <c r="BI7" s="118"/>
      <c r="BJ7" s="116" t="s">
        <v>284</v>
      </c>
      <c r="BK7" s="284" t="s">
        <v>283</v>
      </c>
      <c r="BL7" s="291"/>
      <c r="BM7" s="291"/>
      <c r="BN7" s="115" t="s">
        <v>302</v>
      </c>
      <c r="BO7" s="284" t="s">
        <v>281</v>
      </c>
      <c r="BP7" s="305"/>
      <c r="BQ7" s="285"/>
      <c r="BR7" s="284" t="s">
        <v>295</v>
      </c>
      <c r="BS7" s="290"/>
      <c r="BT7" s="284" t="s">
        <v>282</v>
      </c>
      <c r="BU7" s="289"/>
      <c r="BV7" s="289"/>
      <c r="BW7" s="289"/>
      <c r="BX7" s="289"/>
      <c r="BY7" s="290"/>
      <c r="BZ7" s="116" t="s">
        <v>265</v>
      </c>
      <c r="CA7" s="284" t="s">
        <v>356</v>
      </c>
      <c r="CB7" s="291"/>
      <c r="CC7" s="292"/>
      <c r="CD7" s="149"/>
      <c r="CE7" s="284" t="s">
        <v>280</v>
      </c>
      <c r="CF7" s="285"/>
      <c r="CG7" s="149"/>
      <c r="CH7" s="149"/>
      <c r="CI7" s="149"/>
      <c r="CJ7" s="149"/>
    </row>
    <row r="8" spans="1:88" s="7" customFormat="1" ht="12.75" customHeight="1" x14ac:dyDescent="0.2">
      <c r="A8" s="352" t="s">
        <v>27</v>
      </c>
      <c r="B8" s="356"/>
      <c r="C8" s="356"/>
      <c r="D8" s="356"/>
      <c r="E8" s="356"/>
      <c r="F8" s="356"/>
      <c r="G8" s="356"/>
      <c r="H8" s="356"/>
      <c r="I8" s="356"/>
      <c r="J8" s="356"/>
      <c r="K8" s="356"/>
      <c r="L8" s="357"/>
      <c r="M8" s="352" t="s">
        <v>28</v>
      </c>
      <c r="N8" s="358"/>
      <c r="O8" s="358"/>
      <c r="P8" s="358"/>
      <c r="Q8" s="359"/>
      <c r="R8" s="352" t="s">
        <v>29</v>
      </c>
      <c r="S8" s="358"/>
      <c r="T8" s="358"/>
      <c r="U8" s="358"/>
      <c r="V8" s="358"/>
      <c r="W8" s="358"/>
      <c r="X8" s="358"/>
      <c r="Y8" s="285"/>
      <c r="Z8" s="352" t="s">
        <v>145</v>
      </c>
      <c r="AA8" s="305"/>
      <c r="AB8" s="305"/>
      <c r="AC8" s="305"/>
      <c r="AD8" s="305"/>
      <c r="AE8" s="305"/>
      <c r="AF8" s="285"/>
      <c r="AG8" s="282" t="s">
        <v>266</v>
      </c>
      <c r="AH8" s="282" t="s">
        <v>71</v>
      </c>
      <c r="AI8" s="282" t="s">
        <v>72</v>
      </c>
      <c r="AJ8" s="282" t="s">
        <v>267</v>
      </c>
      <c r="AK8" s="282" t="s">
        <v>268</v>
      </c>
      <c r="AL8" s="282" t="s">
        <v>73</v>
      </c>
      <c r="AM8" s="282" t="s">
        <v>269</v>
      </c>
      <c r="AN8" s="282" t="s">
        <v>82</v>
      </c>
      <c r="AO8" s="282" t="s">
        <v>270</v>
      </c>
      <c r="AP8" s="282" t="s">
        <v>271</v>
      </c>
      <c r="AQ8" s="282" t="s">
        <v>96</v>
      </c>
      <c r="AR8" s="282" t="s">
        <v>97</v>
      </c>
      <c r="AS8" s="178"/>
      <c r="AT8" s="282" t="s">
        <v>272</v>
      </c>
      <c r="AU8" s="282" t="s">
        <v>273</v>
      </c>
      <c r="AV8" s="282" t="s">
        <v>135</v>
      </c>
      <c r="AW8" s="282" t="s">
        <v>136</v>
      </c>
      <c r="AX8" s="282" t="s">
        <v>137</v>
      </c>
      <c r="AY8" s="282" t="s">
        <v>138</v>
      </c>
      <c r="AZ8" s="282" t="s">
        <v>139</v>
      </c>
      <c r="BA8" s="282" t="s">
        <v>140</v>
      </c>
      <c r="BB8" s="282" t="s">
        <v>274</v>
      </c>
      <c r="BC8" s="282" t="s">
        <v>275</v>
      </c>
      <c r="BD8" s="282" t="s">
        <v>156</v>
      </c>
      <c r="BE8" s="178"/>
      <c r="BF8" s="282" t="s">
        <v>157</v>
      </c>
      <c r="BG8" s="282" t="s">
        <v>158</v>
      </c>
      <c r="BH8" s="282" t="s">
        <v>276</v>
      </c>
      <c r="BI8" s="282" t="s">
        <v>167</v>
      </c>
      <c r="BJ8" s="282" t="s">
        <v>159</v>
      </c>
      <c r="BK8" s="282" t="s">
        <v>277</v>
      </c>
      <c r="BL8" s="282" t="s">
        <v>278</v>
      </c>
      <c r="BM8" s="282" t="s">
        <v>160</v>
      </c>
      <c r="BN8" s="282" t="s">
        <v>161</v>
      </c>
      <c r="BO8" s="282" t="s">
        <v>162</v>
      </c>
      <c r="BP8" s="282" t="s">
        <v>163</v>
      </c>
      <c r="BQ8" s="282" t="s">
        <v>164</v>
      </c>
      <c r="BR8" s="286" t="s">
        <v>423</v>
      </c>
      <c r="BS8" s="286" t="s">
        <v>424</v>
      </c>
      <c r="BT8" s="282" t="s">
        <v>202</v>
      </c>
      <c r="BU8" s="282" t="s">
        <v>205</v>
      </c>
      <c r="BV8" s="282" t="s">
        <v>206</v>
      </c>
      <c r="BW8" s="282" t="s">
        <v>209</v>
      </c>
      <c r="BX8" s="282" t="s">
        <v>204</v>
      </c>
      <c r="BY8" s="282" t="s">
        <v>210</v>
      </c>
      <c r="BZ8" s="282" t="s">
        <v>264</v>
      </c>
      <c r="CA8" s="282" t="s">
        <v>359</v>
      </c>
      <c r="CB8" s="282" t="s">
        <v>360</v>
      </c>
      <c r="CC8" s="282" t="s">
        <v>361</v>
      </c>
      <c r="CD8" s="282" t="s">
        <v>364</v>
      </c>
      <c r="CE8" s="282" t="s">
        <v>433</v>
      </c>
      <c r="CF8" s="286" t="s">
        <v>460</v>
      </c>
      <c r="CG8" s="286" t="s">
        <v>466</v>
      </c>
      <c r="CH8" s="286" t="s">
        <v>492</v>
      </c>
      <c r="CI8" s="286" t="s">
        <v>494</v>
      </c>
      <c r="CJ8" s="286" t="s">
        <v>495</v>
      </c>
    </row>
    <row r="9" spans="1:88" s="7" customFormat="1" ht="12.75" customHeight="1" x14ac:dyDescent="0.2">
      <c r="A9" s="1" t="s">
        <v>9</v>
      </c>
      <c r="B9" s="1" t="s">
        <v>21</v>
      </c>
      <c r="C9" s="1" t="s">
        <v>497</v>
      </c>
      <c r="D9" s="1" t="s">
        <v>10</v>
      </c>
      <c r="E9" s="1" t="s">
        <v>23</v>
      </c>
      <c r="F9" s="1" t="s">
        <v>86</v>
      </c>
      <c r="G9" s="1" t="s">
        <v>85</v>
      </c>
      <c r="H9" s="2" t="s">
        <v>12</v>
      </c>
      <c r="I9" s="2" t="s">
        <v>143</v>
      </c>
      <c r="J9" s="2" t="s">
        <v>40</v>
      </c>
      <c r="K9" s="2" t="s">
        <v>117</v>
      </c>
      <c r="L9" s="2" t="s">
        <v>141</v>
      </c>
      <c r="M9" s="2" t="s">
        <v>13</v>
      </c>
      <c r="N9" s="1" t="s">
        <v>14</v>
      </c>
      <c r="O9" s="1" t="s">
        <v>15</v>
      </c>
      <c r="P9" s="1" t="s">
        <v>16</v>
      </c>
      <c r="Q9" s="151" t="s">
        <v>17</v>
      </c>
      <c r="R9" s="151" t="s">
        <v>22</v>
      </c>
      <c r="S9" s="151" t="s">
        <v>24</v>
      </c>
      <c r="T9" s="151" t="s">
        <v>18</v>
      </c>
      <c r="U9" s="151" t="s">
        <v>19</v>
      </c>
      <c r="V9" s="151" t="s">
        <v>20</v>
      </c>
      <c r="W9" s="151" t="s">
        <v>114</v>
      </c>
      <c r="X9" s="151" t="s">
        <v>115</v>
      </c>
      <c r="Y9" s="151" t="s">
        <v>146</v>
      </c>
      <c r="Z9" s="16" t="s">
        <v>147</v>
      </c>
      <c r="AA9" s="49" t="s">
        <v>148</v>
      </c>
      <c r="AB9" s="16" t="s">
        <v>13</v>
      </c>
      <c r="AC9" s="49" t="s">
        <v>14</v>
      </c>
      <c r="AD9" s="49" t="s">
        <v>15</v>
      </c>
      <c r="AE9" s="49" t="s">
        <v>16</v>
      </c>
      <c r="AF9" s="49" t="s">
        <v>17</v>
      </c>
      <c r="AG9" s="283"/>
      <c r="AH9" s="283"/>
      <c r="AI9" s="283"/>
      <c r="AJ9" s="283"/>
      <c r="AK9" s="283"/>
      <c r="AL9" s="283"/>
      <c r="AM9" s="283"/>
      <c r="AN9" s="283"/>
      <c r="AO9" s="283"/>
      <c r="AP9" s="283"/>
      <c r="AQ9" s="283"/>
      <c r="AR9" s="283"/>
      <c r="AS9" s="179"/>
      <c r="AT9" s="283"/>
      <c r="AU9" s="283"/>
      <c r="AV9" s="283"/>
      <c r="AW9" s="283"/>
      <c r="AX9" s="283"/>
      <c r="AY9" s="283"/>
      <c r="AZ9" s="283"/>
      <c r="BA9" s="283"/>
      <c r="BB9" s="283"/>
      <c r="BC9" s="283"/>
      <c r="BD9" s="283"/>
      <c r="BE9" s="179"/>
      <c r="BF9" s="283"/>
      <c r="BG9" s="283"/>
      <c r="BH9" s="283"/>
      <c r="BI9" s="283"/>
      <c r="BJ9" s="283"/>
      <c r="BK9" s="283"/>
      <c r="BL9" s="283"/>
      <c r="BM9" s="283"/>
      <c r="BN9" s="283"/>
      <c r="BO9" s="283"/>
      <c r="BP9" s="283"/>
      <c r="BQ9" s="283"/>
      <c r="BR9" s="283"/>
      <c r="BS9" s="283"/>
      <c r="BT9" s="283"/>
      <c r="BU9" s="283"/>
      <c r="BV9" s="283"/>
      <c r="BW9" s="283"/>
      <c r="BX9" s="283"/>
      <c r="BY9" s="283"/>
      <c r="BZ9" s="283"/>
      <c r="CA9" s="283"/>
      <c r="CB9" s="283"/>
      <c r="CC9" s="283"/>
      <c r="CD9" s="283"/>
      <c r="CE9" s="283"/>
      <c r="CF9" s="283"/>
      <c r="CG9" s="287"/>
      <c r="CH9" s="287"/>
      <c r="CI9" s="287"/>
      <c r="CJ9" s="287"/>
    </row>
    <row r="10" spans="1:88" s="7" customFormat="1" x14ac:dyDescent="0.2">
      <c r="A10" s="3" t="s">
        <v>473</v>
      </c>
      <c r="B10" s="5" t="s">
        <v>11</v>
      </c>
      <c r="C10" s="5"/>
      <c r="D10" s="5"/>
      <c r="E10" s="5"/>
      <c r="F10" s="5"/>
      <c r="G10" s="3"/>
      <c r="H10" s="5" t="s">
        <v>67</v>
      </c>
      <c r="I10" s="5"/>
      <c r="J10" s="5" t="s">
        <v>41</v>
      </c>
      <c r="K10" s="5"/>
      <c r="L10" s="5"/>
      <c r="M10" s="4" t="s">
        <v>149</v>
      </c>
      <c r="N10" s="6">
        <v>10</v>
      </c>
      <c r="O10" s="6" t="s">
        <v>150</v>
      </c>
      <c r="P10" s="108"/>
      <c r="Q10" s="108"/>
      <c r="R10" s="5"/>
      <c r="S10" s="5"/>
      <c r="T10" s="5"/>
      <c r="U10" s="5"/>
      <c r="V10" s="5"/>
      <c r="W10" s="5"/>
      <c r="X10" s="5"/>
      <c r="Y10" s="5"/>
      <c r="Z10" s="215"/>
      <c r="AA10" s="5"/>
      <c r="AB10" s="5"/>
      <c r="AC10" s="5"/>
      <c r="AD10" s="5"/>
      <c r="AE10" s="5"/>
      <c r="AF10" s="5"/>
      <c r="AG10" s="167"/>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6"/>
      <c r="BW10" s="6"/>
      <c r="BX10" s="6"/>
      <c r="BY10" s="6"/>
      <c r="BZ10" s="6"/>
      <c r="CA10" s="6"/>
      <c r="CB10" s="6"/>
      <c r="CC10" s="6"/>
      <c r="CD10" s="6"/>
      <c r="CE10" s="6"/>
      <c r="CF10" s="6"/>
      <c r="CG10" s="6"/>
      <c r="CH10" s="6"/>
      <c r="CI10" s="6"/>
      <c r="CJ10" s="6"/>
    </row>
    <row r="11" spans="1:88" s="7" customFormat="1" x14ac:dyDescent="0.2">
      <c r="A11" s="5" t="s">
        <v>473</v>
      </c>
      <c r="B11" s="5" t="s">
        <v>11</v>
      </c>
      <c r="C11" s="5"/>
      <c r="D11" s="5"/>
      <c r="E11" s="5"/>
      <c r="F11" s="5"/>
      <c r="G11" s="3"/>
      <c r="H11" s="5" t="s">
        <v>67</v>
      </c>
      <c r="I11" s="5"/>
      <c r="J11" s="5" t="s">
        <v>41</v>
      </c>
      <c r="K11" s="5"/>
      <c r="L11" s="5"/>
      <c r="M11" s="4" t="s">
        <v>151</v>
      </c>
      <c r="N11" s="6">
        <v>10</v>
      </c>
      <c r="O11" s="6" t="s">
        <v>150</v>
      </c>
      <c r="P11" s="109"/>
      <c r="Q11" s="108"/>
      <c r="R11" s="5"/>
      <c r="S11" s="5"/>
      <c r="T11" s="5"/>
      <c r="U11" s="5"/>
      <c r="V11" s="5"/>
      <c r="W11" s="5"/>
      <c r="X11" s="5"/>
      <c r="Y11" s="5"/>
      <c r="Z11" s="215"/>
      <c r="AA11" s="5"/>
      <c r="AB11" s="5"/>
      <c r="AC11" s="5"/>
      <c r="AD11" s="5"/>
      <c r="AE11" s="5"/>
      <c r="AF11" s="5"/>
      <c r="AG11" s="167"/>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c r="BQ11" s="6"/>
      <c r="BR11" s="6"/>
      <c r="BS11" s="6"/>
      <c r="BT11" s="6"/>
      <c r="BU11" s="6"/>
      <c r="BV11" s="6"/>
      <c r="BW11" s="6"/>
      <c r="BX11" s="6"/>
      <c r="BY11" s="6"/>
      <c r="BZ11" s="6"/>
      <c r="CA11" s="6"/>
      <c r="CB11" s="6"/>
      <c r="CC11" s="6"/>
      <c r="CD11" s="6"/>
      <c r="CE11" s="6"/>
      <c r="CF11" s="6"/>
      <c r="CG11" s="6"/>
      <c r="CH11" s="6"/>
      <c r="CI11" s="6"/>
      <c r="CJ11" s="6"/>
    </row>
    <row r="12" spans="1:88" s="7" customFormat="1" x14ac:dyDescent="0.2">
      <c r="A12" s="5"/>
      <c r="B12" s="5"/>
      <c r="C12" s="5"/>
      <c r="D12" s="5"/>
      <c r="E12" s="5"/>
      <c r="F12" s="5"/>
      <c r="G12" s="5"/>
      <c r="H12" s="5"/>
      <c r="I12" s="5"/>
      <c r="J12" s="5"/>
      <c r="K12" s="5"/>
      <c r="L12" s="5"/>
      <c r="M12" s="4"/>
      <c r="N12" s="6"/>
      <c r="O12" s="6"/>
      <c r="P12" s="109"/>
      <c r="Q12" s="108"/>
      <c r="R12" s="5"/>
      <c r="S12" s="5"/>
      <c r="T12" s="5"/>
      <c r="U12" s="5"/>
      <c r="V12" s="5"/>
      <c r="W12" s="5"/>
      <c r="X12" s="5"/>
      <c r="Y12" s="5"/>
      <c r="Z12" s="215"/>
      <c r="AA12" s="5"/>
      <c r="AB12" s="5"/>
      <c r="AC12" s="5"/>
      <c r="AD12" s="5"/>
      <c r="AE12" s="5"/>
      <c r="AF12" s="5"/>
      <c r="AG12" s="167"/>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c r="CA12" s="6"/>
      <c r="CB12" s="6"/>
      <c r="CC12" s="6"/>
      <c r="CD12" s="6"/>
      <c r="CE12" s="6"/>
      <c r="CF12" s="6"/>
      <c r="CG12" s="6"/>
      <c r="CH12" s="6"/>
      <c r="CI12" s="6"/>
      <c r="CJ12" s="6"/>
    </row>
    <row r="13" spans="1:88" s="7" customFormat="1" x14ac:dyDescent="0.2">
      <c r="A13" s="3"/>
      <c r="B13" s="3"/>
      <c r="C13" s="5"/>
      <c r="D13" s="5"/>
      <c r="E13" s="5"/>
      <c r="F13" s="5"/>
      <c r="G13" s="5"/>
      <c r="H13" s="3"/>
      <c r="I13" s="5"/>
      <c r="J13" s="3"/>
      <c r="K13" s="5"/>
      <c r="L13" s="5"/>
      <c r="M13" s="4"/>
      <c r="N13" s="6"/>
      <c r="O13" s="6"/>
      <c r="P13" s="109"/>
      <c r="Q13" s="108"/>
      <c r="R13" s="5"/>
      <c r="S13" s="5"/>
      <c r="T13" s="5"/>
      <c r="U13" s="5"/>
      <c r="V13" s="5"/>
      <c r="W13" s="5"/>
      <c r="X13" s="5"/>
      <c r="Y13" s="5"/>
      <c r="Z13" s="215"/>
      <c r="AA13" s="5"/>
      <c r="AB13" s="5"/>
      <c r="AC13" s="5"/>
      <c r="AD13" s="5"/>
      <c r="AE13" s="5"/>
      <c r="AF13" s="5"/>
      <c r="AG13" s="167"/>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c r="BQ13" s="6"/>
      <c r="BR13" s="6"/>
      <c r="BS13" s="6"/>
      <c r="BT13" s="6"/>
      <c r="BU13" s="6"/>
      <c r="BV13" s="6"/>
      <c r="BW13" s="6"/>
      <c r="BX13" s="6"/>
      <c r="BY13" s="6"/>
      <c r="BZ13" s="6"/>
      <c r="CA13" s="6"/>
      <c r="CB13" s="6"/>
      <c r="CC13" s="6"/>
      <c r="CD13" s="6"/>
      <c r="CE13" s="6"/>
      <c r="CF13" s="6"/>
      <c r="CG13" s="6"/>
      <c r="CH13" s="6"/>
      <c r="CI13" s="6"/>
      <c r="CJ13" s="6"/>
    </row>
    <row r="14" spans="1:88" s="7" customFormat="1" x14ac:dyDescent="0.2">
      <c r="A14" s="8"/>
      <c r="B14" s="5"/>
      <c r="C14" s="5"/>
      <c r="D14" s="5"/>
      <c r="E14" s="60"/>
      <c r="F14" s="5"/>
      <c r="G14" s="5"/>
      <c r="H14" s="5"/>
      <c r="I14" s="5"/>
      <c r="J14" s="5"/>
      <c r="K14" s="97"/>
      <c r="L14" s="5"/>
      <c r="M14" s="4"/>
      <c r="N14" s="6"/>
      <c r="O14" s="6"/>
      <c r="P14" s="109"/>
      <c r="Q14" s="108"/>
      <c r="R14" s="5"/>
      <c r="S14" s="5"/>
      <c r="T14" s="5"/>
      <c r="U14" s="5"/>
      <c r="V14" s="5"/>
      <c r="W14" s="5"/>
      <c r="X14" s="5"/>
      <c r="Y14" s="5"/>
      <c r="Z14" s="215"/>
      <c r="AA14" s="5"/>
      <c r="AB14" s="5"/>
      <c r="AC14" s="5"/>
      <c r="AD14" s="5"/>
      <c r="AE14" s="5"/>
      <c r="AF14" s="5"/>
      <c r="AG14" s="167"/>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row>
    <row r="15" spans="1:88" s="7" customFormat="1" x14ac:dyDescent="0.2">
      <c r="A15" s="5"/>
      <c r="B15" s="5"/>
      <c r="C15" s="5"/>
      <c r="D15" s="5"/>
      <c r="E15" s="60"/>
      <c r="F15" s="5"/>
      <c r="G15" s="5"/>
      <c r="H15" s="5"/>
      <c r="I15" s="5"/>
      <c r="J15" s="5"/>
      <c r="K15" s="97"/>
      <c r="L15" s="5"/>
      <c r="M15" s="4"/>
      <c r="N15" s="6"/>
      <c r="O15" s="6"/>
      <c r="P15" s="109"/>
      <c r="Q15" s="108"/>
      <c r="R15" s="5"/>
      <c r="S15" s="5"/>
      <c r="T15" s="5"/>
      <c r="U15" s="5"/>
      <c r="V15" s="5"/>
      <c r="W15" s="5"/>
      <c r="X15" s="5"/>
      <c r="Y15" s="5"/>
      <c r="Z15" s="215"/>
      <c r="AA15" s="5"/>
      <c r="AB15" s="5"/>
      <c r="AC15" s="5"/>
      <c r="AD15" s="5"/>
      <c r="AE15" s="5"/>
      <c r="AF15" s="5"/>
      <c r="AG15" s="167"/>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row>
    <row r="16" spans="1:88" s="7" customFormat="1" x14ac:dyDescent="0.2">
      <c r="A16" s="5"/>
      <c r="B16" s="5"/>
      <c r="C16" s="5"/>
      <c r="D16" s="5"/>
      <c r="E16" s="60"/>
      <c r="F16" s="5"/>
      <c r="G16" s="5"/>
      <c r="H16" s="5"/>
      <c r="I16" s="5"/>
      <c r="J16" s="5"/>
      <c r="K16" s="97"/>
      <c r="L16" s="5"/>
      <c r="M16" s="4"/>
      <c r="N16" s="6"/>
      <c r="O16" s="6"/>
      <c r="P16" s="109"/>
      <c r="Q16" s="108"/>
      <c r="R16" s="5"/>
      <c r="S16" s="5"/>
      <c r="T16" s="5"/>
      <c r="U16" s="5"/>
      <c r="V16" s="5"/>
      <c r="W16" s="5"/>
      <c r="X16" s="5"/>
      <c r="Y16" s="5"/>
      <c r="Z16" s="215"/>
      <c r="AA16" s="5"/>
      <c r="AB16" s="5"/>
      <c r="AC16" s="5"/>
      <c r="AD16" s="5"/>
      <c r="AE16" s="5"/>
      <c r="AF16" s="5"/>
      <c r="AG16" s="167"/>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row>
    <row r="17" spans="1:88" s="7" customFormat="1" x14ac:dyDescent="0.2">
      <c r="A17" s="5"/>
      <c r="B17" s="5"/>
      <c r="C17" s="5"/>
      <c r="D17" s="5"/>
      <c r="E17" s="5"/>
      <c r="F17" s="5"/>
      <c r="G17" s="5"/>
      <c r="H17" s="5"/>
      <c r="I17" s="5"/>
      <c r="J17" s="5"/>
      <c r="K17" s="5"/>
      <c r="L17" s="5"/>
      <c r="M17" s="4"/>
      <c r="N17" s="6"/>
      <c r="O17" s="6"/>
      <c r="P17" s="108"/>
      <c r="Q17" s="108"/>
      <c r="R17" s="5"/>
      <c r="S17" s="5"/>
      <c r="T17" s="5"/>
      <c r="U17" s="5"/>
      <c r="V17" s="5"/>
      <c r="W17" s="5"/>
      <c r="X17" s="5"/>
      <c r="Y17" s="5"/>
      <c r="Z17" s="215"/>
      <c r="AA17" s="5"/>
      <c r="AB17" s="5"/>
      <c r="AC17" s="5"/>
      <c r="AD17" s="5"/>
      <c r="AE17" s="5"/>
      <c r="AF17" s="5"/>
      <c r="AG17" s="167"/>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row>
    <row r="18" spans="1:88" s="7" customFormat="1" x14ac:dyDescent="0.2">
      <c r="A18" s="5"/>
      <c r="B18" s="5"/>
      <c r="C18" s="5"/>
      <c r="D18" s="5"/>
      <c r="E18" s="5"/>
      <c r="F18" s="5"/>
      <c r="G18" s="5"/>
      <c r="H18" s="5"/>
      <c r="I18" s="5"/>
      <c r="J18" s="5"/>
      <c r="K18" s="5"/>
      <c r="L18" s="5"/>
      <c r="M18" s="6"/>
      <c r="N18" s="6"/>
      <c r="O18" s="6"/>
      <c r="P18" s="108"/>
      <c r="Q18" s="108"/>
      <c r="R18" s="5"/>
      <c r="S18" s="5"/>
      <c r="T18" s="5"/>
      <c r="U18" s="5"/>
      <c r="V18" s="5"/>
      <c r="W18" s="5"/>
      <c r="X18" s="5"/>
      <c r="Y18" s="5"/>
      <c r="Z18" s="215"/>
      <c r="AA18" s="5"/>
      <c r="AB18" s="5"/>
      <c r="AC18" s="5"/>
      <c r="AD18" s="5"/>
      <c r="AE18" s="5"/>
      <c r="AF18" s="5"/>
      <c r="AG18" s="167"/>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row>
    <row r="19" spans="1:88" s="7" customFormat="1" x14ac:dyDescent="0.2">
      <c r="A19" s="14"/>
      <c r="B19" s="13"/>
      <c r="C19" s="13"/>
      <c r="D19" s="13"/>
      <c r="E19" s="59"/>
      <c r="F19" s="13"/>
      <c r="G19" s="13"/>
      <c r="H19" s="13"/>
      <c r="I19" s="13"/>
      <c r="J19" s="13"/>
      <c r="K19" s="157"/>
      <c r="L19" s="35"/>
      <c r="M19" s="4"/>
      <c r="N19" s="6"/>
      <c r="O19" s="6"/>
      <c r="P19" s="109"/>
      <c r="Q19" s="108"/>
      <c r="R19" s="5"/>
      <c r="S19" s="5"/>
      <c r="T19" s="5"/>
      <c r="U19" s="5"/>
      <c r="V19" s="5"/>
      <c r="W19" s="5"/>
      <c r="X19" s="5"/>
      <c r="Y19" s="5"/>
      <c r="Z19" s="215"/>
      <c r="AA19" s="5"/>
      <c r="AB19" s="5"/>
      <c r="AC19" s="5"/>
      <c r="AD19" s="5"/>
      <c r="AE19" s="5"/>
      <c r="AF19" s="5"/>
      <c r="AG19" s="167"/>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c r="CD19" s="6"/>
      <c r="CE19" s="6"/>
      <c r="CF19" s="6"/>
      <c r="CG19" s="6"/>
      <c r="CH19" s="6"/>
      <c r="CI19" s="6"/>
      <c r="CJ19" s="6"/>
    </row>
    <row r="20" spans="1:88" s="7" customFormat="1" x14ac:dyDescent="0.2">
      <c r="A20" s="5"/>
      <c r="B20" s="5"/>
      <c r="C20" s="5"/>
      <c r="D20" s="5"/>
      <c r="E20" s="5"/>
      <c r="F20" s="5"/>
      <c r="G20" s="5"/>
      <c r="H20" s="5"/>
      <c r="I20" s="5"/>
      <c r="J20" s="5"/>
      <c r="K20" s="5"/>
      <c r="L20" s="5"/>
      <c r="M20" s="4"/>
      <c r="N20" s="6"/>
      <c r="O20" s="6"/>
      <c r="P20" s="108"/>
      <c r="Q20" s="108"/>
      <c r="R20" s="5"/>
      <c r="S20" s="5"/>
      <c r="T20" s="5"/>
      <c r="U20" s="5"/>
      <c r="V20" s="5"/>
      <c r="W20" s="5"/>
      <c r="X20" s="5"/>
      <c r="Y20" s="5"/>
      <c r="Z20" s="215"/>
      <c r="AA20" s="5"/>
      <c r="AB20" s="5"/>
      <c r="AC20" s="5"/>
      <c r="AD20" s="5"/>
      <c r="AE20" s="5"/>
      <c r="AF20" s="5"/>
      <c r="AG20" s="167"/>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6"/>
      <c r="CJ20" s="6"/>
    </row>
    <row r="21" spans="1:88" s="7" customFormat="1" x14ac:dyDescent="0.2">
      <c r="A21" s="5"/>
      <c r="B21" s="5"/>
      <c r="C21" s="5"/>
      <c r="D21" s="5"/>
      <c r="E21" s="5"/>
      <c r="F21" s="5"/>
      <c r="G21" s="5"/>
      <c r="H21" s="5"/>
      <c r="I21" s="5"/>
      <c r="J21" s="5"/>
      <c r="K21" s="5"/>
      <c r="L21" s="5"/>
      <c r="M21" s="4"/>
      <c r="N21" s="6"/>
      <c r="O21" s="6"/>
      <c r="P21" s="108"/>
      <c r="Q21" s="108"/>
      <c r="R21" s="5"/>
      <c r="S21" s="5"/>
      <c r="T21" s="5"/>
      <c r="U21" s="5"/>
      <c r="V21" s="5"/>
      <c r="W21" s="5"/>
      <c r="X21" s="5"/>
      <c r="Y21" s="5"/>
      <c r="Z21" s="215"/>
      <c r="AA21" s="5"/>
      <c r="AB21" s="5"/>
      <c r="AC21" s="5"/>
      <c r="AD21" s="5"/>
      <c r="AE21" s="5"/>
      <c r="AF21" s="5"/>
      <c r="AG21" s="167"/>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c r="CC21" s="6"/>
      <c r="CD21" s="6"/>
      <c r="CE21" s="6"/>
      <c r="CF21" s="6"/>
      <c r="CG21" s="6"/>
      <c r="CH21" s="6"/>
      <c r="CI21" s="6"/>
      <c r="CJ21" s="6"/>
    </row>
    <row r="22" spans="1:88" s="7" customFormat="1" x14ac:dyDescent="0.2">
      <c r="A22" s="5"/>
      <c r="B22" s="5"/>
      <c r="C22" s="5"/>
      <c r="D22" s="5"/>
      <c r="E22" s="5"/>
      <c r="F22" s="5"/>
      <c r="G22" s="5"/>
      <c r="H22" s="5"/>
      <c r="I22" s="5"/>
      <c r="J22" s="5"/>
      <c r="K22" s="5"/>
      <c r="L22" s="5"/>
      <c r="M22" s="50"/>
      <c r="N22" s="50"/>
      <c r="O22" s="50"/>
      <c r="P22" s="110"/>
      <c r="Q22" s="108"/>
      <c r="R22" s="5"/>
      <c r="S22" s="5"/>
      <c r="T22" s="5"/>
      <c r="U22" s="5"/>
      <c r="V22" s="5"/>
      <c r="W22" s="5"/>
      <c r="X22" s="5"/>
      <c r="Y22" s="5"/>
      <c r="Z22" s="215"/>
      <c r="AA22" s="5"/>
      <c r="AB22" s="5"/>
      <c r="AC22" s="5"/>
      <c r="AD22" s="5"/>
      <c r="AE22" s="5"/>
      <c r="AF22" s="5"/>
      <c r="AG22" s="167"/>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c r="CA22" s="6"/>
      <c r="CB22" s="6"/>
      <c r="CC22" s="6"/>
      <c r="CD22" s="6"/>
      <c r="CE22" s="6"/>
      <c r="CF22" s="6"/>
      <c r="CG22" s="6"/>
      <c r="CH22" s="6"/>
      <c r="CI22" s="6"/>
      <c r="CJ22" s="6"/>
    </row>
    <row r="23" spans="1:88" s="7" customFormat="1" x14ac:dyDescent="0.2">
      <c r="A23" s="3"/>
      <c r="B23" s="3"/>
      <c r="C23" s="5"/>
      <c r="D23" s="5"/>
      <c r="E23" s="5"/>
      <c r="F23" s="5"/>
      <c r="G23" s="5"/>
      <c r="H23" s="3"/>
      <c r="I23" s="5"/>
      <c r="J23" s="3"/>
      <c r="K23" s="5"/>
      <c r="L23" s="35"/>
      <c r="M23" s="4"/>
      <c r="N23" s="6"/>
      <c r="O23" s="6"/>
      <c r="P23" s="110"/>
      <c r="Q23" s="108"/>
      <c r="R23" s="5"/>
      <c r="S23" s="5"/>
      <c r="T23" s="5"/>
      <c r="U23" s="5"/>
      <c r="V23" s="5"/>
      <c r="W23" s="5"/>
      <c r="X23" s="5"/>
      <c r="Y23" s="5"/>
      <c r="Z23" s="215"/>
      <c r="AA23" s="5"/>
      <c r="AB23" s="5"/>
      <c r="AC23" s="5"/>
      <c r="AD23" s="5"/>
      <c r="AE23" s="5"/>
      <c r="AF23" s="5"/>
      <c r="AG23" s="167"/>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c r="CD23" s="6"/>
      <c r="CE23" s="6"/>
      <c r="CF23" s="6"/>
      <c r="CG23" s="6"/>
      <c r="CH23" s="6"/>
      <c r="CI23" s="6"/>
      <c r="CJ23" s="6"/>
    </row>
    <row r="24" spans="1:88" s="7" customFormat="1" x14ac:dyDescent="0.2">
      <c r="A24" s="3"/>
      <c r="B24" s="3"/>
      <c r="C24" s="5"/>
      <c r="D24" s="5"/>
      <c r="E24" s="5"/>
      <c r="F24" s="5"/>
      <c r="G24" s="5"/>
      <c r="H24" s="3"/>
      <c r="I24" s="5"/>
      <c r="J24" s="3"/>
      <c r="K24" s="5"/>
      <c r="L24" s="35"/>
      <c r="M24" s="4"/>
      <c r="N24" s="6"/>
      <c r="O24" s="6"/>
      <c r="P24" s="110"/>
      <c r="Q24" s="108"/>
      <c r="R24" s="5"/>
      <c r="S24" s="5"/>
      <c r="T24" s="5"/>
      <c r="U24" s="5"/>
      <c r="V24" s="5"/>
      <c r="W24" s="5"/>
      <c r="X24" s="5"/>
      <c r="Y24" s="5"/>
      <c r="Z24" s="215"/>
      <c r="AA24" s="5"/>
      <c r="AB24" s="5"/>
      <c r="AC24" s="5"/>
      <c r="AD24" s="5"/>
      <c r="AE24" s="5"/>
      <c r="AF24" s="5"/>
      <c r="AG24" s="167"/>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c r="BU24" s="6"/>
      <c r="BV24" s="6"/>
      <c r="BW24" s="6"/>
      <c r="BX24" s="6"/>
      <c r="BY24" s="6"/>
      <c r="BZ24" s="6"/>
      <c r="CA24" s="6"/>
      <c r="CB24" s="6"/>
      <c r="CC24" s="6"/>
      <c r="CD24" s="6"/>
      <c r="CE24" s="6"/>
      <c r="CF24" s="6"/>
      <c r="CG24" s="6"/>
      <c r="CH24" s="6"/>
      <c r="CI24" s="6"/>
      <c r="CJ24" s="6"/>
    </row>
    <row r="25" spans="1:88" s="7" customFormat="1" x14ac:dyDescent="0.2">
      <c r="A25" s="5"/>
      <c r="B25" s="5"/>
      <c r="C25" s="5"/>
      <c r="D25" s="5"/>
      <c r="E25" s="5"/>
      <c r="F25" s="5"/>
      <c r="G25" s="5"/>
      <c r="H25" s="5"/>
      <c r="I25" s="5"/>
      <c r="J25" s="5"/>
      <c r="K25" s="5"/>
      <c r="L25" s="5"/>
      <c r="M25" s="50"/>
      <c r="N25" s="50"/>
      <c r="O25" s="50"/>
      <c r="P25" s="110"/>
      <c r="Q25" s="108"/>
      <c r="R25" s="5"/>
      <c r="S25" s="5"/>
      <c r="T25" s="5"/>
      <c r="U25" s="5"/>
      <c r="V25" s="5"/>
      <c r="W25" s="5"/>
      <c r="X25" s="5"/>
      <c r="Y25" s="5"/>
      <c r="Z25" s="215"/>
      <c r="AA25" s="5"/>
      <c r="AB25" s="5"/>
      <c r="AC25" s="5"/>
      <c r="AD25" s="5"/>
      <c r="AE25" s="5"/>
      <c r="AF25" s="5"/>
      <c r="AG25" s="167"/>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c r="CA25" s="6"/>
      <c r="CB25" s="6"/>
      <c r="CC25" s="6"/>
      <c r="CD25" s="6"/>
      <c r="CE25" s="6"/>
      <c r="CF25" s="6"/>
      <c r="CG25" s="6"/>
      <c r="CH25" s="6"/>
      <c r="CI25" s="6"/>
      <c r="CJ25" s="6"/>
    </row>
    <row r="26" spans="1:88" s="7" customFormat="1" x14ac:dyDescent="0.2">
      <c r="A26" s="5"/>
      <c r="B26" s="5"/>
      <c r="C26" s="5"/>
      <c r="D26" s="5"/>
      <c r="E26" s="5"/>
      <c r="F26" s="5"/>
      <c r="G26" s="5"/>
      <c r="H26" s="5"/>
      <c r="I26" s="5"/>
      <c r="J26" s="5"/>
      <c r="K26" s="5"/>
      <c r="L26" s="5"/>
      <c r="M26" s="50"/>
      <c r="N26" s="50"/>
      <c r="O26" s="50"/>
      <c r="P26" s="110"/>
      <c r="Q26" s="108"/>
      <c r="R26" s="5"/>
      <c r="S26" s="5"/>
      <c r="T26" s="5"/>
      <c r="U26" s="5"/>
      <c r="V26" s="5"/>
      <c r="W26" s="5"/>
      <c r="X26" s="5"/>
      <c r="Y26" s="5"/>
      <c r="Z26" s="215"/>
      <c r="AA26" s="5"/>
      <c r="AB26" s="5"/>
      <c r="AC26" s="5"/>
      <c r="AD26" s="5"/>
      <c r="AE26" s="5"/>
      <c r="AF26" s="5"/>
      <c r="AG26" s="167"/>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c r="CC26" s="6"/>
      <c r="CD26" s="6"/>
      <c r="CE26" s="6"/>
      <c r="CF26" s="6"/>
      <c r="CG26" s="6"/>
      <c r="CH26" s="6"/>
      <c r="CI26" s="6"/>
      <c r="CJ26" s="6"/>
    </row>
    <row r="27" spans="1:88" s="7" customFormat="1" x14ac:dyDescent="0.2">
      <c r="A27" s="3"/>
      <c r="B27" s="3"/>
      <c r="C27" s="5"/>
      <c r="D27" s="5"/>
      <c r="E27" s="5"/>
      <c r="F27" s="5"/>
      <c r="G27" s="5"/>
      <c r="H27" s="3"/>
      <c r="I27" s="5"/>
      <c r="J27" s="3"/>
      <c r="K27" s="5"/>
      <c r="L27" s="35"/>
      <c r="M27" s="4"/>
      <c r="N27" s="6"/>
      <c r="O27" s="6"/>
      <c r="P27" s="110"/>
      <c r="Q27" s="108"/>
      <c r="R27" s="5"/>
      <c r="S27" s="5"/>
      <c r="T27" s="5"/>
      <c r="U27" s="5"/>
      <c r="V27" s="5"/>
      <c r="W27" s="5"/>
      <c r="X27" s="5"/>
      <c r="Y27" s="5"/>
      <c r="Z27" s="215"/>
      <c r="AA27" s="5"/>
      <c r="AB27" s="5"/>
      <c r="AC27" s="5"/>
      <c r="AD27" s="5"/>
      <c r="AE27" s="5"/>
      <c r="AF27" s="5"/>
      <c r="AG27" s="167"/>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c r="CD27" s="6"/>
      <c r="CE27" s="6"/>
      <c r="CF27" s="6"/>
      <c r="CG27" s="6"/>
      <c r="CH27" s="6"/>
      <c r="CI27" s="6"/>
      <c r="CJ27" s="6"/>
    </row>
    <row r="28" spans="1:88" s="7" customFormat="1" x14ac:dyDescent="0.2">
      <c r="A28" s="3"/>
      <c r="B28" s="3"/>
      <c r="C28" s="5"/>
      <c r="D28" s="5"/>
      <c r="E28" s="5"/>
      <c r="F28" s="5"/>
      <c r="G28" s="5"/>
      <c r="H28" s="3"/>
      <c r="I28" s="5"/>
      <c r="J28" s="3"/>
      <c r="K28" s="5"/>
      <c r="L28" s="35"/>
      <c r="M28" s="4"/>
      <c r="N28" s="6"/>
      <c r="O28" s="6"/>
      <c r="P28" s="110"/>
      <c r="Q28" s="108"/>
      <c r="R28" s="5"/>
      <c r="S28" s="5"/>
      <c r="T28" s="5"/>
      <c r="U28" s="5"/>
      <c r="V28" s="5"/>
      <c r="W28" s="5"/>
      <c r="X28" s="5"/>
      <c r="Y28" s="5"/>
      <c r="Z28" s="215"/>
      <c r="AA28" s="5"/>
      <c r="AB28" s="5"/>
      <c r="AC28" s="5"/>
      <c r="AD28" s="5"/>
      <c r="AE28" s="5"/>
      <c r="AF28" s="5"/>
      <c r="AG28" s="167"/>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c r="CD28" s="6"/>
      <c r="CE28" s="6"/>
      <c r="CF28" s="6"/>
      <c r="CG28" s="6"/>
      <c r="CH28" s="6"/>
      <c r="CI28" s="6"/>
      <c r="CJ28" s="6"/>
    </row>
    <row r="29" spans="1:88" s="7" customFormat="1" x14ac:dyDescent="0.2">
      <c r="A29" s="5"/>
      <c r="B29" s="5"/>
      <c r="C29" s="5"/>
      <c r="D29" s="5"/>
      <c r="E29" s="5"/>
      <c r="F29" s="5"/>
      <c r="G29" s="5"/>
      <c r="H29" s="5"/>
      <c r="I29" s="5"/>
      <c r="J29" s="5"/>
      <c r="K29" s="5"/>
      <c r="L29" s="5"/>
      <c r="M29" s="50"/>
      <c r="N29" s="50"/>
      <c r="O29" s="50"/>
      <c r="P29" s="110"/>
      <c r="Q29" s="108"/>
      <c r="R29" s="5"/>
      <c r="S29" s="5"/>
      <c r="T29" s="5"/>
      <c r="U29" s="5"/>
      <c r="V29" s="5"/>
      <c r="W29" s="5"/>
      <c r="X29" s="5"/>
      <c r="Y29" s="5"/>
      <c r="Z29" s="215"/>
      <c r="AA29" s="5"/>
      <c r="AB29" s="5"/>
      <c r="AC29" s="5"/>
      <c r="AD29" s="5"/>
      <c r="AE29" s="5"/>
      <c r="AF29" s="5"/>
      <c r="AG29" s="167"/>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c r="CA29" s="6"/>
      <c r="CB29" s="6"/>
      <c r="CC29" s="6"/>
      <c r="CD29" s="6"/>
      <c r="CE29" s="6"/>
      <c r="CF29" s="6"/>
      <c r="CG29" s="6"/>
      <c r="CH29" s="6"/>
      <c r="CI29" s="6"/>
      <c r="CJ29" s="6"/>
    </row>
    <row r="30" spans="1:88" s="7" customFormat="1" x14ac:dyDescent="0.2">
      <c r="A30" s="5"/>
      <c r="B30" s="5"/>
      <c r="C30" s="5"/>
      <c r="D30" s="5"/>
      <c r="E30" s="5"/>
      <c r="F30" s="5"/>
      <c r="G30" s="5"/>
      <c r="H30" s="5"/>
      <c r="I30" s="5"/>
      <c r="J30" s="5"/>
      <c r="K30" s="5"/>
      <c r="L30" s="5"/>
      <c r="M30" s="50"/>
      <c r="N30" s="50"/>
      <c r="O30" s="50"/>
      <c r="P30" s="110"/>
      <c r="Q30" s="108"/>
      <c r="R30" s="5"/>
      <c r="S30" s="5"/>
      <c r="T30" s="5"/>
      <c r="U30" s="5"/>
      <c r="V30" s="5"/>
      <c r="W30" s="5"/>
      <c r="X30" s="5"/>
      <c r="Y30" s="5"/>
      <c r="Z30" s="215"/>
      <c r="AA30" s="5"/>
      <c r="AB30" s="5"/>
      <c r="AC30" s="5"/>
      <c r="AD30" s="5"/>
      <c r="AE30" s="5"/>
      <c r="AF30" s="5"/>
      <c r="AG30" s="167"/>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c r="CA30" s="6"/>
      <c r="CB30" s="6"/>
      <c r="CC30" s="6"/>
      <c r="CD30" s="6"/>
      <c r="CE30" s="6"/>
      <c r="CF30" s="6"/>
      <c r="CG30" s="6"/>
      <c r="CH30" s="6"/>
      <c r="CI30" s="6"/>
      <c r="CJ30" s="6"/>
    </row>
    <row r="31" spans="1:88" s="7" customFormat="1" x14ac:dyDescent="0.2">
      <c r="A31" s="5"/>
      <c r="B31" s="5"/>
      <c r="C31" s="5"/>
      <c r="D31" s="5"/>
      <c r="E31" s="5"/>
      <c r="F31" s="5"/>
      <c r="G31" s="5"/>
      <c r="H31" s="5"/>
      <c r="I31" s="5"/>
      <c r="J31" s="5"/>
      <c r="K31" s="5"/>
      <c r="L31" s="5"/>
      <c r="M31" s="50"/>
      <c r="N31" s="50"/>
      <c r="O31" s="50"/>
      <c r="P31" s="110"/>
      <c r="Q31" s="108"/>
      <c r="R31" s="5"/>
      <c r="S31" s="5"/>
      <c r="T31" s="5"/>
      <c r="U31" s="5"/>
      <c r="V31" s="5"/>
      <c r="W31" s="5"/>
      <c r="X31" s="5"/>
      <c r="Y31" s="5"/>
      <c r="Z31" s="215"/>
      <c r="AA31" s="5"/>
      <c r="AB31" s="5"/>
      <c r="AC31" s="5"/>
      <c r="AD31" s="5"/>
      <c r="AE31" s="5"/>
      <c r="AF31" s="5"/>
      <c r="AG31" s="167"/>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c r="CD31" s="6"/>
      <c r="CE31" s="6"/>
      <c r="CF31" s="6"/>
      <c r="CG31" s="6"/>
      <c r="CH31" s="6"/>
      <c r="CI31" s="6"/>
      <c r="CJ31" s="6"/>
    </row>
    <row r="32" spans="1:88" s="7" customFormat="1" x14ac:dyDescent="0.2">
      <c r="A32" s="5"/>
      <c r="B32" s="5"/>
      <c r="C32" s="5"/>
      <c r="D32" s="5"/>
      <c r="E32" s="5"/>
      <c r="F32" s="5"/>
      <c r="G32" s="5"/>
      <c r="H32" s="5"/>
      <c r="I32" s="5"/>
      <c r="J32" s="5"/>
      <c r="K32" s="5"/>
      <c r="L32" s="5"/>
      <c r="M32" s="50"/>
      <c r="N32" s="50"/>
      <c r="O32" s="50"/>
      <c r="P32" s="110"/>
      <c r="Q32" s="108"/>
      <c r="R32" s="5"/>
      <c r="S32" s="5"/>
      <c r="T32" s="5"/>
      <c r="U32" s="5"/>
      <c r="V32" s="5"/>
      <c r="W32" s="5"/>
      <c r="X32" s="5"/>
      <c r="Y32" s="5"/>
      <c r="Z32" s="215"/>
      <c r="AA32" s="5"/>
      <c r="AB32" s="5"/>
      <c r="AC32" s="5"/>
      <c r="AD32" s="5"/>
      <c r="AE32" s="5"/>
      <c r="AF32" s="5"/>
      <c r="AG32" s="167"/>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c r="CA32" s="6"/>
      <c r="CB32" s="6"/>
      <c r="CC32" s="6"/>
      <c r="CD32" s="6"/>
      <c r="CE32" s="6"/>
      <c r="CF32" s="6"/>
      <c r="CG32" s="6"/>
      <c r="CH32" s="6"/>
      <c r="CI32" s="6"/>
      <c r="CJ32" s="6"/>
    </row>
    <row r="33" spans="1:88" s="7" customFormat="1" x14ac:dyDescent="0.2">
      <c r="A33" s="5"/>
      <c r="B33" s="5"/>
      <c r="C33" s="5"/>
      <c r="D33" s="5"/>
      <c r="E33" s="5"/>
      <c r="F33" s="5"/>
      <c r="G33" s="5"/>
      <c r="H33" s="5"/>
      <c r="I33" s="5"/>
      <c r="J33" s="5"/>
      <c r="K33" s="5"/>
      <c r="L33" s="5"/>
      <c r="M33" s="50"/>
      <c r="N33" s="50"/>
      <c r="O33" s="50"/>
      <c r="P33" s="110"/>
      <c r="Q33" s="108"/>
      <c r="R33" s="5"/>
      <c r="S33" s="5"/>
      <c r="T33" s="5"/>
      <c r="U33" s="5"/>
      <c r="V33" s="5"/>
      <c r="W33" s="5"/>
      <c r="X33" s="5"/>
      <c r="Y33" s="5"/>
      <c r="Z33" s="215"/>
      <c r="AA33" s="5"/>
      <c r="AB33" s="5"/>
      <c r="AC33" s="5"/>
      <c r="AD33" s="5"/>
      <c r="AE33" s="5"/>
      <c r="AF33" s="5"/>
      <c r="AG33" s="167"/>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c r="CD33" s="6"/>
      <c r="CE33" s="6"/>
      <c r="CF33" s="6"/>
      <c r="CG33" s="6"/>
      <c r="CH33" s="6"/>
      <c r="CI33" s="6"/>
      <c r="CJ33" s="6"/>
    </row>
    <row r="34" spans="1:88" s="7" customFormat="1" x14ac:dyDescent="0.2">
      <c r="A34" s="5"/>
      <c r="B34" s="5"/>
      <c r="C34" s="5"/>
      <c r="D34" s="5"/>
      <c r="E34" s="5"/>
      <c r="F34" s="5"/>
      <c r="G34" s="5"/>
      <c r="H34" s="5"/>
      <c r="I34" s="5"/>
      <c r="J34" s="5"/>
      <c r="K34" s="5"/>
      <c r="L34" s="5"/>
      <c r="M34" s="50"/>
      <c r="N34" s="50"/>
      <c r="O34" s="50"/>
      <c r="P34" s="110"/>
      <c r="Q34" s="108"/>
      <c r="R34" s="5"/>
      <c r="S34" s="5"/>
      <c r="T34" s="5"/>
      <c r="U34" s="5"/>
      <c r="V34" s="5"/>
      <c r="W34" s="5"/>
      <c r="X34" s="5"/>
      <c r="Y34" s="5"/>
      <c r="Z34" s="215"/>
      <c r="AA34" s="5"/>
      <c r="AB34" s="5"/>
      <c r="AC34" s="5"/>
      <c r="AD34" s="5"/>
      <c r="AE34" s="5"/>
      <c r="AF34" s="5"/>
      <c r="AG34" s="167"/>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c r="CA34" s="6"/>
      <c r="CB34" s="6"/>
      <c r="CC34" s="6"/>
      <c r="CD34" s="6"/>
      <c r="CE34" s="6"/>
      <c r="CF34" s="6"/>
      <c r="CG34" s="6"/>
      <c r="CH34" s="6"/>
      <c r="CI34" s="6"/>
      <c r="CJ34" s="6"/>
    </row>
    <row r="35" spans="1:88" s="7" customFormat="1" x14ac:dyDescent="0.2">
      <c r="A35" s="5"/>
      <c r="B35" s="5"/>
      <c r="C35" s="5"/>
      <c r="D35" s="5"/>
      <c r="E35" s="5"/>
      <c r="F35" s="5"/>
      <c r="G35" s="5"/>
      <c r="H35" s="5"/>
      <c r="I35" s="5"/>
      <c r="J35" s="5"/>
      <c r="K35" s="5"/>
      <c r="L35" s="5"/>
      <c r="M35" s="50"/>
      <c r="N35" s="50"/>
      <c r="O35" s="50"/>
      <c r="P35" s="110"/>
      <c r="Q35" s="108"/>
      <c r="R35" s="5"/>
      <c r="S35" s="5"/>
      <c r="T35" s="5"/>
      <c r="U35" s="5"/>
      <c r="V35" s="5"/>
      <c r="W35" s="5"/>
      <c r="X35" s="5"/>
      <c r="Y35" s="5"/>
      <c r="Z35" s="215"/>
      <c r="AA35" s="5"/>
      <c r="AB35" s="5"/>
      <c r="AC35" s="5"/>
      <c r="AD35" s="5"/>
      <c r="AE35" s="5"/>
      <c r="AF35" s="5"/>
      <c r="AG35" s="167"/>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6"/>
      <c r="CF35" s="6"/>
      <c r="CG35" s="6"/>
      <c r="CH35" s="6"/>
      <c r="CI35" s="6"/>
      <c r="CJ35" s="6"/>
    </row>
    <row r="36" spans="1:88" s="7" customFormat="1" x14ac:dyDescent="0.2">
      <c r="A36" s="5"/>
      <c r="B36" s="5"/>
      <c r="C36" s="5"/>
      <c r="D36" s="5"/>
      <c r="E36" s="5"/>
      <c r="F36" s="5"/>
      <c r="G36" s="5"/>
      <c r="H36" s="5"/>
      <c r="I36" s="5"/>
      <c r="J36" s="5"/>
      <c r="K36" s="5"/>
      <c r="L36" s="5"/>
      <c r="M36" s="50"/>
      <c r="N36" s="50"/>
      <c r="O36" s="50"/>
      <c r="P36" s="110"/>
      <c r="Q36" s="108"/>
      <c r="R36" s="5"/>
      <c r="S36" s="5"/>
      <c r="T36" s="5"/>
      <c r="U36" s="5"/>
      <c r="V36" s="5"/>
      <c r="W36" s="5"/>
      <c r="X36" s="5"/>
      <c r="Y36" s="5"/>
      <c r="Z36" s="215"/>
      <c r="AA36" s="5"/>
      <c r="AB36" s="5"/>
      <c r="AC36" s="5"/>
      <c r="AD36" s="5"/>
      <c r="AE36" s="5"/>
      <c r="AF36" s="5"/>
      <c r="AG36" s="167"/>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c r="CA36" s="6"/>
      <c r="CB36" s="6"/>
      <c r="CC36" s="6"/>
      <c r="CD36" s="6"/>
      <c r="CE36" s="6"/>
      <c r="CF36" s="6"/>
      <c r="CG36" s="6"/>
      <c r="CH36" s="6"/>
      <c r="CI36" s="6"/>
      <c r="CJ36" s="6"/>
    </row>
    <row r="37" spans="1:88" s="7" customFormat="1" x14ac:dyDescent="0.2">
      <c r="A37" s="5"/>
      <c r="B37" s="5"/>
      <c r="C37" s="5"/>
      <c r="D37" s="5"/>
      <c r="E37" s="5"/>
      <c r="F37" s="5"/>
      <c r="G37" s="5"/>
      <c r="H37" s="5"/>
      <c r="I37" s="5"/>
      <c r="J37" s="5"/>
      <c r="K37" s="5"/>
      <c r="L37" s="5"/>
      <c r="M37" s="50"/>
      <c r="N37" s="50"/>
      <c r="O37" s="50"/>
      <c r="P37" s="110"/>
      <c r="Q37" s="108"/>
      <c r="R37" s="5"/>
      <c r="S37" s="5"/>
      <c r="T37" s="5"/>
      <c r="U37" s="5"/>
      <c r="V37" s="5"/>
      <c r="W37" s="5"/>
      <c r="X37" s="5"/>
      <c r="Y37" s="5"/>
      <c r="Z37" s="215"/>
      <c r="AA37" s="5"/>
      <c r="AB37" s="5"/>
      <c r="AC37" s="5"/>
      <c r="AD37" s="5"/>
      <c r="AE37" s="5"/>
      <c r="AF37" s="5"/>
      <c r="AG37" s="167"/>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c r="CA37" s="6"/>
      <c r="CB37" s="6"/>
      <c r="CC37" s="6"/>
      <c r="CD37" s="6"/>
      <c r="CE37" s="6"/>
      <c r="CF37" s="6"/>
      <c r="CG37" s="6"/>
      <c r="CH37" s="6"/>
      <c r="CI37" s="6"/>
      <c r="CJ37" s="6"/>
    </row>
    <row r="38" spans="1:88" s="7" customFormat="1" x14ac:dyDescent="0.2">
      <c r="A38" s="5"/>
      <c r="B38" s="5"/>
      <c r="C38" s="5"/>
      <c r="D38" s="5"/>
      <c r="E38" s="5"/>
      <c r="F38" s="5"/>
      <c r="G38" s="5"/>
      <c r="H38" s="5"/>
      <c r="I38" s="5"/>
      <c r="J38" s="5"/>
      <c r="K38" s="5"/>
      <c r="L38" s="5"/>
      <c r="M38" s="50"/>
      <c r="N38" s="50"/>
      <c r="O38" s="50"/>
      <c r="P38" s="110"/>
      <c r="Q38" s="108"/>
      <c r="R38" s="5"/>
      <c r="S38" s="5"/>
      <c r="T38" s="5"/>
      <c r="U38" s="5"/>
      <c r="V38" s="5"/>
      <c r="W38" s="5"/>
      <c r="X38" s="5"/>
      <c r="Y38" s="5"/>
      <c r="Z38" s="215"/>
      <c r="AA38" s="5"/>
      <c r="AB38" s="5"/>
      <c r="AC38" s="5"/>
      <c r="AD38" s="5"/>
      <c r="AE38" s="5"/>
      <c r="AF38" s="5"/>
      <c r="AG38" s="167"/>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c r="CA38" s="6"/>
      <c r="CB38" s="6"/>
      <c r="CC38" s="6"/>
      <c r="CD38" s="6"/>
      <c r="CE38" s="6"/>
      <c r="CF38" s="6"/>
      <c r="CG38" s="6"/>
      <c r="CH38" s="6"/>
      <c r="CI38" s="6"/>
      <c r="CJ38" s="6"/>
    </row>
    <row r="39" spans="1:88" s="7" customFormat="1" x14ac:dyDescent="0.2">
      <c r="A39" s="5"/>
      <c r="B39" s="5"/>
      <c r="C39" s="5"/>
      <c r="D39" s="5"/>
      <c r="E39" s="5"/>
      <c r="F39" s="5"/>
      <c r="G39" s="5"/>
      <c r="H39" s="5"/>
      <c r="I39" s="5"/>
      <c r="J39" s="5"/>
      <c r="K39" s="5"/>
      <c r="L39" s="5"/>
      <c r="M39" s="50"/>
      <c r="N39" s="50"/>
      <c r="O39" s="50"/>
      <c r="P39" s="110"/>
      <c r="Q39" s="108"/>
      <c r="R39" s="5"/>
      <c r="S39" s="5"/>
      <c r="T39" s="5"/>
      <c r="U39" s="5"/>
      <c r="V39" s="5"/>
      <c r="W39" s="5"/>
      <c r="X39" s="5"/>
      <c r="Y39" s="5"/>
      <c r="Z39" s="215"/>
      <c r="AA39" s="5"/>
      <c r="AB39" s="5"/>
      <c r="AC39" s="5"/>
      <c r="AD39" s="5"/>
      <c r="AE39" s="5"/>
      <c r="AF39" s="5"/>
      <c r="AG39" s="167"/>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c r="BU39" s="6"/>
      <c r="BV39" s="6"/>
      <c r="BW39" s="6"/>
      <c r="BX39" s="6"/>
      <c r="BY39" s="6"/>
      <c r="BZ39" s="6"/>
      <c r="CA39" s="6"/>
      <c r="CB39" s="6"/>
      <c r="CC39" s="6"/>
      <c r="CD39" s="6"/>
      <c r="CE39" s="6"/>
      <c r="CF39" s="6"/>
      <c r="CG39" s="6"/>
      <c r="CH39" s="6"/>
      <c r="CI39" s="6"/>
      <c r="CJ39" s="6"/>
    </row>
    <row r="40" spans="1:88" s="7" customFormat="1" x14ac:dyDescent="0.2">
      <c r="A40" s="5"/>
      <c r="B40" s="5"/>
      <c r="C40" s="5"/>
      <c r="D40" s="5"/>
      <c r="E40" s="5"/>
      <c r="F40" s="5"/>
      <c r="G40" s="5"/>
      <c r="H40" s="5"/>
      <c r="I40" s="5"/>
      <c r="J40" s="5"/>
      <c r="K40" s="5"/>
      <c r="L40" s="5"/>
      <c r="M40" s="50"/>
      <c r="N40" s="50"/>
      <c r="O40" s="50"/>
      <c r="P40" s="110"/>
      <c r="Q40" s="108"/>
      <c r="R40" s="5"/>
      <c r="S40" s="5"/>
      <c r="T40" s="5"/>
      <c r="U40" s="5"/>
      <c r="V40" s="5"/>
      <c r="W40" s="5"/>
      <c r="X40" s="5"/>
      <c r="Y40" s="5"/>
      <c r="Z40" s="215"/>
      <c r="AA40" s="5"/>
      <c r="AB40" s="5"/>
      <c r="AC40" s="5"/>
      <c r="AD40" s="5"/>
      <c r="AE40" s="5"/>
      <c r="AF40" s="5"/>
      <c r="AG40" s="167"/>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c r="CD40" s="6"/>
      <c r="CE40" s="6"/>
      <c r="CF40" s="6"/>
      <c r="CG40" s="6"/>
      <c r="CH40" s="6"/>
      <c r="CI40" s="6"/>
      <c r="CJ40" s="6"/>
    </row>
    <row r="41" spans="1:88" s="7" customFormat="1" x14ac:dyDescent="0.2">
      <c r="A41" s="5"/>
      <c r="B41" s="5"/>
      <c r="C41" s="5"/>
      <c r="D41" s="5"/>
      <c r="E41" s="5"/>
      <c r="F41" s="5"/>
      <c r="G41" s="5"/>
      <c r="H41" s="5"/>
      <c r="I41" s="5"/>
      <c r="J41" s="5"/>
      <c r="K41" s="5"/>
      <c r="L41" s="5"/>
      <c r="M41" s="50"/>
      <c r="N41" s="50"/>
      <c r="O41" s="50"/>
      <c r="P41" s="110"/>
      <c r="Q41" s="108"/>
      <c r="R41" s="5"/>
      <c r="S41" s="5"/>
      <c r="T41" s="5"/>
      <c r="U41" s="5"/>
      <c r="V41" s="5"/>
      <c r="W41" s="5"/>
      <c r="X41" s="5"/>
      <c r="Y41" s="5"/>
      <c r="Z41" s="215"/>
      <c r="AA41" s="5"/>
      <c r="AB41" s="5"/>
      <c r="AC41" s="5"/>
      <c r="AD41" s="5"/>
      <c r="AE41" s="5"/>
      <c r="AF41" s="5"/>
      <c r="AG41" s="167"/>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c r="CD41" s="6"/>
      <c r="CE41" s="6"/>
      <c r="CF41" s="6"/>
      <c r="CG41" s="6"/>
      <c r="CH41" s="6"/>
      <c r="CI41" s="6"/>
      <c r="CJ41" s="6"/>
    </row>
    <row r="42" spans="1:88" s="7" customFormat="1" x14ac:dyDescent="0.2">
      <c r="A42" s="5"/>
      <c r="B42" s="5"/>
      <c r="C42" s="5"/>
      <c r="D42" s="5"/>
      <c r="E42" s="5"/>
      <c r="F42" s="5"/>
      <c r="G42" s="5"/>
      <c r="H42" s="5"/>
      <c r="I42" s="5"/>
      <c r="J42" s="5"/>
      <c r="K42" s="5"/>
      <c r="L42" s="5"/>
      <c r="M42" s="50"/>
      <c r="N42" s="50"/>
      <c r="O42" s="50"/>
      <c r="P42" s="110"/>
      <c r="Q42" s="108"/>
      <c r="R42" s="5"/>
      <c r="S42" s="5"/>
      <c r="T42" s="5"/>
      <c r="U42" s="5"/>
      <c r="V42" s="5"/>
      <c r="W42" s="5"/>
      <c r="X42" s="5"/>
      <c r="Y42" s="5"/>
      <c r="Z42" s="215"/>
      <c r="AA42" s="5"/>
      <c r="AB42" s="5"/>
      <c r="AC42" s="5"/>
      <c r="AD42" s="5"/>
      <c r="AE42" s="5"/>
      <c r="AF42" s="5"/>
      <c r="AG42" s="167"/>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c r="BH42" s="6"/>
      <c r="BI42" s="6"/>
      <c r="BJ42" s="6"/>
      <c r="BK42" s="6"/>
      <c r="BL42" s="6"/>
      <c r="BM42" s="6"/>
      <c r="BN42" s="6"/>
      <c r="BO42" s="6"/>
      <c r="BP42" s="6"/>
      <c r="BQ42" s="6"/>
      <c r="BR42" s="6"/>
      <c r="BS42" s="6"/>
      <c r="BT42" s="6"/>
      <c r="BU42" s="6"/>
      <c r="BV42" s="6"/>
      <c r="BW42" s="6"/>
      <c r="BX42" s="6"/>
      <c r="BY42" s="6"/>
      <c r="BZ42" s="6"/>
      <c r="CA42" s="6"/>
      <c r="CB42" s="6"/>
      <c r="CC42" s="6"/>
      <c r="CD42" s="6"/>
      <c r="CE42" s="6"/>
      <c r="CF42" s="6"/>
      <c r="CG42" s="6"/>
      <c r="CH42" s="6"/>
      <c r="CI42" s="6"/>
      <c r="CJ42" s="6"/>
    </row>
    <row r="43" spans="1:88" s="7" customFormat="1" x14ac:dyDescent="0.2">
      <c r="A43" s="5"/>
      <c r="B43" s="5"/>
      <c r="C43" s="5"/>
      <c r="D43" s="5"/>
      <c r="E43" s="5"/>
      <c r="F43" s="5"/>
      <c r="G43" s="5"/>
      <c r="H43" s="5"/>
      <c r="I43" s="5"/>
      <c r="J43" s="5"/>
      <c r="K43" s="5"/>
      <c r="L43" s="5"/>
      <c r="M43" s="50"/>
      <c r="N43" s="50"/>
      <c r="O43" s="50"/>
      <c r="P43" s="110"/>
      <c r="Q43" s="108"/>
      <c r="R43" s="5"/>
      <c r="S43" s="5"/>
      <c r="T43" s="5"/>
      <c r="U43" s="5"/>
      <c r="V43" s="5"/>
      <c r="W43" s="5"/>
      <c r="X43" s="5"/>
      <c r="Y43" s="5"/>
      <c r="Z43" s="215"/>
      <c r="AA43" s="5"/>
      <c r="AB43" s="5"/>
      <c r="AC43" s="5"/>
      <c r="AD43" s="5"/>
      <c r="AE43" s="5"/>
      <c r="AF43" s="5"/>
      <c r="AG43" s="167"/>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P43" s="6"/>
      <c r="BQ43" s="6"/>
      <c r="BR43" s="6"/>
      <c r="BS43" s="6"/>
      <c r="BT43" s="6"/>
      <c r="BU43" s="6"/>
      <c r="BV43" s="6"/>
      <c r="BW43" s="6"/>
      <c r="BX43" s="6"/>
      <c r="BY43" s="6"/>
      <c r="BZ43" s="6"/>
      <c r="CA43" s="6"/>
      <c r="CB43" s="6"/>
      <c r="CC43" s="6"/>
      <c r="CD43" s="6"/>
      <c r="CE43" s="6"/>
      <c r="CF43" s="6"/>
      <c r="CG43" s="6"/>
      <c r="CH43" s="6"/>
      <c r="CI43" s="6"/>
      <c r="CJ43" s="6"/>
    </row>
    <row r="44" spans="1:88" s="7" customFormat="1" x14ac:dyDescent="0.2">
      <c r="A44" s="5"/>
      <c r="B44" s="5"/>
      <c r="C44" s="5"/>
      <c r="D44" s="5"/>
      <c r="E44" s="5"/>
      <c r="F44" s="5"/>
      <c r="G44" s="5"/>
      <c r="H44" s="5"/>
      <c r="I44" s="5"/>
      <c r="J44" s="5"/>
      <c r="K44" s="5"/>
      <c r="L44" s="5"/>
      <c r="M44" s="50"/>
      <c r="N44" s="50"/>
      <c r="O44" s="50"/>
      <c r="P44" s="110"/>
      <c r="Q44" s="108"/>
      <c r="R44" s="5"/>
      <c r="S44" s="5"/>
      <c r="T44" s="5"/>
      <c r="U44" s="5"/>
      <c r="V44" s="5"/>
      <c r="W44" s="5"/>
      <c r="X44" s="5"/>
      <c r="Y44" s="5"/>
      <c r="Z44" s="215"/>
      <c r="AA44" s="5"/>
      <c r="AB44" s="5"/>
      <c r="AC44" s="5"/>
      <c r="AD44" s="5"/>
      <c r="AE44" s="5"/>
      <c r="AF44" s="5"/>
      <c r="AG44" s="167"/>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c r="BU44" s="6"/>
      <c r="BV44" s="6"/>
      <c r="BW44" s="6"/>
      <c r="BX44" s="6"/>
      <c r="BY44" s="6"/>
      <c r="BZ44" s="6"/>
      <c r="CA44" s="6"/>
      <c r="CB44" s="6"/>
      <c r="CC44" s="6"/>
      <c r="CD44" s="6"/>
      <c r="CE44" s="6"/>
      <c r="CF44" s="6"/>
      <c r="CG44" s="6"/>
      <c r="CH44" s="6"/>
      <c r="CI44" s="6"/>
      <c r="CJ44" s="6"/>
    </row>
    <row r="45" spans="1:88" s="7" customFormat="1" x14ac:dyDescent="0.2">
      <c r="A45" s="5"/>
      <c r="B45" s="5"/>
      <c r="C45" s="5"/>
      <c r="D45" s="5"/>
      <c r="E45" s="5"/>
      <c r="F45" s="5"/>
      <c r="G45" s="5"/>
      <c r="H45" s="5"/>
      <c r="I45" s="5"/>
      <c r="J45" s="5"/>
      <c r="K45" s="5"/>
      <c r="L45" s="5"/>
      <c r="M45" s="50"/>
      <c r="N45" s="50"/>
      <c r="O45" s="50"/>
      <c r="P45" s="110"/>
      <c r="Q45" s="108"/>
      <c r="R45" s="5"/>
      <c r="S45" s="5"/>
      <c r="T45" s="5"/>
      <c r="U45" s="5"/>
      <c r="V45" s="5"/>
      <c r="W45" s="5"/>
      <c r="X45" s="5"/>
      <c r="Y45" s="5"/>
      <c r="Z45" s="215"/>
      <c r="AA45" s="5"/>
      <c r="AB45" s="5"/>
      <c r="AC45" s="5"/>
      <c r="AD45" s="5"/>
      <c r="AE45" s="5"/>
      <c r="AF45" s="5"/>
      <c r="AG45" s="167"/>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c r="BU45" s="6"/>
      <c r="BV45" s="6"/>
      <c r="BW45" s="6"/>
      <c r="BX45" s="6"/>
      <c r="BY45" s="6"/>
      <c r="BZ45" s="6"/>
      <c r="CA45" s="6"/>
      <c r="CB45" s="6"/>
      <c r="CC45" s="6"/>
      <c r="CD45" s="6"/>
      <c r="CE45" s="6"/>
      <c r="CF45" s="6"/>
      <c r="CG45" s="6"/>
      <c r="CH45" s="6"/>
      <c r="CI45" s="6"/>
      <c r="CJ45" s="6"/>
    </row>
    <row r="46" spans="1:88" s="7" customFormat="1" x14ac:dyDescent="0.2">
      <c r="A46" s="5"/>
      <c r="B46" s="5"/>
      <c r="C46" s="5"/>
      <c r="D46" s="5"/>
      <c r="E46" s="5"/>
      <c r="F46" s="5"/>
      <c r="G46" s="5"/>
      <c r="H46" s="5"/>
      <c r="I46" s="5"/>
      <c r="J46" s="5"/>
      <c r="K46" s="5"/>
      <c r="L46" s="5"/>
      <c r="M46" s="50"/>
      <c r="N46" s="50"/>
      <c r="O46" s="50"/>
      <c r="P46" s="110"/>
      <c r="Q46" s="108"/>
      <c r="R46" s="5"/>
      <c r="S46" s="5"/>
      <c r="T46" s="5"/>
      <c r="U46" s="5"/>
      <c r="V46" s="5"/>
      <c r="W46" s="5"/>
      <c r="X46" s="5"/>
      <c r="Y46" s="5"/>
      <c r="Z46" s="215"/>
      <c r="AA46" s="5"/>
      <c r="AB46" s="5"/>
      <c r="AC46" s="5"/>
      <c r="AD46" s="5"/>
      <c r="AE46" s="5"/>
      <c r="AF46" s="5"/>
      <c r="AG46" s="167"/>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c r="BU46" s="6"/>
      <c r="BV46" s="6"/>
      <c r="BW46" s="6"/>
      <c r="BX46" s="6"/>
      <c r="BY46" s="6"/>
      <c r="BZ46" s="6"/>
      <c r="CA46" s="6"/>
      <c r="CB46" s="6"/>
      <c r="CC46" s="6"/>
      <c r="CD46" s="6"/>
      <c r="CE46" s="6"/>
      <c r="CF46" s="6"/>
      <c r="CG46" s="6"/>
      <c r="CH46" s="6"/>
      <c r="CI46" s="6"/>
      <c r="CJ46" s="6"/>
    </row>
    <row r="47" spans="1:88" s="7" customFormat="1" x14ac:dyDescent="0.2">
      <c r="A47" s="5"/>
      <c r="B47" s="5"/>
      <c r="C47" s="5"/>
      <c r="D47" s="5"/>
      <c r="E47" s="5"/>
      <c r="F47" s="5"/>
      <c r="G47" s="5"/>
      <c r="H47" s="5"/>
      <c r="I47" s="5"/>
      <c r="J47" s="5"/>
      <c r="K47" s="5"/>
      <c r="L47" s="5"/>
      <c r="M47" s="50"/>
      <c r="N47" s="50"/>
      <c r="O47" s="50"/>
      <c r="P47" s="110"/>
      <c r="Q47" s="108"/>
      <c r="R47" s="5"/>
      <c r="S47" s="5"/>
      <c r="T47" s="5"/>
      <c r="U47" s="5"/>
      <c r="V47" s="5"/>
      <c r="W47" s="5"/>
      <c r="X47" s="5"/>
      <c r="Y47" s="5"/>
      <c r="Z47" s="215"/>
      <c r="AA47" s="5"/>
      <c r="AB47" s="5"/>
      <c r="AC47" s="5"/>
      <c r="AD47" s="5"/>
      <c r="AE47" s="5"/>
      <c r="AF47" s="5"/>
      <c r="AG47" s="167"/>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c r="CA47" s="6"/>
      <c r="CB47" s="6"/>
      <c r="CC47" s="6"/>
      <c r="CD47" s="6"/>
      <c r="CE47" s="6"/>
      <c r="CF47" s="6"/>
      <c r="CG47" s="6"/>
      <c r="CH47" s="6"/>
      <c r="CI47" s="6"/>
      <c r="CJ47" s="6"/>
    </row>
    <row r="48" spans="1:88" s="7" customFormat="1" x14ac:dyDescent="0.2">
      <c r="A48" s="5"/>
      <c r="B48" s="5"/>
      <c r="C48" s="5"/>
      <c r="D48" s="5"/>
      <c r="E48" s="5"/>
      <c r="F48" s="5"/>
      <c r="G48" s="5"/>
      <c r="H48" s="5"/>
      <c r="I48" s="5"/>
      <c r="J48" s="5"/>
      <c r="K48" s="5"/>
      <c r="L48" s="5"/>
      <c r="M48" s="50"/>
      <c r="N48" s="50"/>
      <c r="O48" s="50"/>
      <c r="P48" s="110"/>
      <c r="Q48" s="108"/>
      <c r="R48" s="5"/>
      <c r="S48" s="5"/>
      <c r="T48" s="5"/>
      <c r="U48" s="5"/>
      <c r="V48" s="5"/>
      <c r="W48" s="5"/>
      <c r="X48" s="5"/>
      <c r="Y48" s="5"/>
      <c r="Z48" s="215"/>
      <c r="AA48" s="5"/>
      <c r="AB48" s="5"/>
      <c r="AC48" s="5"/>
      <c r="AD48" s="5"/>
      <c r="AE48" s="5"/>
      <c r="AF48" s="5"/>
      <c r="AG48" s="167"/>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c r="BJ48" s="6"/>
      <c r="BK48" s="6"/>
      <c r="BL48" s="6"/>
      <c r="BM48" s="6"/>
      <c r="BN48" s="6"/>
      <c r="BO48" s="6"/>
      <c r="BP48" s="6"/>
      <c r="BQ48" s="6"/>
      <c r="BR48" s="6"/>
      <c r="BS48" s="6"/>
      <c r="BT48" s="6"/>
      <c r="BU48" s="6"/>
      <c r="BV48" s="6"/>
      <c r="BW48" s="6"/>
      <c r="BX48" s="6"/>
      <c r="BY48" s="6"/>
      <c r="BZ48" s="6"/>
      <c r="CA48" s="6"/>
      <c r="CB48" s="6"/>
      <c r="CC48" s="6"/>
      <c r="CD48" s="6"/>
      <c r="CE48" s="6"/>
      <c r="CF48" s="6"/>
      <c r="CG48" s="6"/>
      <c r="CH48" s="6"/>
      <c r="CI48" s="6"/>
      <c r="CJ48" s="6"/>
    </row>
    <row r="49" spans="1:88" s="7" customFormat="1" x14ac:dyDescent="0.2">
      <c r="A49" s="5"/>
      <c r="B49" s="5"/>
      <c r="C49" s="5"/>
      <c r="D49" s="5"/>
      <c r="E49" s="5"/>
      <c r="F49" s="5"/>
      <c r="G49" s="5"/>
      <c r="H49" s="5"/>
      <c r="I49" s="5"/>
      <c r="J49" s="5"/>
      <c r="K49" s="5"/>
      <c r="L49" s="5"/>
      <c r="M49" s="50"/>
      <c r="N49" s="50"/>
      <c r="O49" s="50"/>
      <c r="P49" s="110"/>
      <c r="Q49" s="108"/>
      <c r="R49" s="5"/>
      <c r="S49" s="5"/>
      <c r="T49" s="5"/>
      <c r="U49" s="5"/>
      <c r="V49" s="5"/>
      <c r="W49" s="5"/>
      <c r="X49" s="5"/>
      <c r="Y49" s="5"/>
      <c r="Z49" s="215"/>
      <c r="AA49" s="5"/>
      <c r="AB49" s="5"/>
      <c r="AC49" s="5"/>
      <c r="AD49" s="5"/>
      <c r="AE49" s="5"/>
      <c r="AF49" s="5"/>
      <c r="AG49" s="167"/>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c r="BJ49" s="6"/>
      <c r="BK49" s="6"/>
      <c r="BL49" s="6"/>
      <c r="BM49" s="6"/>
      <c r="BN49" s="6"/>
      <c r="BO49" s="6"/>
      <c r="BP49" s="6"/>
      <c r="BQ49" s="6"/>
      <c r="BR49" s="6"/>
      <c r="BS49" s="6"/>
      <c r="BT49" s="6"/>
      <c r="BU49" s="6"/>
      <c r="BV49" s="6"/>
      <c r="BW49" s="6"/>
      <c r="BX49" s="6"/>
      <c r="BY49" s="6"/>
      <c r="BZ49" s="6"/>
      <c r="CA49" s="6"/>
      <c r="CB49" s="6"/>
      <c r="CC49" s="6"/>
      <c r="CD49" s="6"/>
      <c r="CE49" s="6"/>
      <c r="CF49" s="6"/>
      <c r="CG49" s="6"/>
      <c r="CH49" s="6"/>
      <c r="CI49" s="6"/>
      <c r="CJ49" s="6"/>
    </row>
    <row r="50" spans="1:88" s="7" customFormat="1" x14ac:dyDescent="0.2">
      <c r="A50" s="5"/>
      <c r="B50" s="5"/>
      <c r="C50" s="5"/>
      <c r="D50" s="5"/>
      <c r="E50" s="5"/>
      <c r="F50" s="5"/>
      <c r="G50" s="5"/>
      <c r="H50" s="5"/>
      <c r="I50" s="5"/>
      <c r="J50" s="5"/>
      <c r="K50" s="5"/>
      <c r="L50" s="5"/>
      <c r="M50" s="50"/>
      <c r="N50" s="50"/>
      <c r="O50" s="50"/>
      <c r="P50" s="110"/>
      <c r="Q50" s="108"/>
      <c r="R50" s="5"/>
      <c r="S50" s="5"/>
      <c r="T50" s="5"/>
      <c r="U50" s="5"/>
      <c r="V50" s="5"/>
      <c r="W50" s="5"/>
      <c r="X50" s="5"/>
      <c r="Y50" s="5"/>
      <c r="Z50" s="215"/>
      <c r="AA50" s="5"/>
      <c r="AB50" s="5"/>
      <c r="AC50" s="5"/>
      <c r="AD50" s="5"/>
      <c r="AE50" s="5"/>
      <c r="AF50" s="5"/>
      <c r="AG50" s="167"/>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c r="CA50" s="6"/>
      <c r="CB50" s="6"/>
      <c r="CC50" s="6"/>
      <c r="CD50" s="6"/>
      <c r="CE50" s="6"/>
      <c r="CF50" s="6"/>
      <c r="CG50" s="6"/>
      <c r="CH50" s="6"/>
      <c r="CI50" s="6"/>
      <c r="CJ50" s="6"/>
    </row>
    <row r="51" spans="1:88" s="7" customFormat="1" x14ac:dyDescent="0.2">
      <c r="A51" s="5"/>
      <c r="B51" s="5"/>
      <c r="C51" s="5"/>
      <c r="D51" s="5"/>
      <c r="E51" s="5"/>
      <c r="F51" s="5"/>
      <c r="G51" s="5"/>
      <c r="H51" s="5"/>
      <c r="I51" s="5"/>
      <c r="J51" s="5"/>
      <c r="K51" s="5"/>
      <c r="L51" s="5"/>
      <c r="M51" s="50"/>
      <c r="N51" s="50"/>
      <c r="O51" s="50"/>
      <c r="P51" s="110"/>
      <c r="Q51" s="108"/>
      <c r="R51" s="5"/>
      <c r="S51" s="5"/>
      <c r="T51" s="5"/>
      <c r="U51" s="5"/>
      <c r="V51" s="5"/>
      <c r="W51" s="5"/>
      <c r="X51" s="5"/>
      <c r="Y51" s="5"/>
      <c r="Z51" s="215"/>
      <c r="AA51" s="5"/>
      <c r="AB51" s="5"/>
      <c r="AC51" s="5"/>
      <c r="AD51" s="5"/>
      <c r="AE51" s="5"/>
      <c r="AF51" s="5"/>
      <c r="AG51" s="167"/>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c r="CD51" s="6"/>
      <c r="CE51" s="6"/>
      <c r="CF51" s="6"/>
      <c r="CG51" s="6"/>
      <c r="CH51" s="6"/>
      <c r="CI51" s="6"/>
      <c r="CJ51" s="6"/>
    </row>
    <row r="52" spans="1:88" s="7" customFormat="1" x14ac:dyDescent="0.2">
      <c r="A52" s="5"/>
      <c r="B52" s="5"/>
      <c r="C52" s="5"/>
      <c r="D52" s="5"/>
      <c r="E52" s="5"/>
      <c r="F52" s="5"/>
      <c r="G52" s="5"/>
      <c r="H52" s="5"/>
      <c r="I52" s="5"/>
      <c r="J52" s="5"/>
      <c r="K52" s="5"/>
      <c r="L52" s="5"/>
      <c r="M52" s="50"/>
      <c r="N52" s="50"/>
      <c r="O52" s="50"/>
      <c r="P52" s="110"/>
      <c r="Q52" s="108"/>
      <c r="R52" s="5"/>
      <c r="S52" s="5"/>
      <c r="T52" s="5"/>
      <c r="U52" s="5"/>
      <c r="V52" s="5"/>
      <c r="W52" s="5"/>
      <c r="X52" s="5"/>
      <c r="Y52" s="5"/>
      <c r="Z52" s="215"/>
      <c r="AA52" s="5"/>
      <c r="AB52" s="5"/>
      <c r="AC52" s="5"/>
      <c r="AD52" s="5"/>
      <c r="AE52" s="5"/>
      <c r="AF52" s="5"/>
      <c r="AG52" s="167"/>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c r="BJ52" s="6"/>
      <c r="BK52" s="6"/>
      <c r="BL52" s="6"/>
      <c r="BM52" s="6"/>
      <c r="BN52" s="6"/>
      <c r="BO52" s="6"/>
      <c r="BP52" s="6"/>
      <c r="BQ52" s="6"/>
      <c r="BR52" s="6"/>
      <c r="BS52" s="6"/>
      <c r="BT52" s="6"/>
      <c r="BU52" s="6"/>
      <c r="BV52" s="6"/>
      <c r="BW52" s="6"/>
      <c r="BX52" s="6"/>
      <c r="BY52" s="6"/>
      <c r="BZ52" s="6"/>
      <c r="CA52" s="6"/>
      <c r="CB52" s="6"/>
      <c r="CC52" s="6"/>
      <c r="CD52" s="6"/>
      <c r="CE52" s="6"/>
      <c r="CF52" s="6"/>
      <c r="CG52" s="6"/>
      <c r="CH52" s="6"/>
      <c r="CI52" s="6"/>
      <c r="CJ52" s="6"/>
    </row>
    <row r="53" spans="1:88" s="7" customFormat="1" x14ac:dyDescent="0.2">
      <c r="A53" s="5"/>
      <c r="B53" s="5"/>
      <c r="C53" s="5"/>
      <c r="D53" s="5"/>
      <c r="E53" s="5"/>
      <c r="F53" s="5"/>
      <c r="G53" s="5"/>
      <c r="H53" s="5"/>
      <c r="I53" s="5"/>
      <c r="J53" s="5"/>
      <c r="K53" s="5"/>
      <c r="L53" s="5"/>
      <c r="M53" s="50"/>
      <c r="N53" s="50"/>
      <c r="O53" s="50"/>
      <c r="P53" s="110"/>
      <c r="Q53" s="108"/>
      <c r="R53" s="5"/>
      <c r="S53" s="5"/>
      <c r="T53" s="5"/>
      <c r="U53" s="5"/>
      <c r="V53" s="5"/>
      <c r="W53" s="5"/>
      <c r="X53" s="5"/>
      <c r="Y53" s="5"/>
      <c r="Z53" s="215"/>
      <c r="AA53" s="5"/>
      <c r="AB53" s="5"/>
      <c r="AC53" s="5"/>
      <c r="AD53" s="5"/>
      <c r="AE53" s="5"/>
      <c r="AF53" s="5"/>
      <c r="AG53" s="167"/>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c r="BJ53" s="6"/>
      <c r="BK53" s="6"/>
      <c r="BL53" s="6"/>
      <c r="BM53" s="6"/>
      <c r="BN53" s="6"/>
      <c r="BO53" s="6"/>
      <c r="BP53" s="6"/>
      <c r="BQ53" s="6"/>
      <c r="BR53" s="6"/>
      <c r="BS53" s="6"/>
      <c r="BT53" s="6"/>
      <c r="BU53" s="6"/>
      <c r="BV53" s="6"/>
      <c r="BW53" s="6"/>
      <c r="BX53" s="6"/>
      <c r="BY53" s="6"/>
      <c r="BZ53" s="6"/>
      <c r="CA53" s="6"/>
      <c r="CB53" s="6"/>
      <c r="CC53" s="6"/>
      <c r="CD53" s="6"/>
      <c r="CE53" s="6"/>
      <c r="CF53" s="6"/>
      <c r="CG53" s="6"/>
      <c r="CH53" s="6"/>
      <c r="CI53" s="6"/>
      <c r="CJ53" s="6"/>
    </row>
    <row r="54" spans="1:88" s="7" customFormat="1" x14ac:dyDescent="0.2">
      <c r="A54" s="5"/>
      <c r="B54" s="5"/>
      <c r="C54" s="5"/>
      <c r="D54" s="5"/>
      <c r="E54" s="5"/>
      <c r="F54" s="5"/>
      <c r="G54" s="5"/>
      <c r="H54" s="5"/>
      <c r="I54" s="5"/>
      <c r="J54" s="5"/>
      <c r="K54" s="5"/>
      <c r="L54" s="5"/>
      <c r="M54" s="50"/>
      <c r="N54" s="50"/>
      <c r="O54" s="50"/>
      <c r="P54" s="110"/>
      <c r="Q54" s="108"/>
      <c r="R54" s="5"/>
      <c r="S54" s="5"/>
      <c r="T54" s="5"/>
      <c r="U54" s="5"/>
      <c r="V54" s="5"/>
      <c r="W54" s="5"/>
      <c r="X54" s="5"/>
      <c r="Y54" s="5"/>
      <c r="Z54" s="215"/>
      <c r="AA54" s="5"/>
      <c r="AB54" s="5"/>
      <c r="AC54" s="5"/>
      <c r="AD54" s="5"/>
      <c r="AE54" s="5"/>
      <c r="AF54" s="5"/>
      <c r="AG54" s="167"/>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c r="BU54" s="6"/>
      <c r="BV54" s="6"/>
      <c r="BW54" s="6"/>
      <c r="BX54" s="6"/>
      <c r="BY54" s="6"/>
      <c r="BZ54" s="6"/>
      <c r="CA54" s="6"/>
      <c r="CB54" s="6"/>
      <c r="CC54" s="6"/>
      <c r="CD54" s="6"/>
      <c r="CE54" s="6"/>
      <c r="CF54" s="6"/>
      <c r="CG54" s="6"/>
      <c r="CH54" s="6"/>
      <c r="CI54" s="6"/>
      <c r="CJ54" s="6"/>
    </row>
    <row r="55" spans="1:88" s="7" customFormat="1" x14ac:dyDescent="0.2">
      <c r="A55" s="5"/>
      <c r="B55" s="5"/>
      <c r="C55" s="5"/>
      <c r="D55" s="5"/>
      <c r="E55" s="5"/>
      <c r="F55" s="5"/>
      <c r="G55" s="5"/>
      <c r="H55" s="5"/>
      <c r="I55" s="5"/>
      <c r="J55" s="5"/>
      <c r="K55" s="5"/>
      <c r="L55" s="5"/>
      <c r="M55" s="50"/>
      <c r="N55" s="50"/>
      <c r="O55" s="50"/>
      <c r="P55" s="110"/>
      <c r="Q55" s="108"/>
      <c r="R55" s="5"/>
      <c r="S55" s="5"/>
      <c r="T55" s="5"/>
      <c r="U55" s="5"/>
      <c r="V55" s="5"/>
      <c r="W55" s="5"/>
      <c r="X55" s="5"/>
      <c r="Y55" s="5"/>
      <c r="Z55" s="215"/>
      <c r="AA55" s="5"/>
      <c r="AB55" s="5"/>
      <c r="AC55" s="5"/>
      <c r="AD55" s="5"/>
      <c r="AE55" s="5"/>
      <c r="AF55" s="5"/>
      <c r="AG55" s="167"/>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c r="BJ55" s="6"/>
      <c r="BK55" s="6"/>
      <c r="BL55" s="6"/>
      <c r="BM55" s="6"/>
      <c r="BN55" s="6"/>
      <c r="BO55" s="6"/>
      <c r="BP55" s="6"/>
      <c r="BQ55" s="6"/>
      <c r="BR55" s="6"/>
      <c r="BS55" s="6"/>
      <c r="BT55" s="6"/>
      <c r="BU55" s="6"/>
      <c r="BV55" s="6"/>
      <c r="BW55" s="6"/>
      <c r="BX55" s="6"/>
      <c r="BY55" s="6"/>
      <c r="BZ55" s="6"/>
      <c r="CA55" s="6"/>
      <c r="CB55" s="6"/>
      <c r="CC55" s="6"/>
      <c r="CD55" s="6"/>
      <c r="CE55" s="6"/>
      <c r="CF55" s="6"/>
      <c r="CG55" s="6"/>
      <c r="CH55" s="6"/>
      <c r="CI55" s="6"/>
      <c r="CJ55" s="6"/>
    </row>
    <row r="56" spans="1:88" s="7" customFormat="1" x14ac:dyDescent="0.2">
      <c r="A56" s="5"/>
      <c r="B56" s="5"/>
      <c r="C56" s="5"/>
      <c r="D56" s="5"/>
      <c r="E56" s="5"/>
      <c r="F56" s="5"/>
      <c r="G56" s="5"/>
      <c r="H56" s="5"/>
      <c r="I56" s="5"/>
      <c r="J56" s="5"/>
      <c r="K56" s="5"/>
      <c r="L56" s="5"/>
      <c r="M56" s="50"/>
      <c r="N56" s="50"/>
      <c r="O56" s="50"/>
      <c r="P56" s="110"/>
      <c r="Q56" s="108"/>
      <c r="R56" s="5"/>
      <c r="S56" s="5"/>
      <c r="T56" s="5"/>
      <c r="U56" s="5"/>
      <c r="V56" s="5"/>
      <c r="W56" s="5"/>
      <c r="X56" s="5"/>
      <c r="Y56" s="5"/>
      <c r="Z56" s="215"/>
      <c r="AA56" s="5"/>
      <c r="AB56" s="5"/>
      <c r="AC56" s="5"/>
      <c r="AD56" s="5"/>
      <c r="AE56" s="5"/>
      <c r="AF56" s="5"/>
      <c r="AG56" s="167"/>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c r="BJ56" s="6"/>
      <c r="BK56" s="6"/>
      <c r="BL56" s="6"/>
      <c r="BM56" s="6"/>
      <c r="BN56" s="6"/>
      <c r="BO56" s="6"/>
      <c r="BP56" s="6"/>
      <c r="BQ56" s="6"/>
      <c r="BR56" s="6"/>
      <c r="BS56" s="6"/>
      <c r="BT56" s="6"/>
      <c r="BU56" s="6"/>
      <c r="BV56" s="6"/>
      <c r="BW56" s="6"/>
      <c r="BX56" s="6"/>
      <c r="BY56" s="6"/>
      <c r="BZ56" s="6"/>
      <c r="CA56" s="6"/>
      <c r="CB56" s="6"/>
      <c r="CC56" s="6"/>
      <c r="CD56" s="6"/>
      <c r="CE56" s="6"/>
      <c r="CF56" s="6"/>
      <c r="CG56" s="6"/>
      <c r="CH56" s="6"/>
      <c r="CI56" s="6"/>
      <c r="CJ56" s="6"/>
    </row>
    <row r="57" spans="1:88" s="7" customFormat="1" x14ac:dyDescent="0.2">
      <c r="A57" s="5"/>
      <c r="B57" s="5"/>
      <c r="C57" s="5"/>
      <c r="D57" s="5"/>
      <c r="E57" s="5"/>
      <c r="F57" s="5"/>
      <c r="G57" s="5"/>
      <c r="H57" s="5"/>
      <c r="I57" s="5"/>
      <c r="J57" s="5"/>
      <c r="K57" s="5"/>
      <c r="L57" s="5"/>
      <c r="M57" s="50"/>
      <c r="N57" s="50"/>
      <c r="O57" s="50"/>
      <c r="P57" s="110"/>
      <c r="Q57" s="108"/>
      <c r="R57" s="5"/>
      <c r="S57" s="5"/>
      <c r="T57" s="5"/>
      <c r="U57" s="5"/>
      <c r="V57" s="5"/>
      <c r="W57" s="5"/>
      <c r="X57" s="5"/>
      <c r="Y57" s="5"/>
      <c r="Z57" s="215"/>
      <c r="AA57" s="5"/>
      <c r="AB57" s="5"/>
      <c r="AC57" s="5"/>
      <c r="AD57" s="5"/>
      <c r="AE57" s="5"/>
      <c r="AF57" s="5"/>
      <c r="AG57" s="167"/>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c r="BJ57" s="6"/>
      <c r="BK57" s="6"/>
      <c r="BL57" s="6"/>
      <c r="BM57" s="6"/>
      <c r="BN57" s="6"/>
      <c r="BO57" s="6"/>
      <c r="BP57" s="6"/>
      <c r="BQ57" s="6"/>
      <c r="BR57" s="6"/>
      <c r="BS57" s="6"/>
      <c r="BT57" s="6"/>
      <c r="BU57" s="6"/>
      <c r="BV57" s="6"/>
      <c r="BW57" s="6"/>
      <c r="BX57" s="6"/>
      <c r="BY57" s="6"/>
      <c r="BZ57" s="6"/>
      <c r="CA57" s="6"/>
      <c r="CB57" s="6"/>
      <c r="CC57" s="6"/>
      <c r="CD57" s="6"/>
      <c r="CE57" s="6"/>
      <c r="CF57" s="6"/>
      <c r="CG57" s="6"/>
      <c r="CH57" s="6"/>
      <c r="CI57" s="6"/>
      <c r="CJ57" s="6"/>
    </row>
    <row r="58" spans="1:88" s="7" customFormat="1" x14ac:dyDescent="0.2">
      <c r="A58" s="5"/>
      <c r="B58" s="5"/>
      <c r="C58" s="5"/>
      <c r="D58" s="5"/>
      <c r="E58" s="5"/>
      <c r="F58" s="5"/>
      <c r="G58" s="5"/>
      <c r="H58" s="5"/>
      <c r="I58" s="5"/>
      <c r="J58" s="5"/>
      <c r="K58" s="5"/>
      <c r="L58" s="5"/>
      <c r="M58" s="50"/>
      <c r="N58" s="50"/>
      <c r="O58" s="50"/>
      <c r="P58" s="110"/>
      <c r="Q58" s="108"/>
      <c r="R58" s="5"/>
      <c r="S58" s="5"/>
      <c r="T58" s="5"/>
      <c r="U58" s="5"/>
      <c r="V58" s="5"/>
      <c r="W58" s="5"/>
      <c r="X58" s="5"/>
      <c r="Y58" s="5"/>
      <c r="Z58" s="215"/>
      <c r="AA58" s="5"/>
      <c r="AB58" s="5"/>
      <c r="AC58" s="5"/>
      <c r="AD58" s="5"/>
      <c r="AE58" s="5"/>
      <c r="AF58" s="5"/>
      <c r="AG58" s="150"/>
      <c r="AH58" s="103"/>
      <c r="AI58" s="103"/>
      <c r="AJ58" s="103"/>
      <c r="AK58" s="103"/>
      <c r="AL58" s="103"/>
      <c r="AM58" s="103"/>
      <c r="AN58" s="103"/>
      <c r="AO58" s="103"/>
      <c r="AP58" s="103"/>
      <c r="AQ58" s="103"/>
      <c r="AR58" s="103"/>
      <c r="AS58" s="103"/>
      <c r="AT58" s="103"/>
      <c r="AU58" s="103"/>
      <c r="AV58" s="103"/>
      <c r="AW58" s="103"/>
      <c r="AX58" s="103"/>
      <c r="AY58" s="103"/>
      <c r="AZ58" s="103"/>
      <c r="BA58" s="103"/>
      <c r="BB58" s="103"/>
      <c r="BC58" s="103"/>
      <c r="BD58" s="103"/>
      <c r="BE58" s="103"/>
      <c r="BF58" s="103"/>
      <c r="BG58" s="103"/>
      <c r="BH58" s="103"/>
      <c r="BI58" s="103"/>
      <c r="BJ58" s="103"/>
      <c r="BK58" s="103"/>
      <c r="BL58" s="103"/>
      <c r="BM58" s="103"/>
      <c r="BN58" s="103"/>
      <c r="BO58" s="103"/>
      <c r="BP58" s="103"/>
      <c r="BQ58" s="103"/>
      <c r="BR58" s="103"/>
      <c r="BS58" s="103"/>
      <c r="BT58" s="103"/>
      <c r="BU58" s="103"/>
      <c r="BV58" s="103"/>
      <c r="BW58" s="103"/>
      <c r="BX58" s="103"/>
      <c r="BY58" s="103"/>
      <c r="BZ58" s="103"/>
      <c r="CA58" s="103"/>
      <c r="CB58" s="103"/>
      <c r="CC58" s="103"/>
      <c r="CD58" s="103"/>
      <c r="CE58" s="6"/>
      <c r="CF58" s="6"/>
      <c r="CG58" s="103"/>
      <c r="CH58" s="103"/>
      <c r="CI58" s="103"/>
      <c r="CJ58" s="103"/>
    </row>
    <row r="59" spans="1:88" s="7" customFormat="1" x14ac:dyDescent="0.2">
      <c r="A59" s="5"/>
      <c r="B59" s="5"/>
      <c r="C59" s="5"/>
      <c r="D59" s="5"/>
      <c r="E59" s="5"/>
      <c r="F59" s="5"/>
      <c r="G59" s="5"/>
      <c r="H59" s="5"/>
      <c r="I59" s="5"/>
      <c r="J59" s="5"/>
      <c r="K59" s="5"/>
      <c r="L59" s="5"/>
      <c r="M59" s="50"/>
      <c r="N59" s="50"/>
      <c r="O59" s="50"/>
      <c r="P59" s="110"/>
      <c r="Q59" s="108"/>
      <c r="R59" s="5"/>
      <c r="S59" s="5"/>
      <c r="T59" s="5"/>
      <c r="U59" s="5"/>
      <c r="V59" s="5"/>
      <c r="W59" s="5"/>
      <c r="X59" s="5"/>
      <c r="Y59" s="5"/>
      <c r="Z59" s="215"/>
      <c r="AA59" s="5"/>
      <c r="AB59" s="5"/>
      <c r="AC59" s="5"/>
      <c r="AD59" s="5"/>
      <c r="AE59" s="5"/>
      <c r="AF59" s="5"/>
      <c r="AG59" s="167"/>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6"/>
      <c r="BX59" s="6"/>
      <c r="BY59" s="6"/>
      <c r="BZ59" s="6"/>
      <c r="CA59" s="6"/>
      <c r="CB59" s="6"/>
      <c r="CC59" s="6"/>
      <c r="CD59" s="6"/>
      <c r="CE59" s="6"/>
      <c r="CF59" s="6"/>
      <c r="CG59" s="6"/>
      <c r="CH59" s="6"/>
      <c r="CI59" s="6"/>
      <c r="CJ59" s="6"/>
    </row>
    <row r="60" spans="1:88" s="7" customFormat="1" x14ac:dyDescent="0.2">
      <c r="A60" s="5"/>
      <c r="B60" s="5"/>
      <c r="C60" s="5"/>
      <c r="D60" s="5"/>
      <c r="E60" s="5"/>
      <c r="F60" s="5"/>
      <c r="G60" s="5"/>
      <c r="H60" s="5"/>
      <c r="I60" s="5"/>
      <c r="J60" s="5"/>
      <c r="K60" s="5"/>
      <c r="L60" s="5"/>
      <c r="M60" s="50"/>
      <c r="N60" s="50"/>
      <c r="O60" s="50"/>
      <c r="P60" s="110"/>
      <c r="Q60" s="108"/>
      <c r="R60" s="5"/>
      <c r="S60" s="5"/>
      <c r="T60" s="5"/>
      <c r="U60" s="5"/>
      <c r="V60" s="5"/>
      <c r="W60" s="5"/>
      <c r="X60" s="5"/>
      <c r="Y60" s="5"/>
      <c r="Z60" s="215"/>
      <c r="AA60" s="5"/>
      <c r="AB60" s="5"/>
      <c r="AC60" s="5"/>
      <c r="AD60" s="5"/>
      <c r="AE60" s="5"/>
      <c r="AF60" s="5"/>
      <c r="AG60" s="167"/>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6"/>
      <c r="BX60" s="6"/>
      <c r="BY60" s="6"/>
      <c r="BZ60" s="6"/>
      <c r="CA60" s="6"/>
      <c r="CB60" s="6"/>
      <c r="CC60" s="6"/>
      <c r="CD60" s="6"/>
      <c r="CE60" s="6"/>
      <c r="CF60" s="6"/>
      <c r="CG60" s="6"/>
      <c r="CH60" s="6"/>
      <c r="CI60" s="6"/>
      <c r="CJ60" s="6"/>
    </row>
    <row r="61" spans="1:88" s="7" customFormat="1" x14ac:dyDescent="0.2">
      <c r="A61" s="5"/>
      <c r="B61" s="5"/>
      <c r="C61" s="5"/>
      <c r="D61" s="5"/>
      <c r="E61" s="5"/>
      <c r="F61" s="5"/>
      <c r="G61" s="5"/>
      <c r="H61" s="5"/>
      <c r="I61" s="5"/>
      <c r="J61" s="5"/>
      <c r="K61" s="5"/>
      <c r="L61" s="5"/>
      <c r="M61" s="50"/>
      <c r="N61" s="50"/>
      <c r="O61" s="50"/>
      <c r="P61" s="110"/>
      <c r="Q61" s="108"/>
      <c r="R61" s="5"/>
      <c r="S61" s="5"/>
      <c r="T61" s="5"/>
      <c r="U61" s="5"/>
      <c r="V61" s="5"/>
      <c r="W61" s="5"/>
      <c r="X61" s="5"/>
      <c r="Y61" s="5"/>
      <c r="Z61" s="215"/>
      <c r="AA61" s="5"/>
      <c r="AB61" s="5"/>
      <c r="AC61" s="5"/>
      <c r="AD61" s="5"/>
      <c r="AE61" s="5"/>
      <c r="AF61" s="5"/>
      <c r="AG61" s="167"/>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6"/>
      <c r="BX61" s="6"/>
      <c r="BY61" s="6"/>
      <c r="BZ61" s="6"/>
      <c r="CA61" s="6"/>
      <c r="CB61" s="6"/>
      <c r="CC61" s="6"/>
      <c r="CD61" s="6"/>
      <c r="CE61" s="6"/>
      <c r="CF61" s="6"/>
      <c r="CG61" s="6"/>
      <c r="CH61" s="6"/>
      <c r="CI61" s="6"/>
      <c r="CJ61" s="6"/>
    </row>
    <row r="62" spans="1:88" s="7" customFormat="1" x14ac:dyDescent="0.2">
      <c r="A62" s="5"/>
      <c r="B62" s="5"/>
      <c r="C62" s="5"/>
      <c r="D62" s="5"/>
      <c r="E62" s="5"/>
      <c r="F62" s="5"/>
      <c r="G62" s="5"/>
      <c r="H62" s="5"/>
      <c r="I62" s="5"/>
      <c r="J62" s="5"/>
      <c r="K62" s="5"/>
      <c r="L62" s="5"/>
      <c r="M62" s="50"/>
      <c r="N62" s="50"/>
      <c r="O62" s="50"/>
      <c r="P62" s="110"/>
      <c r="Q62" s="108"/>
      <c r="R62" s="5"/>
      <c r="S62" s="5"/>
      <c r="T62" s="5"/>
      <c r="U62" s="5"/>
      <c r="V62" s="5"/>
      <c r="W62" s="5"/>
      <c r="X62" s="5"/>
      <c r="Y62" s="5"/>
      <c r="Z62" s="215"/>
      <c r="AA62" s="5"/>
      <c r="AB62" s="5"/>
      <c r="AC62" s="5"/>
      <c r="AD62" s="5"/>
      <c r="AE62" s="5"/>
      <c r="AF62" s="5"/>
      <c r="AG62" s="167"/>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6"/>
      <c r="BX62" s="6"/>
      <c r="BY62" s="6"/>
      <c r="BZ62" s="6"/>
      <c r="CA62" s="6"/>
      <c r="CB62" s="6"/>
      <c r="CC62" s="6"/>
      <c r="CD62" s="6"/>
      <c r="CE62" s="6"/>
      <c r="CF62" s="6"/>
      <c r="CG62" s="6"/>
      <c r="CH62" s="6"/>
      <c r="CI62" s="6"/>
      <c r="CJ62" s="6"/>
    </row>
    <row r="63" spans="1:88" s="7" customFormat="1" x14ac:dyDescent="0.2">
      <c r="A63" s="5"/>
      <c r="B63" s="5"/>
      <c r="C63" s="5"/>
      <c r="D63" s="5"/>
      <c r="E63" s="5"/>
      <c r="F63" s="5"/>
      <c r="G63" s="5"/>
      <c r="H63" s="5"/>
      <c r="I63" s="5"/>
      <c r="J63" s="5"/>
      <c r="K63" s="5"/>
      <c r="L63" s="5"/>
      <c r="M63" s="50"/>
      <c r="N63" s="50"/>
      <c r="O63" s="50"/>
      <c r="P63" s="110"/>
      <c r="Q63" s="108"/>
      <c r="R63" s="5"/>
      <c r="S63" s="5"/>
      <c r="T63" s="5"/>
      <c r="U63" s="5"/>
      <c r="V63" s="5"/>
      <c r="W63" s="5"/>
      <c r="X63" s="5"/>
      <c r="Y63" s="5"/>
      <c r="Z63" s="215"/>
      <c r="AA63" s="5"/>
      <c r="AB63" s="5"/>
      <c r="AC63" s="5"/>
      <c r="AD63" s="5"/>
      <c r="AE63" s="5"/>
      <c r="AF63" s="5"/>
      <c r="AG63" s="167"/>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6"/>
      <c r="BX63" s="6"/>
      <c r="BY63" s="6"/>
      <c r="BZ63" s="6"/>
      <c r="CA63" s="6"/>
      <c r="CB63" s="6"/>
      <c r="CC63" s="6"/>
      <c r="CD63" s="6"/>
      <c r="CE63" s="6"/>
      <c r="CF63" s="6"/>
      <c r="CG63" s="6"/>
      <c r="CH63" s="6"/>
      <c r="CI63" s="6"/>
      <c r="CJ63" s="6"/>
    </row>
    <row r="64" spans="1:88" s="7" customFormat="1" x14ac:dyDescent="0.2">
      <c r="A64" s="5"/>
      <c r="B64" s="5"/>
      <c r="C64" s="5"/>
      <c r="D64" s="5"/>
      <c r="E64" s="5"/>
      <c r="F64" s="5"/>
      <c r="G64" s="5"/>
      <c r="H64" s="5"/>
      <c r="I64" s="5"/>
      <c r="J64" s="5"/>
      <c r="K64" s="5"/>
      <c r="L64" s="5"/>
      <c r="M64" s="50"/>
      <c r="N64" s="50"/>
      <c r="O64" s="50"/>
      <c r="P64" s="110"/>
      <c r="Q64" s="108"/>
      <c r="R64" s="5"/>
      <c r="S64" s="5"/>
      <c r="T64" s="5"/>
      <c r="U64" s="5"/>
      <c r="V64" s="5"/>
      <c r="W64" s="5"/>
      <c r="X64" s="5"/>
      <c r="Y64" s="5"/>
      <c r="Z64" s="215"/>
      <c r="AA64" s="5"/>
      <c r="AB64" s="5"/>
      <c r="AC64" s="5"/>
      <c r="AD64" s="5"/>
      <c r="AE64" s="5"/>
      <c r="AF64" s="5"/>
      <c r="AG64" s="167"/>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6"/>
      <c r="BX64" s="6"/>
      <c r="BY64" s="6"/>
      <c r="BZ64" s="6"/>
      <c r="CA64" s="6"/>
      <c r="CB64" s="6"/>
      <c r="CC64" s="6"/>
      <c r="CD64" s="6"/>
      <c r="CE64" s="6"/>
      <c r="CF64" s="6"/>
      <c r="CG64" s="6"/>
      <c r="CH64" s="6"/>
      <c r="CI64" s="6"/>
      <c r="CJ64" s="6"/>
    </row>
    <row r="65" spans="1:88" s="7" customFormat="1" x14ac:dyDescent="0.2">
      <c r="A65" s="5"/>
      <c r="B65" s="5"/>
      <c r="C65" s="5"/>
      <c r="D65" s="5"/>
      <c r="E65" s="5"/>
      <c r="F65" s="5"/>
      <c r="G65" s="5"/>
      <c r="H65" s="5"/>
      <c r="I65" s="5"/>
      <c r="J65" s="5"/>
      <c r="K65" s="5"/>
      <c r="L65" s="5"/>
      <c r="M65" s="50"/>
      <c r="N65" s="50"/>
      <c r="O65" s="50"/>
      <c r="P65" s="110"/>
      <c r="Q65" s="108"/>
      <c r="R65" s="5"/>
      <c r="S65" s="5"/>
      <c r="T65" s="5"/>
      <c r="U65" s="5"/>
      <c r="V65" s="5"/>
      <c r="W65" s="5"/>
      <c r="X65" s="5"/>
      <c r="Y65" s="5"/>
      <c r="Z65" s="215"/>
      <c r="AA65" s="5"/>
      <c r="AB65" s="5"/>
      <c r="AC65" s="5"/>
      <c r="AD65" s="5"/>
      <c r="AE65" s="5"/>
      <c r="AF65" s="5"/>
      <c r="AG65" s="150"/>
      <c r="AH65" s="103"/>
      <c r="AI65" s="103"/>
      <c r="AJ65" s="103"/>
      <c r="AK65" s="103"/>
      <c r="AL65" s="103"/>
      <c r="AM65" s="103"/>
      <c r="AN65" s="103"/>
      <c r="AO65" s="103"/>
      <c r="AP65" s="103"/>
      <c r="AQ65" s="103"/>
      <c r="AR65" s="103"/>
      <c r="AS65" s="103"/>
      <c r="AT65" s="103"/>
      <c r="AU65" s="103"/>
      <c r="AV65" s="103"/>
      <c r="AW65" s="103"/>
      <c r="AX65" s="103"/>
      <c r="AY65" s="103"/>
      <c r="AZ65" s="103"/>
      <c r="BA65" s="103"/>
      <c r="BB65" s="103"/>
      <c r="BC65" s="103"/>
      <c r="BD65" s="103"/>
      <c r="BE65" s="103"/>
      <c r="BF65" s="103"/>
      <c r="BG65" s="103"/>
      <c r="BH65" s="103"/>
      <c r="BI65" s="103"/>
      <c r="BJ65" s="103"/>
      <c r="BK65" s="103"/>
      <c r="BL65" s="103"/>
      <c r="BM65" s="103"/>
      <c r="BN65" s="103"/>
      <c r="BO65" s="103"/>
      <c r="BP65" s="103"/>
      <c r="BQ65" s="103"/>
      <c r="BR65" s="103"/>
      <c r="BS65" s="103"/>
      <c r="BT65" s="103"/>
      <c r="BU65" s="103"/>
      <c r="BV65" s="103"/>
      <c r="BW65" s="103"/>
      <c r="BX65" s="103"/>
      <c r="BY65" s="103"/>
      <c r="BZ65" s="103"/>
      <c r="CA65" s="103"/>
      <c r="CB65" s="103"/>
      <c r="CC65" s="103"/>
      <c r="CD65" s="103"/>
      <c r="CE65" s="6"/>
      <c r="CF65" s="6"/>
      <c r="CG65" s="103"/>
      <c r="CH65" s="103"/>
      <c r="CI65" s="103"/>
      <c r="CJ65" s="103"/>
    </row>
    <row r="66" spans="1:88" s="7" customFormat="1" x14ac:dyDescent="0.2">
      <c r="A66" s="5"/>
      <c r="B66" s="5"/>
      <c r="C66" s="5"/>
      <c r="D66" s="5"/>
      <c r="E66" s="5"/>
      <c r="F66" s="5"/>
      <c r="G66" s="5"/>
      <c r="H66" s="5"/>
      <c r="I66" s="5"/>
      <c r="J66" s="5"/>
      <c r="K66" s="5"/>
      <c r="L66" s="5"/>
      <c r="M66" s="50"/>
      <c r="N66" s="50"/>
      <c r="O66" s="50"/>
      <c r="P66" s="110"/>
      <c r="Q66" s="108"/>
      <c r="R66" s="5"/>
      <c r="S66" s="5"/>
      <c r="T66" s="5"/>
      <c r="U66" s="5"/>
      <c r="V66" s="5"/>
      <c r="W66" s="5"/>
      <c r="X66" s="5"/>
      <c r="Y66" s="5"/>
      <c r="Z66" s="215"/>
      <c r="AA66" s="5"/>
      <c r="AB66" s="5"/>
      <c r="AC66" s="5"/>
      <c r="AD66" s="5"/>
      <c r="AE66" s="5"/>
      <c r="AF66" s="5"/>
      <c r="AG66" s="150"/>
      <c r="AH66" s="103"/>
      <c r="AI66" s="103"/>
      <c r="AJ66" s="103"/>
      <c r="AK66" s="103"/>
      <c r="AL66" s="103"/>
      <c r="AM66" s="103"/>
      <c r="AN66" s="103"/>
      <c r="AO66" s="103"/>
      <c r="AP66" s="103"/>
      <c r="AQ66" s="103"/>
      <c r="AR66" s="103"/>
      <c r="AS66" s="103"/>
      <c r="AT66" s="103"/>
      <c r="AU66" s="103"/>
      <c r="AV66" s="103"/>
      <c r="AW66" s="103"/>
      <c r="AX66" s="103"/>
      <c r="AY66" s="103"/>
      <c r="AZ66" s="103"/>
      <c r="BA66" s="103"/>
      <c r="BB66" s="103"/>
      <c r="BC66" s="103"/>
      <c r="BD66" s="103"/>
      <c r="BE66" s="103"/>
      <c r="BF66" s="103"/>
      <c r="BG66" s="103"/>
      <c r="BH66" s="103"/>
      <c r="BI66" s="103"/>
      <c r="BJ66" s="103"/>
      <c r="BK66" s="103"/>
      <c r="BL66" s="103"/>
      <c r="BM66" s="103"/>
      <c r="BN66" s="103"/>
      <c r="BO66" s="103"/>
      <c r="BP66" s="103"/>
      <c r="BQ66" s="103"/>
      <c r="BR66" s="103"/>
      <c r="BS66" s="103"/>
      <c r="BT66" s="103"/>
      <c r="BU66" s="103"/>
      <c r="BV66" s="103"/>
      <c r="BW66" s="103"/>
      <c r="BX66" s="103"/>
      <c r="BY66" s="103"/>
      <c r="BZ66" s="103"/>
      <c r="CA66" s="103"/>
      <c r="CB66" s="103"/>
      <c r="CC66" s="103"/>
      <c r="CD66" s="103"/>
      <c r="CE66" s="6"/>
      <c r="CF66" s="6"/>
      <c r="CG66" s="103"/>
      <c r="CH66" s="103"/>
      <c r="CI66" s="103"/>
      <c r="CJ66" s="103"/>
    </row>
    <row r="67" spans="1:88" s="7" customFormat="1" x14ac:dyDescent="0.2">
      <c r="A67" s="5"/>
      <c r="B67" s="5"/>
      <c r="C67" s="5"/>
      <c r="D67" s="5"/>
      <c r="E67" s="5"/>
      <c r="F67" s="5"/>
      <c r="G67" s="5"/>
      <c r="H67" s="5"/>
      <c r="I67" s="5"/>
      <c r="J67" s="5"/>
      <c r="K67" s="5"/>
      <c r="L67" s="5"/>
      <c r="M67" s="50"/>
      <c r="N67" s="50"/>
      <c r="O67" s="50"/>
      <c r="P67" s="110"/>
      <c r="Q67" s="108"/>
      <c r="R67" s="5"/>
      <c r="S67" s="5"/>
      <c r="T67" s="5"/>
      <c r="U67" s="5"/>
      <c r="V67" s="5"/>
      <c r="W67" s="5"/>
      <c r="X67" s="5"/>
      <c r="Y67" s="5"/>
      <c r="Z67" s="215"/>
      <c r="AA67" s="5"/>
      <c r="AB67" s="5"/>
      <c r="AC67" s="5"/>
      <c r="AD67" s="5"/>
      <c r="AE67" s="5"/>
      <c r="AF67" s="5"/>
      <c r="AG67" s="150"/>
      <c r="AH67" s="103"/>
      <c r="AI67" s="103"/>
      <c r="AJ67" s="103"/>
      <c r="AK67" s="103"/>
      <c r="AL67" s="103"/>
      <c r="AM67" s="103"/>
      <c r="AN67" s="103"/>
      <c r="AO67" s="103"/>
      <c r="AP67" s="103"/>
      <c r="AQ67" s="103"/>
      <c r="AR67" s="103"/>
      <c r="AS67" s="103"/>
      <c r="AT67" s="103"/>
      <c r="AU67" s="103"/>
      <c r="AV67" s="103"/>
      <c r="AW67" s="103"/>
      <c r="AX67" s="103"/>
      <c r="AY67" s="103"/>
      <c r="AZ67" s="103"/>
      <c r="BA67" s="103"/>
      <c r="BB67" s="103"/>
      <c r="BC67" s="103"/>
      <c r="BD67" s="103"/>
      <c r="BE67" s="103"/>
      <c r="BF67" s="103"/>
      <c r="BG67" s="103"/>
      <c r="BH67" s="103"/>
      <c r="BI67" s="103"/>
      <c r="BJ67" s="103"/>
      <c r="BK67" s="103"/>
      <c r="BL67" s="103"/>
      <c r="BM67" s="103"/>
      <c r="BN67" s="103"/>
      <c r="BO67" s="103"/>
      <c r="BP67" s="103"/>
      <c r="BQ67" s="103"/>
      <c r="BR67" s="103"/>
      <c r="BS67" s="103"/>
      <c r="BT67" s="103"/>
      <c r="BU67" s="103"/>
      <c r="BV67" s="103"/>
      <c r="BW67" s="103"/>
      <c r="BX67" s="103"/>
      <c r="BY67" s="103"/>
      <c r="BZ67" s="103"/>
      <c r="CA67" s="103"/>
      <c r="CB67" s="103"/>
      <c r="CC67" s="103"/>
      <c r="CD67" s="103"/>
      <c r="CE67" s="6"/>
      <c r="CF67" s="6"/>
      <c r="CG67" s="103"/>
      <c r="CH67" s="103"/>
      <c r="CI67" s="103"/>
      <c r="CJ67" s="103"/>
    </row>
    <row r="68" spans="1:88" s="7" customFormat="1" x14ac:dyDescent="0.2">
      <c r="A68" s="5"/>
      <c r="B68" s="5"/>
      <c r="C68" s="5"/>
      <c r="D68" s="5"/>
      <c r="E68" s="5"/>
      <c r="F68" s="5"/>
      <c r="G68" s="5"/>
      <c r="H68" s="5"/>
      <c r="I68" s="5"/>
      <c r="J68" s="5"/>
      <c r="K68" s="5"/>
      <c r="L68" s="5"/>
      <c r="M68" s="50"/>
      <c r="N68" s="50"/>
      <c r="O68" s="50"/>
      <c r="P68" s="110"/>
      <c r="Q68" s="108"/>
      <c r="R68" s="5"/>
      <c r="S68" s="5"/>
      <c r="T68" s="5"/>
      <c r="U68" s="5"/>
      <c r="V68" s="5"/>
      <c r="W68" s="5"/>
      <c r="X68" s="5"/>
      <c r="Y68" s="5"/>
      <c r="Z68" s="215"/>
      <c r="AA68" s="5"/>
      <c r="AB68" s="5"/>
      <c r="AC68" s="5"/>
      <c r="AD68" s="5"/>
      <c r="AE68" s="5"/>
      <c r="AF68" s="5"/>
      <c r="AG68" s="150"/>
      <c r="AH68" s="103"/>
      <c r="AI68" s="103"/>
      <c r="AJ68" s="103"/>
      <c r="AK68" s="103"/>
      <c r="AL68" s="103"/>
      <c r="AM68" s="103"/>
      <c r="AN68" s="103"/>
      <c r="AO68" s="103"/>
      <c r="AP68" s="103"/>
      <c r="AQ68" s="103"/>
      <c r="AR68" s="103"/>
      <c r="AS68" s="103"/>
      <c r="AT68" s="103"/>
      <c r="AU68" s="103"/>
      <c r="AV68" s="103"/>
      <c r="AW68" s="103"/>
      <c r="AX68" s="103"/>
      <c r="AY68" s="103"/>
      <c r="AZ68" s="103"/>
      <c r="BA68" s="103"/>
      <c r="BB68" s="103"/>
      <c r="BC68" s="103"/>
      <c r="BD68" s="103"/>
      <c r="BE68" s="103"/>
      <c r="BF68" s="103"/>
      <c r="BG68" s="103"/>
      <c r="BH68" s="103"/>
      <c r="BI68" s="103"/>
      <c r="BJ68" s="103"/>
      <c r="BK68" s="103"/>
      <c r="BL68" s="103"/>
      <c r="BM68" s="103"/>
      <c r="BN68" s="103"/>
      <c r="BO68" s="103"/>
      <c r="BP68" s="103"/>
      <c r="BQ68" s="103"/>
      <c r="BR68" s="103"/>
      <c r="BS68" s="103"/>
      <c r="BT68" s="103"/>
      <c r="BU68" s="103"/>
      <c r="BV68" s="103"/>
      <c r="BW68" s="103"/>
      <c r="BX68" s="103"/>
      <c r="BY68" s="103"/>
      <c r="BZ68" s="103"/>
      <c r="CA68" s="103"/>
      <c r="CB68" s="103"/>
      <c r="CC68" s="103"/>
      <c r="CD68" s="103"/>
      <c r="CE68" s="6"/>
      <c r="CF68" s="6"/>
      <c r="CG68" s="103"/>
      <c r="CH68" s="103"/>
      <c r="CI68" s="103"/>
      <c r="CJ68" s="103"/>
    </row>
    <row r="69" spans="1:88" s="7" customFormat="1" x14ac:dyDescent="0.2">
      <c r="A69" s="5"/>
      <c r="B69" s="5"/>
      <c r="C69" s="5"/>
      <c r="D69" s="5"/>
      <c r="E69" s="5"/>
      <c r="F69" s="5"/>
      <c r="G69" s="5"/>
      <c r="H69" s="5"/>
      <c r="I69" s="5"/>
      <c r="J69" s="5"/>
      <c r="K69" s="5"/>
      <c r="L69" s="5"/>
      <c r="M69" s="50"/>
      <c r="N69" s="50"/>
      <c r="O69" s="50"/>
      <c r="P69" s="110"/>
      <c r="Q69" s="108"/>
      <c r="R69" s="5"/>
      <c r="S69" s="5"/>
      <c r="T69" s="5"/>
      <c r="U69" s="5"/>
      <c r="V69" s="5"/>
      <c r="W69" s="5"/>
      <c r="X69" s="5"/>
      <c r="Y69" s="5"/>
      <c r="Z69" s="215"/>
      <c r="AA69" s="5"/>
      <c r="AB69" s="5"/>
      <c r="AC69" s="5"/>
      <c r="AD69" s="5"/>
      <c r="AE69" s="5"/>
      <c r="AF69" s="5"/>
      <c r="AG69" s="150"/>
      <c r="AH69" s="103"/>
      <c r="AI69" s="103"/>
      <c r="AJ69" s="103"/>
      <c r="AK69" s="103"/>
      <c r="AL69" s="103"/>
      <c r="AM69" s="103"/>
      <c r="AN69" s="103"/>
      <c r="AO69" s="103"/>
      <c r="AP69" s="103"/>
      <c r="AQ69" s="103"/>
      <c r="AR69" s="103"/>
      <c r="AS69" s="103"/>
      <c r="AT69" s="103"/>
      <c r="AU69" s="103"/>
      <c r="AV69" s="103"/>
      <c r="AW69" s="103"/>
      <c r="AX69" s="103"/>
      <c r="AY69" s="103"/>
      <c r="AZ69" s="103"/>
      <c r="BA69" s="103"/>
      <c r="BB69" s="103"/>
      <c r="BC69" s="103"/>
      <c r="BD69" s="103"/>
      <c r="BE69" s="103"/>
      <c r="BF69" s="103"/>
      <c r="BG69" s="103"/>
      <c r="BH69" s="103"/>
      <c r="BI69" s="103"/>
      <c r="BJ69" s="103"/>
      <c r="BK69" s="103"/>
      <c r="BL69" s="103"/>
      <c r="BM69" s="103"/>
      <c r="BN69" s="103"/>
      <c r="BO69" s="103"/>
      <c r="BP69" s="103"/>
      <c r="BQ69" s="103"/>
      <c r="BR69" s="103"/>
      <c r="BS69" s="103"/>
      <c r="BT69" s="103"/>
      <c r="BU69" s="103"/>
      <c r="BV69" s="103"/>
      <c r="BW69" s="103"/>
      <c r="BX69" s="103"/>
      <c r="BY69" s="103"/>
      <c r="BZ69" s="103"/>
      <c r="CA69" s="103"/>
      <c r="CB69" s="103"/>
      <c r="CC69" s="103"/>
      <c r="CD69" s="103"/>
      <c r="CE69" s="6"/>
      <c r="CF69" s="6"/>
      <c r="CG69" s="103"/>
      <c r="CH69" s="103"/>
      <c r="CI69" s="103"/>
      <c r="CJ69" s="103"/>
    </row>
    <row r="70" spans="1:88" s="7" customFormat="1" x14ac:dyDescent="0.2">
      <c r="A70" s="5"/>
      <c r="B70" s="5"/>
      <c r="C70" s="5"/>
      <c r="D70" s="5"/>
      <c r="E70" s="5"/>
      <c r="F70" s="5"/>
      <c r="G70" s="5"/>
      <c r="H70" s="5"/>
      <c r="I70" s="5"/>
      <c r="J70" s="5"/>
      <c r="K70" s="5"/>
      <c r="L70" s="5"/>
      <c r="M70" s="50"/>
      <c r="N70" s="50"/>
      <c r="O70" s="50"/>
      <c r="P70" s="110"/>
      <c r="Q70" s="108"/>
      <c r="R70" s="5"/>
      <c r="S70" s="5"/>
      <c r="T70" s="5"/>
      <c r="U70" s="5"/>
      <c r="V70" s="5"/>
      <c r="W70" s="5"/>
      <c r="X70" s="5"/>
      <c r="Y70" s="5"/>
      <c r="Z70" s="215"/>
      <c r="AA70" s="5"/>
      <c r="AB70" s="5"/>
      <c r="AC70" s="5"/>
      <c r="AD70" s="5"/>
      <c r="AE70" s="5"/>
      <c r="AF70" s="5"/>
      <c r="AG70" s="150"/>
      <c r="AH70" s="103"/>
      <c r="AI70" s="103"/>
      <c r="AJ70" s="103"/>
      <c r="AK70" s="103"/>
      <c r="AL70" s="103"/>
      <c r="AM70" s="103"/>
      <c r="AN70" s="103"/>
      <c r="AO70" s="103"/>
      <c r="AP70" s="103"/>
      <c r="AQ70" s="103"/>
      <c r="AR70" s="103"/>
      <c r="AS70" s="103"/>
      <c r="AT70" s="103"/>
      <c r="AU70" s="103"/>
      <c r="AV70" s="103"/>
      <c r="AW70" s="103"/>
      <c r="AX70" s="103"/>
      <c r="AY70" s="103"/>
      <c r="AZ70" s="103"/>
      <c r="BA70" s="103"/>
      <c r="BB70" s="103"/>
      <c r="BC70" s="103"/>
      <c r="BD70" s="103"/>
      <c r="BE70" s="103"/>
      <c r="BF70" s="103"/>
      <c r="BG70" s="103"/>
      <c r="BH70" s="103"/>
      <c r="BI70" s="103"/>
      <c r="BJ70" s="103"/>
      <c r="BK70" s="103"/>
      <c r="BL70" s="103"/>
      <c r="BM70" s="103"/>
      <c r="BN70" s="103"/>
      <c r="BO70" s="103"/>
      <c r="BP70" s="103"/>
      <c r="BQ70" s="103"/>
      <c r="BR70" s="103"/>
      <c r="BS70" s="103"/>
      <c r="BT70" s="103"/>
      <c r="BU70" s="103"/>
      <c r="BV70" s="103"/>
      <c r="BW70" s="103"/>
      <c r="BX70" s="103"/>
      <c r="BY70" s="103"/>
      <c r="BZ70" s="103"/>
      <c r="CA70" s="103"/>
      <c r="CB70" s="103"/>
      <c r="CC70" s="103"/>
      <c r="CD70" s="103"/>
      <c r="CE70" s="6"/>
      <c r="CF70" s="6"/>
      <c r="CG70" s="103"/>
      <c r="CH70" s="103"/>
      <c r="CI70" s="103"/>
      <c r="CJ70" s="103"/>
    </row>
    <row r="71" spans="1:88" s="7" customFormat="1" x14ac:dyDescent="0.2">
      <c r="A71" s="5"/>
      <c r="B71" s="5"/>
      <c r="C71" s="5"/>
      <c r="D71" s="5"/>
      <c r="E71" s="5"/>
      <c r="F71" s="5"/>
      <c r="G71" s="5"/>
      <c r="H71" s="5"/>
      <c r="I71" s="5"/>
      <c r="J71" s="5"/>
      <c r="K71" s="5"/>
      <c r="L71" s="5"/>
      <c r="M71" s="50"/>
      <c r="N71" s="50"/>
      <c r="O71" s="50"/>
      <c r="P71" s="110"/>
      <c r="Q71" s="108"/>
      <c r="R71" s="5"/>
      <c r="S71" s="5"/>
      <c r="T71" s="5"/>
      <c r="U71" s="5"/>
      <c r="V71" s="5"/>
      <c r="W71" s="5"/>
      <c r="X71" s="5"/>
      <c r="Y71" s="5"/>
      <c r="Z71" s="215"/>
      <c r="AA71" s="5"/>
      <c r="AB71" s="5"/>
      <c r="AC71" s="5"/>
      <c r="AD71" s="5"/>
      <c r="AE71" s="5"/>
      <c r="AF71" s="5"/>
      <c r="AG71" s="150"/>
      <c r="AH71" s="103"/>
      <c r="AI71" s="103"/>
      <c r="AJ71" s="103"/>
      <c r="AK71" s="103"/>
      <c r="AL71" s="103"/>
      <c r="AM71" s="103"/>
      <c r="AN71" s="103"/>
      <c r="AO71" s="103"/>
      <c r="AP71" s="103"/>
      <c r="AQ71" s="103"/>
      <c r="AR71" s="103"/>
      <c r="AS71" s="103"/>
      <c r="AT71" s="103"/>
      <c r="AU71" s="103"/>
      <c r="AV71" s="103"/>
      <c r="AW71" s="103"/>
      <c r="AX71" s="103"/>
      <c r="AY71" s="103"/>
      <c r="AZ71" s="103"/>
      <c r="BA71" s="103"/>
      <c r="BB71" s="103"/>
      <c r="BC71" s="103"/>
      <c r="BD71" s="103"/>
      <c r="BE71" s="103"/>
      <c r="BF71" s="103"/>
      <c r="BG71" s="103"/>
      <c r="BH71" s="103"/>
      <c r="BI71" s="103"/>
      <c r="BJ71" s="103"/>
      <c r="BK71" s="103"/>
      <c r="BL71" s="103"/>
      <c r="BM71" s="103"/>
      <c r="BN71" s="103"/>
      <c r="BO71" s="103"/>
      <c r="BP71" s="103"/>
      <c r="BQ71" s="103"/>
      <c r="BR71" s="103"/>
      <c r="BS71" s="103"/>
      <c r="BT71" s="103"/>
      <c r="BU71" s="103"/>
      <c r="BV71" s="103"/>
      <c r="BW71" s="103"/>
      <c r="BX71" s="103"/>
      <c r="BY71" s="103"/>
      <c r="BZ71" s="103"/>
      <c r="CA71" s="103"/>
      <c r="CB71" s="103"/>
      <c r="CC71" s="103"/>
      <c r="CD71" s="103"/>
      <c r="CE71" s="6"/>
      <c r="CF71" s="6"/>
      <c r="CG71" s="103"/>
      <c r="CH71" s="103"/>
      <c r="CI71" s="103"/>
      <c r="CJ71" s="103"/>
    </row>
    <row r="72" spans="1:88" s="7" customFormat="1" x14ac:dyDescent="0.2">
      <c r="A72" s="5"/>
      <c r="B72" s="5"/>
      <c r="C72" s="5"/>
      <c r="D72" s="5"/>
      <c r="E72" s="5"/>
      <c r="F72" s="5"/>
      <c r="G72" s="5"/>
      <c r="H72" s="5"/>
      <c r="I72" s="5"/>
      <c r="J72" s="5"/>
      <c r="K72" s="5"/>
      <c r="L72" s="5"/>
      <c r="M72" s="50"/>
      <c r="N72" s="50"/>
      <c r="O72" s="50"/>
      <c r="P72" s="110"/>
      <c r="Q72" s="108"/>
      <c r="R72" s="5"/>
      <c r="S72" s="5"/>
      <c r="T72" s="5"/>
      <c r="U72" s="5"/>
      <c r="V72" s="5"/>
      <c r="W72" s="5"/>
      <c r="X72" s="5"/>
      <c r="Y72" s="5"/>
      <c r="Z72" s="215"/>
      <c r="AA72" s="5"/>
      <c r="AB72" s="5"/>
      <c r="AC72" s="5"/>
      <c r="AD72" s="5"/>
      <c r="AE72" s="5"/>
      <c r="AF72" s="5"/>
      <c r="AG72" s="150"/>
      <c r="AH72" s="103"/>
      <c r="AI72" s="103"/>
      <c r="AJ72" s="103"/>
      <c r="AK72" s="103"/>
      <c r="AL72" s="103"/>
      <c r="AM72" s="103"/>
      <c r="AN72" s="103"/>
      <c r="AO72" s="103"/>
      <c r="AP72" s="103"/>
      <c r="AQ72" s="103"/>
      <c r="AR72" s="103"/>
      <c r="AS72" s="103"/>
      <c r="AT72" s="103"/>
      <c r="AU72" s="103"/>
      <c r="AV72" s="103"/>
      <c r="AW72" s="103"/>
      <c r="AX72" s="103"/>
      <c r="AY72" s="103"/>
      <c r="AZ72" s="103"/>
      <c r="BA72" s="103"/>
      <c r="BB72" s="103"/>
      <c r="BC72" s="103"/>
      <c r="BD72" s="103"/>
      <c r="BE72" s="103"/>
      <c r="BF72" s="103"/>
      <c r="BG72" s="103"/>
      <c r="BH72" s="103"/>
      <c r="BI72" s="103"/>
      <c r="BJ72" s="103"/>
      <c r="BK72" s="103"/>
      <c r="BL72" s="103"/>
      <c r="BM72" s="103"/>
      <c r="BN72" s="103"/>
      <c r="BO72" s="103"/>
      <c r="BP72" s="103"/>
      <c r="BQ72" s="103"/>
      <c r="BR72" s="103"/>
      <c r="BS72" s="103"/>
      <c r="BT72" s="103"/>
      <c r="BU72" s="103"/>
      <c r="BV72" s="103"/>
      <c r="BW72" s="103"/>
      <c r="BX72" s="103"/>
      <c r="BY72" s="103"/>
      <c r="BZ72" s="103"/>
      <c r="CA72" s="103"/>
      <c r="CB72" s="103"/>
      <c r="CC72" s="103"/>
      <c r="CD72" s="103"/>
      <c r="CE72" s="6"/>
      <c r="CF72" s="6"/>
      <c r="CG72" s="103"/>
      <c r="CH72" s="103"/>
      <c r="CI72" s="103"/>
      <c r="CJ72" s="103"/>
    </row>
    <row r="73" spans="1:88" s="7" customFormat="1" x14ac:dyDescent="0.2">
      <c r="A73" s="5"/>
      <c r="B73" s="5"/>
      <c r="C73" s="5"/>
      <c r="D73" s="5"/>
      <c r="E73" s="5"/>
      <c r="F73" s="5"/>
      <c r="G73" s="5"/>
      <c r="H73" s="5"/>
      <c r="I73" s="5"/>
      <c r="J73" s="5"/>
      <c r="K73" s="5"/>
      <c r="L73" s="5"/>
      <c r="M73" s="50"/>
      <c r="N73" s="50"/>
      <c r="O73" s="50"/>
      <c r="P73" s="110"/>
      <c r="Q73" s="108"/>
      <c r="R73" s="5"/>
      <c r="S73" s="5"/>
      <c r="T73" s="5"/>
      <c r="U73" s="5"/>
      <c r="V73" s="5"/>
      <c r="W73" s="5"/>
      <c r="X73" s="5"/>
      <c r="Y73" s="5"/>
      <c r="Z73" s="215"/>
      <c r="AA73" s="5"/>
      <c r="AB73" s="5"/>
      <c r="AC73" s="5"/>
      <c r="AD73" s="5"/>
      <c r="AE73" s="5"/>
      <c r="AF73" s="5"/>
      <c r="AG73" s="150"/>
      <c r="AH73" s="103"/>
      <c r="AI73" s="103"/>
      <c r="AJ73" s="103"/>
      <c r="AK73" s="103"/>
      <c r="AL73" s="103"/>
      <c r="AM73" s="103"/>
      <c r="AN73" s="103"/>
      <c r="AO73" s="103"/>
      <c r="AP73" s="103"/>
      <c r="AQ73" s="103"/>
      <c r="AR73" s="103"/>
      <c r="AS73" s="103"/>
      <c r="AT73" s="103"/>
      <c r="AU73" s="103"/>
      <c r="AV73" s="103"/>
      <c r="AW73" s="103"/>
      <c r="AX73" s="103"/>
      <c r="AY73" s="103"/>
      <c r="AZ73" s="103"/>
      <c r="BA73" s="103"/>
      <c r="BB73" s="103"/>
      <c r="BC73" s="103"/>
      <c r="BD73" s="103"/>
      <c r="BE73" s="103"/>
      <c r="BF73" s="103"/>
      <c r="BG73" s="103"/>
      <c r="BH73" s="103"/>
      <c r="BI73" s="103"/>
      <c r="BJ73" s="103"/>
      <c r="BK73" s="103"/>
      <c r="BL73" s="103"/>
      <c r="BM73" s="103"/>
      <c r="BN73" s="103"/>
      <c r="BO73" s="103"/>
      <c r="BP73" s="103"/>
      <c r="BQ73" s="103"/>
      <c r="BR73" s="103"/>
      <c r="BS73" s="103"/>
      <c r="BT73" s="103"/>
      <c r="BU73" s="103"/>
      <c r="BV73" s="103"/>
      <c r="BW73" s="103"/>
      <c r="BX73" s="103"/>
      <c r="BY73" s="103"/>
      <c r="BZ73" s="103"/>
      <c r="CA73" s="103"/>
      <c r="CB73" s="103"/>
      <c r="CC73" s="103"/>
      <c r="CD73" s="103"/>
      <c r="CE73" s="6"/>
      <c r="CF73" s="6"/>
      <c r="CG73" s="103"/>
      <c r="CH73" s="103"/>
      <c r="CI73" s="103"/>
      <c r="CJ73" s="103"/>
    </row>
    <row r="74" spans="1:88" s="7" customFormat="1" x14ac:dyDescent="0.2">
      <c r="A74" s="5"/>
      <c r="B74" s="5"/>
      <c r="C74" s="5"/>
      <c r="D74" s="5"/>
      <c r="E74" s="5"/>
      <c r="F74" s="5"/>
      <c r="G74" s="5"/>
      <c r="H74" s="5"/>
      <c r="I74" s="5"/>
      <c r="J74" s="5"/>
      <c r="K74" s="5"/>
      <c r="L74" s="5"/>
      <c r="M74" s="50"/>
      <c r="N74" s="50"/>
      <c r="O74" s="50"/>
      <c r="P74" s="110"/>
      <c r="Q74" s="108"/>
      <c r="R74" s="5"/>
      <c r="S74" s="5"/>
      <c r="T74" s="5"/>
      <c r="U74" s="5"/>
      <c r="V74" s="5"/>
      <c r="W74" s="5"/>
      <c r="X74" s="5"/>
      <c r="Y74" s="5"/>
      <c r="Z74" s="215"/>
      <c r="AA74" s="5"/>
      <c r="AB74" s="5"/>
      <c r="AC74" s="5"/>
      <c r="AD74" s="5"/>
      <c r="AE74" s="5"/>
      <c r="AF74" s="5"/>
      <c r="AG74" s="150"/>
      <c r="AH74" s="103"/>
      <c r="AI74" s="103"/>
      <c r="AJ74" s="103"/>
      <c r="AK74" s="103"/>
      <c r="AL74" s="103"/>
      <c r="AM74" s="103"/>
      <c r="AN74" s="103"/>
      <c r="AO74" s="103"/>
      <c r="AP74" s="103"/>
      <c r="AQ74" s="103"/>
      <c r="AR74" s="103"/>
      <c r="AS74" s="103"/>
      <c r="AT74" s="103"/>
      <c r="AU74" s="103"/>
      <c r="AV74" s="103"/>
      <c r="AW74" s="103"/>
      <c r="AX74" s="103"/>
      <c r="AY74" s="103"/>
      <c r="AZ74" s="103"/>
      <c r="BA74" s="103"/>
      <c r="BB74" s="103"/>
      <c r="BC74" s="103"/>
      <c r="BD74" s="103"/>
      <c r="BE74" s="103"/>
      <c r="BF74" s="103"/>
      <c r="BG74" s="103"/>
      <c r="BH74" s="103"/>
      <c r="BI74" s="103"/>
      <c r="BJ74" s="103"/>
      <c r="BK74" s="103"/>
      <c r="BL74" s="103"/>
      <c r="BM74" s="103"/>
      <c r="BN74" s="103"/>
      <c r="BO74" s="103"/>
      <c r="BP74" s="103"/>
      <c r="BQ74" s="103"/>
      <c r="BR74" s="103"/>
      <c r="BS74" s="103"/>
      <c r="BT74" s="103"/>
      <c r="BU74" s="103"/>
      <c r="BV74" s="103"/>
      <c r="BW74" s="103"/>
      <c r="BX74" s="103"/>
      <c r="BY74" s="103"/>
      <c r="BZ74" s="103"/>
      <c r="CA74" s="103"/>
      <c r="CB74" s="103"/>
      <c r="CC74" s="103"/>
      <c r="CD74" s="103"/>
      <c r="CE74" s="6"/>
      <c r="CF74" s="6"/>
      <c r="CG74" s="103"/>
      <c r="CH74" s="103"/>
      <c r="CI74" s="103"/>
      <c r="CJ74" s="103"/>
    </row>
    <row r="75" spans="1:88" s="7" customFormat="1" x14ac:dyDescent="0.2">
      <c r="A75" s="5"/>
      <c r="B75" s="5"/>
      <c r="C75" s="5"/>
      <c r="D75" s="5"/>
      <c r="E75" s="5"/>
      <c r="F75" s="5"/>
      <c r="G75" s="5"/>
      <c r="H75" s="5"/>
      <c r="I75" s="5"/>
      <c r="J75" s="5"/>
      <c r="K75" s="5"/>
      <c r="L75" s="5"/>
      <c r="M75" s="50"/>
      <c r="N75" s="50"/>
      <c r="O75" s="50"/>
      <c r="P75" s="110"/>
      <c r="Q75" s="108"/>
      <c r="R75" s="5"/>
      <c r="S75" s="5"/>
      <c r="T75" s="5"/>
      <c r="U75" s="5"/>
      <c r="V75" s="5"/>
      <c r="W75" s="5"/>
      <c r="X75" s="5"/>
      <c r="Y75" s="5"/>
      <c r="Z75" s="215"/>
      <c r="AA75" s="5"/>
      <c r="AB75" s="5"/>
      <c r="AC75" s="5"/>
      <c r="AD75" s="5"/>
      <c r="AE75" s="5"/>
      <c r="AF75" s="5"/>
      <c r="AG75" s="150"/>
      <c r="AH75" s="103"/>
      <c r="AI75" s="103"/>
      <c r="AJ75" s="103"/>
      <c r="AK75" s="103"/>
      <c r="AL75" s="103"/>
      <c r="AM75" s="103"/>
      <c r="AN75" s="103"/>
      <c r="AO75" s="103"/>
      <c r="AP75" s="103"/>
      <c r="AQ75" s="103"/>
      <c r="AR75" s="103"/>
      <c r="AS75" s="103"/>
      <c r="AT75" s="103"/>
      <c r="AU75" s="103"/>
      <c r="AV75" s="103"/>
      <c r="AW75" s="103"/>
      <c r="AX75" s="103"/>
      <c r="AY75" s="103"/>
      <c r="AZ75" s="103"/>
      <c r="BA75" s="103"/>
      <c r="BB75" s="103"/>
      <c r="BC75" s="103"/>
      <c r="BD75" s="103"/>
      <c r="BE75" s="103"/>
      <c r="BF75" s="103"/>
      <c r="BG75" s="103"/>
      <c r="BH75" s="103"/>
      <c r="BI75" s="103"/>
      <c r="BJ75" s="103"/>
      <c r="BK75" s="103"/>
      <c r="BL75" s="103"/>
      <c r="BM75" s="103"/>
      <c r="BN75" s="103"/>
      <c r="BO75" s="103"/>
      <c r="BP75" s="103"/>
      <c r="BQ75" s="103"/>
      <c r="BR75" s="103"/>
      <c r="BS75" s="103"/>
      <c r="BT75" s="103"/>
      <c r="BU75" s="103"/>
      <c r="BV75" s="103"/>
      <c r="BW75" s="103"/>
      <c r="BX75" s="103"/>
      <c r="BY75" s="103"/>
      <c r="BZ75" s="103"/>
      <c r="CA75" s="103"/>
      <c r="CB75" s="103"/>
      <c r="CC75" s="103"/>
      <c r="CD75" s="103"/>
      <c r="CE75" s="6"/>
      <c r="CF75" s="6"/>
      <c r="CG75" s="103"/>
      <c r="CH75" s="103"/>
      <c r="CI75" s="103"/>
      <c r="CJ75" s="103"/>
    </row>
    <row r="76" spans="1:88" s="7" customFormat="1" x14ac:dyDescent="0.2">
      <c r="A76" s="5"/>
      <c r="B76" s="5"/>
      <c r="C76" s="5"/>
      <c r="D76" s="5"/>
      <c r="E76" s="5"/>
      <c r="F76" s="5"/>
      <c r="G76" s="5"/>
      <c r="H76" s="5"/>
      <c r="I76" s="5"/>
      <c r="J76" s="5"/>
      <c r="K76" s="5"/>
      <c r="L76" s="5"/>
      <c r="M76" s="50"/>
      <c r="N76" s="50"/>
      <c r="O76" s="50"/>
      <c r="P76" s="110"/>
      <c r="Q76" s="108"/>
      <c r="R76" s="5"/>
      <c r="S76" s="5"/>
      <c r="T76" s="5"/>
      <c r="U76" s="5"/>
      <c r="V76" s="5"/>
      <c r="W76" s="5"/>
      <c r="X76" s="5"/>
      <c r="Y76" s="5"/>
      <c r="Z76" s="215"/>
      <c r="AA76" s="5"/>
      <c r="AB76" s="5"/>
      <c r="AC76" s="5"/>
      <c r="AD76" s="5"/>
      <c r="AE76" s="5"/>
      <c r="AF76" s="5"/>
      <c r="AG76" s="150"/>
      <c r="AH76" s="103"/>
      <c r="AI76" s="103"/>
      <c r="AJ76" s="103"/>
      <c r="AK76" s="103"/>
      <c r="AL76" s="103"/>
      <c r="AM76" s="103"/>
      <c r="AN76" s="103"/>
      <c r="AO76" s="103"/>
      <c r="AP76" s="103"/>
      <c r="AQ76" s="103"/>
      <c r="AR76" s="103"/>
      <c r="AS76" s="103"/>
      <c r="AT76" s="103"/>
      <c r="AU76" s="103"/>
      <c r="AV76" s="103"/>
      <c r="AW76" s="103"/>
      <c r="AX76" s="103"/>
      <c r="AY76" s="103"/>
      <c r="AZ76" s="103"/>
      <c r="BA76" s="103"/>
      <c r="BB76" s="103"/>
      <c r="BC76" s="103"/>
      <c r="BD76" s="103"/>
      <c r="BE76" s="103"/>
      <c r="BF76" s="103"/>
      <c r="BG76" s="103"/>
      <c r="BH76" s="103"/>
      <c r="BI76" s="103"/>
      <c r="BJ76" s="103"/>
      <c r="BK76" s="103"/>
      <c r="BL76" s="103"/>
      <c r="BM76" s="103"/>
      <c r="BN76" s="103"/>
      <c r="BO76" s="103"/>
      <c r="BP76" s="103"/>
      <c r="BQ76" s="103"/>
      <c r="BR76" s="103"/>
      <c r="BS76" s="103"/>
      <c r="BT76" s="103"/>
      <c r="BU76" s="103"/>
      <c r="BV76" s="103"/>
      <c r="BW76" s="103"/>
      <c r="BX76" s="103"/>
      <c r="BY76" s="103"/>
      <c r="BZ76" s="103"/>
      <c r="CA76" s="103"/>
      <c r="CB76" s="103"/>
      <c r="CC76" s="103"/>
      <c r="CD76" s="103"/>
      <c r="CE76" s="6"/>
      <c r="CF76" s="6"/>
      <c r="CG76" s="103"/>
      <c r="CH76" s="103"/>
      <c r="CI76" s="103"/>
      <c r="CJ76" s="103"/>
    </row>
    <row r="77" spans="1:88" s="7" customFormat="1" x14ac:dyDescent="0.2">
      <c r="A77" s="5"/>
      <c r="B77" s="5"/>
      <c r="C77" s="5"/>
      <c r="D77" s="5"/>
      <c r="E77" s="5"/>
      <c r="F77" s="5"/>
      <c r="G77" s="5"/>
      <c r="H77" s="5"/>
      <c r="I77" s="5"/>
      <c r="J77" s="5"/>
      <c r="K77" s="5"/>
      <c r="L77" s="5"/>
      <c r="M77" s="50"/>
      <c r="N77" s="50"/>
      <c r="O77" s="50"/>
      <c r="P77" s="110"/>
      <c r="Q77" s="108"/>
      <c r="R77" s="5"/>
      <c r="S77" s="5"/>
      <c r="T77" s="5"/>
      <c r="U77" s="5"/>
      <c r="V77" s="5"/>
      <c r="W77" s="5"/>
      <c r="X77" s="5"/>
      <c r="Y77" s="5"/>
      <c r="Z77" s="215"/>
      <c r="AA77" s="5"/>
      <c r="AB77" s="5"/>
      <c r="AC77" s="5"/>
      <c r="AD77" s="5"/>
      <c r="AE77" s="5"/>
      <c r="AF77" s="5"/>
      <c r="AG77" s="150"/>
      <c r="AH77" s="103"/>
      <c r="AI77" s="103"/>
      <c r="AJ77" s="103"/>
      <c r="AK77" s="103"/>
      <c r="AL77" s="103"/>
      <c r="AM77" s="103"/>
      <c r="AN77" s="103"/>
      <c r="AO77" s="103"/>
      <c r="AP77" s="103"/>
      <c r="AQ77" s="103"/>
      <c r="AR77" s="103"/>
      <c r="AS77" s="103"/>
      <c r="AT77" s="103"/>
      <c r="AU77" s="103"/>
      <c r="AV77" s="103"/>
      <c r="AW77" s="103"/>
      <c r="AX77" s="103"/>
      <c r="AY77" s="103"/>
      <c r="AZ77" s="103"/>
      <c r="BA77" s="103"/>
      <c r="BB77" s="103"/>
      <c r="BC77" s="103"/>
      <c r="BD77" s="103"/>
      <c r="BE77" s="103"/>
      <c r="BF77" s="103"/>
      <c r="BG77" s="103"/>
      <c r="BH77" s="103"/>
      <c r="BI77" s="103"/>
      <c r="BJ77" s="103"/>
      <c r="BK77" s="103"/>
      <c r="BL77" s="103"/>
      <c r="BM77" s="103"/>
      <c r="BN77" s="103"/>
      <c r="BO77" s="103"/>
      <c r="BP77" s="103"/>
      <c r="BQ77" s="103"/>
      <c r="BR77" s="103"/>
      <c r="BS77" s="103"/>
      <c r="BT77" s="103"/>
      <c r="BU77" s="103"/>
      <c r="BV77" s="103"/>
      <c r="BW77" s="103"/>
      <c r="BX77" s="103"/>
      <c r="BY77" s="103"/>
      <c r="BZ77" s="103"/>
      <c r="CA77" s="103"/>
      <c r="CB77" s="103"/>
      <c r="CC77" s="103"/>
      <c r="CD77" s="103"/>
      <c r="CE77" s="6"/>
      <c r="CF77" s="6"/>
      <c r="CG77" s="103"/>
      <c r="CH77" s="103"/>
      <c r="CI77" s="103"/>
      <c r="CJ77" s="103"/>
    </row>
    <row r="78" spans="1:88" s="7" customFormat="1" x14ac:dyDescent="0.2">
      <c r="A78" s="5"/>
      <c r="B78" s="5"/>
      <c r="C78" s="5"/>
      <c r="D78" s="5"/>
      <c r="E78" s="5"/>
      <c r="F78" s="5"/>
      <c r="G78" s="5"/>
      <c r="H78" s="5"/>
      <c r="I78" s="5"/>
      <c r="J78" s="5"/>
      <c r="K78" s="5"/>
      <c r="L78" s="5"/>
      <c r="M78" s="50"/>
      <c r="N78" s="50"/>
      <c r="O78" s="50"/>
      <c r="P78" s="110"/>
      <c r="Q78" s="108"/>
      <c r="R78" s="5"/>
      <c r="S78" s="5"/>
      <c r="T78" s="5"/>
      <c r="U78" s="5"/>
      <c r="V78" s="5"/>
      <c r="W78" s="5"/>
      <c r="X78" s="5"/>
      <c r="Y78" s="5"/>
      <c r="Z78" s="215"/>
      <c r="AA78" s="5"/>
      <c r="AB78" s="5"/>
      <c r="AC78" s="5"/>
      <c r="AD78" s="5"/>
      <c r="AE78" s="5"/>
      <c r="AF78" s="5"/>
      <c r="AG78" s="150"/>
      <c r="AH78" s="103"/>
      <c r="AI78" s="103"/>
      <c r="AJ78" s="103"/>
      <c r="AK78" s="103"/>
      <c r="AL78" s="103"/>
      <c r="AM78" s="103"/>
      <c r="AN78" s="103"/>
      <c r="AO78" s="103"/>
      <c r="AP78" s="103"/>
      <c r="AQ78" s="103"/>
      <c r="AR78" s="103"/>
      <c r="AS78" s="103"/>
      <c r="AT78" s="103"/>
      <c r="AU78" s="103"/>
      <c r="AV78" s="103"/>
      <c r="AW78" s="103"/>
      <c r="AX78" s="103"/>
      <c r="AY78" s="103"/>
      <c r="AZ78" s="103"/>
      <c r="BA78" s="103"/>
      <c r="BB78" s="103"/>
      <c r="BC78" s="103"/>
      <c r="BD78" s="103"/>
      <c r="BE78" s="103"/>
      <c r="BF78" s="103"/>
      <c r="BG78" s="103"/>
      <c r="BH78" s="103"/>
      <c r="BI78" s="103"/>
      <c r="BJ78" s="103"/>
      <c r="BK78" s="103"/>
      <c r="BL78" s="103"/>
      <c r="BM78" s="103"/>
      <c r="BN78" s="103"/>
      <c r="BO78" s="103"/>
      <c r="BP78" s="103"/>
      <c r="BQ78" s="103"/>
      <c r="BR78" s="103"/>
      <c r="BS78" s="103"/>
      <c r="BT78" s="103"/>
      <c r="BU78" s="103"/>
      <c r="BV78" s="103"/>
      <c r="BW78" s="103"/>
      <c r="BX78" s="103"/>
      <c r="BY78" s="103"/>
      <c r="BZ78" s="103"/>
      <c r="CA78" s="103"/>
      <c r="CB78" s="103"/>
      <c r="CC78" s="103"/>
      <c r="CD78" s="103"/>
      <c r="CE78" s="6"/>
      <c r="CF78" s="6"/>
      <c r="CG78" s="103"/>
      <c r="CH78" s="103"/>
      <c r="CI78" s="103"/>
      <c r="CJ78" s="103"/>
    </row>
    <row r="79" spans="1:88" s="7" customFormat="1" x14ac:dyDescent="0.2">
      <c r="A79" s="5"/>
      <c r="B79" s="5"/>
      <c r="C79" s="5"/>
      <c r="D79" s="5"/>
      <c r="E79" s="5"/>
      <c r="F79" s="5"/>
      <c r="G79" s="5"/>
      <c r="H79" s="5"/>
      <c r="I79" s="5"/>
      <c r="J79" s="5"/>
      <c r="K79" s="5"/>
      <c r="L79" s="5"/>
      <c r="M79" s="50"/>
      <c r="N79" s="50"/>
      <c r="O79" s="50"/>
      <c r="P79" s="110"/>
      <c r="Q79" s="108"/>
      <c r="R79" s="5"/>
      <c r="S79" s="5"/>
      <c r="T79" s="5"/>
      <c r="U79" s="5"/>
      <c r="V79" s="5"/>
      <c r="W79" s="5"/>
      <c r="X79" s="5"/>
      <c r="Y79" s="5"/>
      <c r="Z79" s="215"/>
      <c r="AA79" s="5"/>
      <c r="AB79" s="5"/>
      <c r="AC79" s="5"/>
      <c r="AD79" s="5"/>
      <c r="AE79" s="5"/>
      <c r="AF79" s="5"/>
      <c r="AG79" s="150"/>
      <c r="AH79" s="103"/>
      <c r="AI79" s="103"/>
      <c r="AJ79" s="103"/>
      <c r="AK79" s="103"/>
      <c r="AL79" s="103"/>
      <c r="AM79" s="103"/>
      <c r="AN79" s="103"/>
      <c r="AO79" s="103"/>
      <c r="AP79" s="103"/>
      <c r="AQ79" s="103"/>
      <c r="AR79" s="103"/>
      <c r="AS79" s="103"/>
      <c r="AT79" s="103"/>
      <c r="AU79" s="103"/>
      <c r="AV79" s="103"/>
      <c r="AW79" s="103"/>
      <c r="AX79" s="103"/>
      <c r="AY79" s="103"/>
      <c r="AZ79" s="103"/>
      <c r="BA79" s="103"/>
      <c r="BB79" s="103"/>
      <c r="BC79" s="103"/>
      <c r="BD79" s="103"/>
      <c r="BE79" s="103"/>
      <c r="BF79" s="103"/>
      <c r="BG79" s="103"/>
      <c r="BH79" s="103"/>
      <c r="BI79" s="103"/>
      <c r="BJ79" s="103"/>
      <c r="BK79" s="103"/>
      <c r="BL79" s="103"/>
      <c r="BM79" s="103"/>
      <c r="BN79" s="103"/>
      <c r="BO79" s="103"/>
      <c r="BP79" s="103"/>
      <c r="BQ79" s="103"/>
      <c r="BR79" s="103"/>
      <c r="BS79" s="103"/>
      <c r="BT79" s="103"/>
      <c r="BU79" s="103"/>
      <c r="BV79" s="103"/>
      <c r="BW79" s="103"/>
      <c r="BX79" s="103"/>
      <c r="BY79" s="103"/>
      <c r="BZ79" s="103"/>
      <c r="CA79" s="103"/>
      <c r="CB79" s="103"/>
      <c r="CC79" s="103"/>
      <c r="CD79" s="103"/>
      <c r="CE79" s="6"/>
      <c r="CF79" s="6"/>
      <c r="CG79" s="103"/>
      <c r="CH79" s="103"/>
      <c r="CI79" s="103"/>
      <c r="CJ79" s="103"/>
    </row>
    <row r="80" spans="1:88" s="7" customFormat="1" x14ac:dyDescent="0.2">
      <c r="A80" s="5"/>
      <c r="B80" s="5"/>
      <c r="C80" s="5"/>
      <c r="D80" s="5"/>
      <c r="E80" s="5"/>
      <c r="F80" s="5"/>
      <c r="G80" s="5"/>
      <c r="H80" s="5"/>
      <c r="I80" s="5"/>
      <c r="J80" s="5"/>
      <c r="K80" s="5"/>
      <c r="L80" s="5"/>
      <c r="M80" s="50"/>
      <c r="N80" s="50"/>
      <c r="O80" s="50"/>
      <c r="P80" s="110"/>
      <c r="Q80" s="108"/>
      <c r="R80" s="5"/>
      <c r="S80" s="5"/>
      <c r="T80" s="5"/>
      <c r="U80" s="5"/>
      <c r="V80" s="5"/>
      <c r="W80" s="5"/>
      <c r="X80" s="5"/>
      <c r="Y80" s="5"/>
      <c r="Z80" s="215"/>
      <c r="AA80" s="5"/>
      <c r="AB80" s="5"/>
      <c r="AC80" s="5"/>
      <c r="AD80" s="5"/>
      <c r="AE80" s="5"/>
      <c r="AF80" s="5"/>
      <c r="AG80" s="150"/>
      <c r="AH80" s="103"/>
      <c r="AI80" s="103"/>
      <c r="AJ80" s="103"/>
      <c r="AK80" s="103"/>
      <c r="AL80" s="103"/>
      <c r="AM80" s="103"/>
      <c r="AN80" s="103"/>
      <c r="AO80" s="103"/>
      <c r="AP80" s="103"/>
      <c r="AQ80" s="103"/>
      <c r="AR80" s="103"/>
      <c r="AS80" s="103"/>
      <c r="AT80" s="103"/>
      <c r="AU80" s="103"/>
      <c r="AV80" s="103"/>
      <c r="AW80" s="103"/>
      <c r="AX80" s="103"/>
      <c r="AY80" s="103"/>
      <c r="AZ80" s="103"/>
      <c r="BA80" s="103"/>
      <c r="BB80" s="103"/>
      <c r="BC80" s="103"/>
      <c r="BD80" s="103"/>
      <c r="BE80" s="103"/>
      <c r="BF80" s="103"/>
      <c r="BG80" s="103"/>
      <c r="BH80" s="103"/>
      <c r="BI80" s="103"/>
      <c r="BJ80" s="103"/>
      <c r="BK80" s="103"/>
      <c r="BL80" s="103"/>
      <c r="BM80" s="103"/>
      <c r="BN80" s="103"/>
      <c r="BO80" s="103"/>
      <c r="BP80" s="103"/>
      <c r="BQ80" s="103"/>
      <c r="BR80" s="103"/>
      <c r="BS80" s="103"/>
      <c r="BT80" s="103"/>
      <c r="BU80" s="103"/>
      <c r="BV80" s="103"/>
      <c r="BW80" s="103"/>
      <c r="BX80" s="103"/>
      <c r="BY80" s="103"/>
      <c r="BZ80" s="103"/>
      <c r="CA80" s="103"/>
      <c r="CB80" s="103"/>
      <c r="CC80" s="103"/>
      <c r="CD80" s="103"/>
      <c r="CE80" s="6"/>
      <c r="CF80" s="6"/>
      <c r="CG80" s="103"/>
      <c r="CH80" s="103"/>
      <c r="CI80" s="103"/>
      <c r="CJ80" s="103"/>
    </row>
    <row r="81" spans="1:88" s="7" customFormat="1" x14ac:dyDescent="0.2">
      <c r="A81" s="5"/>
      <c r="B81" s="5"/>
      <c r="C81" s="5"/>
      <c r="D81" s="5"/>
      <c r="E81" s="5"/>
      <c r="F81" s="5"/>
      <c r="G81" s="5"/>
      <c r="H81" s="5"/>
      <c r="I81" s="5"/>
      <c r="J81" s="5"/>
      <c r="K81" s="5"/>
      <c r="L81" s="5"/>
      <c r="M81" s="50"/>
      <c r="N81" s="50"/>
      <c r="O81" s="50"/>
      <c r="P81" s="110"/>
      <c r="Q81" s="108"/>
      <c r="R81" s="5"/>
      <c r="S81" s="5"/>
      <c r="T81" s="5"/>
      <c r="U81" s="5"/>
      <c r="V81" s="5"/>
      <c r="W81" s="5"/>
      <c r="X81" s="5"/>
      <c r="Y81" s="5"/>
      <c r="Z81" s="215"/>
      <c r="AA81" s="5"/>
      <c r="AB81" s="5"/>
      <c r="AC81" s="5"/>
      <c r="AD81" s="5"/>
      <c r="AE81" s="5"/>
      <c r="AF81" s="5"/>
      <c r="AG81" s="150"/>
      <c r="AH81" s="103"/>
      <c r="AI81" s="103"/>
      <c r="AJ81" s="103"/>
      <c r="AK81" s="103"/>
      <c r="AL81" s="103"/>
      <c r="AM81" s="103"/>
      <c r="AN81" s="103"/>
      <c r="AO81" s="103"/>
      <c r="AP81" s="103"/>
      <c r="AQ81" s="103"/>
      <c r="AR81" s="103"/>
      <c r="AS81" s="103"/>
      <c r="AT81" s="103"/>
      <c r="AU81" s="103"/>
      <c r="AV81" s="103"/>
      <c r="AW81" s="103"/>
      <c r="AX81" s="103"/>
      <c r="AY81" s="103"/>
      <c r="AZ81" s="103"/>
      <c r="BA81" s="103"/>
      <c r="BB81" s="103"/>
      <c r="BC81" s="103"/>
      <c r="BD81" s="103"/>
      <c r="BE81" s="103"/>
      <c r="BF81" s="103"/>
      <c r="BG81" s="103"/>
      <c r="BH81" s="103"/>
      <c r="BI81" s="103"/>
      <c r="BJ81" s="103"/>
      <c r="BK81" s="103"/>
      <c r="BL81" s="103"/>
      <c r="BM81" s="103"/>
      <c r="BN81" s="103"/>
      <c r="BO81" s="103"/>
      <c r="BP81" s="103"/>
      <c r="BQ81" s="103"/>
      <c r="BR81" s="103"/>
      <c r="BS81" s="103"/>
      <c r="BT81" s="103"/>
      <c r="BU81" s="103"/>
      <c r="BV81" s="103"/>
      <c r="BW81" s="103"/>
      <c r="BX81" s="103"/>
      <c r="BY81" s="103"/>
      <c r="BZ81" s="103"/>
      <c r="CA81" s="103"/>
      <c r="CB81" s="103"/>
      <c r="CC81" s="103"/>
      <c r="CD81" s="103"/>
      <c r="CE81" s="6"/>
      <c r="CF81" s="6"/>
      <c r="CG81" s="103"/>
      <c r="CH81" s="103"/>
      <c r="CI81" s="103"/>
      <c r="CJ81" s="103"/>
    </row>
    <row r="82" spans="1:88" s="7" customFormat="1" x14ac:dyDescent="0.2">
      <c r="A82" s="5"/>
      <c r="B82" s="5"/>
      <c r="C82" s="5"/>
      <c r="D82" s="5"/>
      <c r="E82" s="5"/>
      <c r="F82" s="5"/>
      <c r="G82" s="5"/>
      <c r="H82" s="5"/>
      <c r="I82" s="5"/>
      <c r="J82" s="5"/>
      <c r="K82" s="5"/>
      <c r="L82" s="5"/>
      <c r="M82" s="50"/>
      <c r="N82" s="50"/>
      <c r="O82" s="50"/>
      <c r="P82" s="110"/>
      <c r="Q82" s="108"/>
      <c r="R82" s="5"/>
      <c r="S82" s="5"/>
      <c r="T82" s="5"/>
      <c r="U82" s="5"/>
      <c r="V82" s="5"/>
      <c r="W82" s="5"/>
      <c r="X82" s="5"/>
      <c r="Y82" s="5"/>
      <c r="Z82" s="215"/>
      <c r="AA82" s="5"/>
      <c r="AB82" s="5"/>
      <c r="AC82" s="5"/>
      <c r="AD82" s="5"/>
      <c r="AE82" s="5"/>
      <c r="AF82" s="5"/>
      <c r="AG82" s="150"/>
      <c r="AH82" s="103"/>
      <c r="AI82" s="103"/>
      <c r="AJ82" s="103"/>
      <c r="AK82" s="103"/>
      <c r="AL82" s="103"/>
      <c r="AM82" s="103"/>
      <c r="AN82" s="103"/>
      <c r="AO82" s="103"/>
      <c r="AP82" s="103"/>
      <c r="AQ82" s="103"/>
      <c r="AR82" s="103"/>
      <c r="AS82" s="103"/>
      <c r="AT82" s="103"/>
      <c r="AU82" s="103"/>
      <c r="AV82" s="103"/>
      <c r="AW82" s="103"/>
      <c r="AX82" s="103"/>
      <c r="AY82" s="103"/>
      <c r="AZ82" s="103"/>
      <c r="BA82" s="103"/>
      <c r="BB82" s="103"/>
      <c r="BC82" s="103"/>
      <c r="BD82" s="103"/>
      <c r="BE82" s="103"/>
      <c r="BF82" s="103"/>
      <c r="BG82" s="103"/>
      <c r="BH82" s="103"/>
      <c r="BI82" s="103"/>
      <c r="BJ82" s="103"/>
      <c r="BK82" s="103"/>
      <c r="BL82" s="103"/>
      <c r="BM82" s="103"/>
      <c r="BN82" s="103"/>
      <c r="BO82" s="103"/>
      <c r="BP82" s="103"/>
      <c r="BQ82" s="103"/>
      <c r="BR82" s="103"/>
      <c r="BS82" s="103"/>
      <c r="BT82" s="103"/>
      <c r="BU82" s="103"/>
      <c r="BV82" s="103"/>
      <c r="BW82" s="103"/>
      <c r="BX82" s="103"/>
      <c r="BY82" s="103"/>
      <c r="BZ82" s="103"/>
      <c r="CA82" s="103"/>
      <c r="CB82" s="103"/>
      <c r="CC82" s="103"/>
      <c r="CD82" s="103"/>
      <c r="CE82" s="6"/>
      <c r="CF82" s="6"/>
      <c r="CG82" s="103"/>
      <c r="CH82" s="103"/>
      <c r="CI82" s="103"/>
      <c r="CJ82" s="103"/>
    </row>
    <row r="83" spans="1:88" s="7" customFormat="1" x14ac:dyDescent="0.2">
      <c r="A83" s="5"/>
      <c r="B83" s="5"/>
      <c r="C83" s="5"/>
      <c r="D83" s="5"/>
      <c r="E83" s="5"/>
      <c r="F83" s="5"/>
      <c r="G83" s="5"/>
      <c r="H83" s="5"/>
      <c r="I83" s="5"/>
      <c r="J83" s="5"/>
      <c r="K83" s="5"/>
      <c r="L83" s="5"/>
      <c r="M83" s="50"/>
      <c r="N83" s="50"/>
      <c r="O83" s="50"/>
      <c r="P83" s="110"/>
      <c r="Q83" s="108"/>
      <c r="R83" s="5"/>
      <c r="S83" s="5"/>
      <c r="T83" s="5"/>
      <c r="U83" s="5"/>
      <c r="V83" s="5"/>
      <c r="W83" s="5"/>
      <c r="X83" s="5"/>
      <c r="Y83" s="5"/>
      <c r="Z83" s="215"/>
      <c r="AA83" s="5"/>
      <c r="AB83" s="5"/>
      <c r="AC83" s="5"/>
      <c r="AD83" s="5"/>
      <c r="AE83" s="5"/>
      <c r="AF83" s="5"/>
      <c r="AG83" s="150"/>
      <c r="AH83" s="103"/>
      <c r="AI83" s="103"/>
      <c r="AJ83" s="103"/>
      <c r="AK83" s="103"/>
      <c r="AL83" s="103"/>
      <c r="AM83" s="103"/>
      <c r="AN83" s="103"/>
      <c r="AO83" s="103"/>
      <c r="AP83" s="103"/>
      <c r="AQ83" s="103"/>
      <c r="AR83" s="103"/>
      <c r="AS83" s="103"/>
      <c r="AT83" s="103"/>
      <c r="AU83" s="103"/>
      <c r="AV83" s="103"/>
      <c r="AW83" s="103"/>
      <c r="AX83" s="103"/>
      <c r="AY83" s="103"/>
      <c r="AZ83" s="103"/>
      <c r="BA83" s="103"/>
      <c r="BB83" s="103"/>
      <c r="BC83" s="103"/>
      <c r="BD83" s="103"/>
      <c r="BE83" s="103"/>
      <c r="BF83" s="103"/>
      <c r="BG83" s="103"/>
      <c r="BH83" s="103"/>
      <c r="BI83" s="103"/>
      <c r="BJ83" s="103"/>
      <c r="BK83" s="103"/>
      <c r="BL83" s="103"/>
      <c r="BM83" s="103"/>
      <c r="BN83" s="103"/>
      <c r="BO83" s="103"/>
      <c r="BP83" s="103"/>
      <c r="BQ83" s="103"/>
      <c r="BR83" s="103"/>
      <c r="BS83" s="103"/>
      <c r="BT83" s="103"/>
      <c r="BU83" s="103"/>
      <c r="BV83" s="103"/>
      <c r="BW83" s="103"/>
      <c r="BX83" s="103"/>
      <c r="BY83" s="103"/>
      <c r="BZ83" s="103"/>
      <c r="CA83" s="103"/>
      <c r="CB83" s="103"/>
      <c r="CC83" s="103"/>
      <c r="CD83" s="103"/>
      <c r="CE83" s="6"/>
      <c r="CF83" s="6"/>
      <c r="CG83" s="103"/>
      <c r="CH83" s="103"/>
      <c r="CI83" s="103"/>
      <c r="CJ83" s="103"/>
    </row>
    <row r="84" spans="1:88" s="7" customFormat="1" x14ac:dyDescent="0.2">
      <c r="A84" s="5"/>
      <c r="B84" s="5"/>
      <c r="C84" s="5"/>
      <c r="D84" s="5"/>
      <c r="E84" s="5"/>
      <c r="F84" s="5"/>
      <c r="G84" s="5"/>
      <c r="H84" s="5"/>
      <c r="I84" s="5"/>
      <c r="J84" s="5"/>
      <c r="K84" s="5"/>
      <c r="L84" s="5"/>
      <c r="M84" s="50"/>
      <c r="N84" s="50"/>
      <c r="O84" s="50"/>
      <c r="P84" s="110"/>
      <c r="Q84" s="108"/>
      <c r="R84" s="5"/>
      <c r="S84" s="5"/>
      <c r="T84" s="5"/>
      <c r="U84" s="5"/>
      <c r="V84" s="5"/>
      <c r="W84" s="5"/>
      <c r="X84" s="5"/>
      <c r="Y84" s="5"/>
      <c r="Z84" s="215"/>
      <c r="AA84" s="5"/>
      <c r="AB84" s="5"/>
      <c r="AC84" s="5"/>
      <c r="AD84" s="5"/>
      <c r="AE84" s="5"/>
      <c r="AF84" s="5"/>
      <c r="AG84" s="150"/>
      <c r="AH84" s="103"/>
      <c r="AI84" s="103"/>
      <c r="AJ84" s="103"/>
      <c r="AK84" s="103"/>
      <c r="AL84" s="103"/>
      <c r="AM84" s="103"/>
      <c r="AN84" s="103"/>
      <c r="AO84" s="103"/>
      <c r="AP84" s="103"/>
      <c r="AQ84" s="103"/>
      <c r="AR84" s="103"/>
      <c r="AS84" s="103"/>
      <c r="AT84" s="103"/>
      <c r="AU84" s="103"/>
      <c r="AV84" s="103"/>
      <c r="AW84" s="103"/>
      <c r="AX84" s="103"/>
      <c r="AY84" s="103"/>
      <c r="AZ84" s="103"/>
      <c r="BA84" s="103"/>
      <c r="BB84" s="103"/>
      <c r="BC84" s="103"/>
      <c r="BD84" s="103"/>
      <c r="BE84" s="103"/>
      <c r="BF84" s="103"/>
      <c r="BG84" s="103"/>
      <c r="BH84" s="103"/>
      <c r="BI84" s="103"/>
      <c r="BJ84" s="103"/>
      <c r="BK84" s="103"/>
      <c r="BL84" s="103"/>
      <c r="BM84" s="103"/>
      <c r="BN84" s="103"/>
      <c r="BO84" s="103"/>
      <c r="BP84" s="103"/>
      <c r="BQ84" s="103"/>
      <c r="BR84" s="103"/>
      <c r="BS84" s="103"/>
      <c r="BT84" s="103"/>
      <c r="BU84" s="103"/>
      <c r="BV84" s="103"/>
      <c r="BW84" s="103"/>
      <c r="BX84" s="103"/>
      <c r="BY84" s="103"/>
      <c r="BZ84" s="103"/>
      <c r="CA84" s="103"/>
      <c r="CB84" s="103"/>
      <c r="CC84" s="103"/>
      <c r="CD84" s="103"/>
      <c r="CE84" s="6"/>
      <c r="CF84" s="6"/>
      <c r="CG84" s="103"/>
      <c r="CH84" s="103"/>
      <c r="CI84" s="103"/>
      <c r="CJ84" s="103"/>
    </row>
    <row r="85" spans="1:88" s="7" customFormat="1" x14ac:dyDescent="0.2">
      <c r="A85" s="5"/>
      <c r="B85" s="5"/>
      <c r="C85" s="5"/>
      <c r="D85" s="5"/>
      <c r="E85" s="5"/>
      <c r="F85" s="5"/>
      <c r="G85" s="5"/>
      <c r="H85" s="5"/>
      <c r="I85" s="5"/>
      <c r="J85" s="5"/>
      <c r="K85" s="5"/>
      <c r="L85" s="5"/>
      <c r="M85" s="50"/>
      <c r="N85" s="50"/>
      <c r="O85" s="50"/>
      <c r="P85" s="110"/>
      <c r="Q85" s="108"/>
      <c r="R85" s="5"/>
      <c r="S85" s="5"/>
      <c r="T85" s="5"/>
      <c r="U85" s="5"/>
      <c r="V85" s="5"/>
      <c r="W85" s="5"/>
      <c r="X85" s="5"/>
      <c r="Y85" s="5"/>
      <c r="Z85" s="215"/>
      <c r="AA85" s="5"/>
      <c r="AB85" s="5"/>
      <c r="AC85" s="5"/>
      <c r="AD85" s="5"/>
      <c r="AE85" s="5"/>
      <c r="AF85" s="5"/>
      <c r="AG85" s="150"/>
      <c r="AH85" s="103"/>
      <c r="AI85" s="103"/>
      <c r="AJ85" s="103"/>
      <c r="AK85" s="103"/>
      <c r="AL85" s="103"/>
      <c r="AM85" s="103"/>
      <c r="AN85" s="103"/>
      <c r="AO85" s="103"/>
      <c r="AP85" s="103"/>
      <c r="AQ85" s="103"/>
      <c r="AR85" s="103"/>
      <c r="AS85" s="103"/>
      <c r="AT85" s="103"/>
      <c r="AU85" s="103"/>
      <c r="AV85" s="103"/>
      <c r="AW85" s="103"/>
      <c r="AX85" s="103"/>
      <c r="AY85" s="103"/>
      <c r="AZ85" s="103"/>
      <c r="BA85" s="103"/>
      <c r="BB85" s="103"/>
      <c r="BC85" s="103"/>
      <c r="BD85" s="103"/>
      <c r="BE85" s="103"/>
      <c r="BF85" s="103"/>
      <c r="BG85" s="103"/>
      <c r="BH85" s="103"/>
      <c r="BI85" s="103"/>
      <c r="BJ85" s="103"/>
      <c r="BK85" s="103"/>
      <c r="BL85" s="103"/>
      <c r="BM85" s="103"/>
      <c r="BN85" s="103"/>
      <c r="BO85" s="103"/>
      <c r="BP85" s="103"/>
      <c r="BQ85" s="103"/>
      <c r="BR85" s="103"/>
      <c r="BS85" s="103"/>
      <c r="BT85" s="103"/>
      <c r="BU85" s="103"/>
      <c r="BV85" s="103"/>
      <c r="BW85" s="103"/>
      <c r="BX85" s="103"/>
      <c r="BY85" s="103"/>
      <c r="BZ85" s="103"/>
      <c r="CA85" s="103"/>
      <c r="CB85" s="103"/>
      <c r="CC85" s="103"/>
      <c r="CD85" s="103"/>
      <c r="CE85" s="6"/>
      <c r="CF85" s="6"/>
      <c r="CG85" s="103"/>
      <c r="CH85" s="103"/>
      <c r="CI85" s="103"/>
      <c r="CJ85" s="103"/>
    </row>
    <row r="86" spans="1:88" s="7" customFormat="1" x14ac:dyDescent="0.2">
      <c r="A86" s="5"/>
      <c r="B86" s="5"/>
      <c r="C86" s="5"/>
      <c r="D86" s="5"/>
      <c r="E86" s="5"/>
      <c r="F86" s="5"/>
      <c r="G86" s="5"/>
      <c r="H86" s="5"/>
      <c r="I86" s="5"/>
      <c r="J86" s="5"/>
      <c r="K86" s="5"/>
      <c r="L86" s="5"/>
      <c r="M86" s="50"/>
      <c r="N86" s="50"/>
      <c r="O86" s="50"/>
      <c r="P86" s="110"/>
      <c r="Q86" s="108"/>
      <c r="R86" s="5"/>
      <c r="S86" s="5"/>
      <c r="T86" s="5"/>
      <c r="U86" s="5"/>
      <c r="V86" s="5"/>
      <c r="W86" s="5"/>
      <c r="X86" s="5"/>
      <c r="Y86" s="5"/>
      <c r="Z86" s="215"/>
      <c r="AA86" s="5"/>
      <c r="AB86" s="5"/>
      <c r="AC86" s="5"/>
      <c r="AD86" s="5"/>
      <c r="AE86" s="5"/>
      <c r="AF86" s="5"/>
      <c r="AG86" s="150"/>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103"/>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6"/>
      <c r="CF86" s="6"/>
      <c r="CG86" s="103"/>
      <c r="CH86" s="103"/>
      <c r="CI86" s="103"/>
      <c r="CJ86" s="103"/>
    </row>
    <row r="87" spans="1:88" s="7" customFormat="1" x14ac:dyDescent="0.2">
      <c r="A87" s="5"/>
      <c r="B87" s="5"/>
      <c r="C87" s="5"/>
      <c r="D87" s="5"/>
      <c r="E87" s="5"/>
      <c r="F87" s="5"/>
      <c r="G87" s="5"/>
      <c r="H87" s="5"/>
      <c r="I87" s="5"/>
      <c r="J87" s="5"/>
      <c r="K87" s="5"/>
      <c r="L87" s="5"/>
      <c r="M87" s="50"/>
      <c r="N87" s="50"/>
      <c r="O87" s="50"/>
      <c r="P87" s="110"/>
      <c r="Q87" s="108"/>
      <c r="R87" s="5"/>
      <c r="S87" s="5"/>
      <c r="T87" s="5"/>
      <c r="U87" s="5"/>
      <c r="V87" s="5"/>
      <c r="W87" s="5"/>
      <c r="X87" s="5"/>
      <c r="Y87" s="5"/>
      <c r="Z87" s="215"/>
      <c r="AA87" s="5"/>
      <c r="AB87" s="5"/>
      <c r="AC87" s="5"/>
      <c r="AD87" s="5"/>
      <c r="AE87" s="5"/>
      <c r="AF87" s="5"/>
      <c r="AG87" s="150"/>
      <c r="AH87" s="103"/>
      <c r="AI87" s="103"/>
      <c r="AJ87" s="103"/>
      <c r="AK87" s="103"/>
      <c r="AL87" s="103"/>
      <c r="AM87" s="103"/>
      <c r="AN87" s="103"/>
      <c r="AO87" s="103"/>
      <c r="AP87" s="103"/>
      <c r="AQ87" s="103"/>
      <c r="AR87" s="103"/>
      <c r="AS87" s="103"/>
      <c r="AT87" s="103"/>
      <c r="AU87" s="103"/>
      <c r="AV87" s="103"/>
      <c r="AW87" s="103"/>
      <c r="AX87" s="103"/>
      <c r="AY87" s="103"/>
      <c r="AZ87" s="103"/>
      <c r="BA87" s="103"/>
      <c r="BB87" s="103"/>
      <c r="BC87" s="103"/>
      <c r="BD87" s="103"/>
      <c r="BE87" s="103"/>
      <c r="BF87" s="103"/>
      <c r="BG87" s="103"/>
      <c r="BH87" s="103"/>
      <c r="BI87" s="103"/>
      <c r="BJ87" s="103"/>
      <c r="BK87" s="103"/>
      <c r="BL87" s="103"/>
      <c r="BM87" s="103"/>
      <c r="BN87" s="103"/>
      <c r="BO87" s="103"/>
      <c r="BP87" s="103"/>
      <c r="BQ87" s="103"/>
      <c r="BR87" s="103"/>
      <c r="BS87" s="103"/>
      <c r="BT87" s="103"/>
      <c r="BU87" s="103"/>
      <c r="BV87" s="103"/>
      <c r="BW87" s="103"/>
      <c r="BX87" s="103"/>
      <c r="BY87" s="103"/>
      <c r="BZ87" s="103"/>
      <c r="CA87" s="103"/>
      <c r="CB87" s="103"/>
      <c r="CC87" s="103"/>
      <c r="CD87" s="103"/>
      <c r="CE87" s="6"/>
      <c r="CF87" s="6"/>
      <c r="CG87" s="103"/>
      <c r="CH87" s="103"/>
      <c r="CI87" s="103"/>
      <c r="CJ87" s="103"/>
    </row>
    <row r="88" spans="1:88" s="7" customFormat="1" x14ac:dyDescent="0.2">
      <c r="A88" s="5"/>
      <c r="B88" s="5"/>
      <c r="C88" s="5"/>
      <c r="D88" s="5"/>
      <c r="E88" s="5"/>
      <c r="F88" s="5"/>
      <c r="G88" s="5"/>
      <c r="H88" s="5"/>
      <c r="I88" s="5"/>
      <c r="J88" s="5"/>
      <c r="K88" s="5"/>
      <c r="L88" s="5"/>
      <c r="M88" s="50"/>
      <c r="N88" s="50"/>
      <c r="O88" s="50"/>
      <c r="P88" s="110"/>
      <c r="Q88" s="108"/>
      <c r="R88" s="5"/>
      <c r="S88" s="5"/>
      <c r="T88" s="5"/>
      <c r="U88" s="5"/>
      <c r="V88" s="5"/>
      <c r="W88" s="5"/>
      <c r="X88" s="5"/>
      <c r="Y88" s="5"/>
      <c r="Z88" s="215"/>
      <c r="AA88" s="5"/>
      <c r="AB88" s="5"/>
      <c r="AC88" s="5"/>
      <c r="AD88" s="5"/>
      <c r="AE88" s="5"/>
      <c r="AF88" s="5"/>
      <c r="AG88" s="150"/>
      <c r="AH88" s="103"/>
      <c r="AI88" s="103"/>
      <c r="AJ88" s="103"/>
      <c r="AK88" s="103"/>
      <c r="AL88" s="103"/>
      <c r="AM88" s="103"/>
      <c r="AN88" s="103"/>
      <c r="AO88" s="103"/>
      <c r="AP88" s="103"/>
      <c r="AQ88" s="103"/>
      <c r="AR88" s="103"/>
      <c r="AS88" s="103"/>
      <c r="AT88" s="103"/>
      <c r="AU88" s="103"/>
      <c r="AV88" s="103"/>
      <c r="AW88" s="103"/>
      <c r="AX88" s="103"/>
      <c r="AY88" s="103"/>
      <c r="AZ88" s="103"/>
      <c r="BA88" s="103"/>
      <c r="BB88" s="103"/>
      <c r="BC88" s="103"/>
      <c r="BD88" s="103"/>
      <c r="BE88" s="103"/>
      <c r="BF88" s="103"/>
      <c r="BG88" s="103"/>
      <c r="BH88" s="103"/>
      <c r="BI88" s="103"/>
      <c r="BJ88" s="103"/>
      <c r="BK88" s="103"/>
      <c r="BL88" s="103"/>
      <c r="BM88" s="103"/>
      <c r="BN88" s="103"/>
      <c r="BO88" s="103"/>
      <c r="BP88" s="103"/>
      <c r="BQ88" s="103"/>
      <c r="BR88" s="103"/>
      <c r="BS88" s="103"/>
      <c r="BT88" s="103"/>
      <c r="BU88" s="103"/>
      <c r="BV88" s="103"/>
      <c r="BW88" s="103"/>
      <c r="BX88" s="103"/>
      <c r="BY88" s="103"/>
      <c r="BZ88" s="103"/>
      <c r="CA88" s="103"/>
      <c r="CB88" s="103"/>
      <c r="CC88" s="103"/>
      <c r="CD88" s="103"/>
      <c r="CE88" s="6"/>
      <c r="CF88" s="6"/>
      <c r="CG88" s="103"/>
      <c r="CH88" s="103"/>
      <c r="CI88" s="103"/>
      <c r="CJ88" s="103"/>
    </row>
    <row r="89" spans="1:88" s="7" customFormat="1" x14ac:dyDescent="0.2">
      <c r="A89" s="5"/>
      <c r="B89" s="5"/>
      <c r="C89" s="5"/>
      <c r="D89" s="5"/>
      <c r="E89" s="5"/>
      <c r="F89" s="5"/>
      <c r="G89" s="5"/>
      <c r="H89" s="5"/>
      <c r="I89" s="5"/>
      <c r="J89" s="5"/>
      <c r="K89" s="5"/>
      <c r="L89" s="5"/>
      <c r="M89" s="50"/>
      <c r="N89" s="50"/>
      <c r="O89" s="50"/>
      <c r="P89" s="110"/>
      <c r="Q89" s="108"/>
      <c r="R89" s="5"/>
      <c r="S89" s="5"/>
      <c r="T89" s="5"/>
      <c r="U89" s="5"/>
      <c r="V89" s="5"/>
      <c r="W89" s="5"/>
      <c r="X89" s="5"/>
      <c r="Y89" s="5"/>
      <c r="Z89" s="215"/>
      <c r="AA89" s="5"/>
      <c r="AB89" s="5"/>
      <c r="AC89" s="5"/>
      <c r="AD89" s="5"/>
      <c r="AE89" s="5"/>
      <c r="AF89" s="5"/>
      <c r="AG89" s="150"/>
      <c r="AH89" s="103"/>
      <c r="AI89" s="103"/>
      <c r="AJ89" s="103"/>
      <c r="AK89" s="103"/>
      <c r="AL89" s="103"/>
      <c r="AM89" s="103"/>
      <c r="AN89" s="103"/>
      <c r="AO89" s="103"/>
      <c r="AP89" s="103"/>
      <c r="AQ89" s="103"/>
      <c r="AR89" s="103"/>
      <c r="AS89" s="103"/>
      <c r="AT89" s="103"/>
      <c r="AU89" s="103"/>
      <c r="AV89" s="103"/>
      <c r="AW89" s="103"/>
      <c r="AX89" s="103"/>
      <c r="AY89" s="103"/>
      <c r="AZ89" s="103"/>
      <c r="BA89" s="103"/>
      <c r="BB89" s="103"/>
      <c r="BC89" s="103"/>
      <c r="BD89" s="103"/>
      <c r="BE89" s="103"/>
      <c r="BF89" s="103"/>
      <c r="BG89" s="103"/>
      <c r="BH89" s="103"/>
      <c r="BI89" s="103"/>
      <c r="BJ89" s="103"/>
      <c r="BK89" s="103"/>
      <c r="BL89" s="103"/>
      <c r="BM89" s="103"/>
      <c r="BN89" s="103"/>
      <c r="BO89" s="103"/>
      <c r="BP89" s="103"/>
      <c r="BQ89" s="103"/>
      <c r="BR89" s="103"/>
      <c r="BS89" s="103"/>
      <c r="BT89" s="103"/>
      <c r="BU89" s="103"/>
      <c r="BV89" s="103"/>
      <c r="BW89" s="103"/>
      <c r="BX89" s="103"/>
      <c r="BY89" s="103"/>
      <c r="BZ89" s="103"/>
      <c r="CA89" s="103"/>
      <c r="CB89" s="103"/>
      <c r="CC89" s="103"/>
      <c r="CD89" s="103"/>
      <c r="CE89" s="6"/>
      <c r="CF89" s="6"/>
      <c r="CG89" s="103"/>
      <c r="CH89" s="103"/>
      <c r="CI89" s="103"/>
      <c r="CJ89" s="103"/>
    </row>
    <row r="90" spans="1:88" s="7" customFormat="1" x14ac:dyDescent="0.2">
      <c r="A90" s="5"/>
      <c r="B90" s="5"/>
      <c r="C90" s="5"/>
      <c r="D90" s="5"/>
      <c r="E90" s="5"/>
      <c r="F90" s="5"/>
      <c r="G90" s="5"/>
      <c r="H90" s="5"/>
      <c r="I90" s="5"/>
      <c r="J90" s="5"/>
      <c r="K90" s="5"/>
      <c r="L90" s="5"/>
      <c r="M90" s="50"/>
      <c r="N90" s="50"/>
      <c r="O90" s="50"/>
      <c r="P90" s="110"/>
      <c r="Q90" s="108"/>
      <c r="R90" s="5"/>
      <c r="S90" s="5"/>
      <c r="T90" s="5"/>
      <c r="U90" s="5"/>
      <c r="V90" s="5"/>
      <c r="W90" s="5"/>
      <c r="X90" s="5"/>
      <c r="Y90" s="5"/>
      <c r="Z90" s="215"/>
      <c r="AA90" s="5"/>
      <c r="AB90" s="5"/>
      <c r="AC90" s="5"/>
      <c r="AD90" s="5"/>
      <c r="AE90" s="5"/>
      <c r="AF90" s="5"/>
      <c r="AG90" s="150"/>
      <c r="AH90" s="103"/>
      <c r="AI90" s="103"/>
      <c r="AJ90" s="103"/>
      <c r="AK90" s="103"/>
      <c r="AL90" s="103"/>
      <c r="AM90" s="103"/>
      <c r="AN90" s="103"/>
      <c r="AO90" s="103"/>
      <c r="AP90" s="103"/>
      <c r="AQ90" s="103"/>
      <c r="AR90" s="103"/>
      <c r="AS90" s="103"/>
      <c r="AT90" s="103"/>
      <c r="AU90" s="103"/>
      <c r="AV90" s="103"/>
      <c r="AW90" s="103"/>
      <c r="AX90" s="103"/>
      <c r="AY90" s="103"/>
      <c r="AZ90" s="103"/>
      <c r="BA90" s="103"/>
      <c r="BB90" s="103"/>
      <c r="BC90" s="103"/>
      <c r="BD90" s="103"/>
      <c r="BE90" s="103"/>
      <c r="BF90" s="103"/>
      <c r="BG90" s="103"/>
      <c r="BH90" s="103"/>
      <c r="BI90" s="103"/>
      <c r="BJ90" s="103"/>
      <c r="BK90" s="103"/>
      <c r="BL90" s="103"/>
      <c r="BM90" s="103"/>
      <c r="BN90" s="103"/>
      <c r="BO90" s="103"/>
      <c r="BP90" s="103"/>
      <c r="BQ90" s="103"/>
      <c r="BR90" s="103"/>
      <c r="BS90" s="103"/>
      <c r="BT90" s="103"/>
      <c r="BU90" s="103"/>
      <c r="BV90" s="103"/>
      <c r="BW90" s="103"/>
      <c r="BX90" s="103"/>
      <c r="BY90" s="103"/>
      <c r="BZ90" s="103"/>
      <c r="CA90" s="103"/>
      <c r="CB90" s="103"/>
      <c r="CC90" s="103"/>
      <c r="CD90" s="103"/>
      <c r="CE90" s="6"/>
      <c r="CF90" s="6"/>
      <c r="CG90" s="103"/>
      <c r="CH90" s="103"/>
      <c r="CI90" s="103"/>
      <c r="CJ90" s="103"/>
    </row>
    <row r="91" spans="1:88" s="7" customFormat="1" x14ac:dyDescent="0.2">
      <c r="A91" s="5"/>
      <c r="B91" s="5"/>
      <c r="C91" s="5"/>
      <c r="D91" s="5"/>
      <c r="E91" s="5"/>
      <c r="F91" s="5"/>
      <c r="G91" s="5"/>
      <c r="H91" s="5"/>
      <c r="I91" s="5"/>
      <c r="J91" s="5"/>
      <c r="K91" s="5"/>
      <c r="L91" s="5"/>
      <c r="M91" s="50"/>
      <c r="N91" s="50"/>
      <c r="O91" s="50"/>
      <c r="P91" s="110"/>
      <c r="Q91" s="108"/>
      <c r="R91" s="5"/>
      <c r="S91" s="5"/>
      <c r="T91" s="5"/>
      <c r="U91" s="5"/>
      <c r="V91" s="5"/>
      <c r="W91" s="5"/>
      <c r="X91" s="5"/>
      <c r="Y91" s="5"/>
      <c r="Z91" s="215"/>
      <c r="AA91" s="5"/>
      <c r="AB91" s="5"/>
      <c r="AC91" s="5"/>
      <c r="AD91" s="5"/>
      <c r="AE91" s="5"/>
      <c r="AF91" s="5"/>
      <c r="AG91" s="150"/>
      <c r="AH91" s="103"/>
      <c r="AI91" s="103"/>
      <c r="AJ91" s="103"/>
      <c r="AK91" s="103"/>
      <c r="AL91" s="103"/>
      <c r="AM91" s="103"/>
      <c r="AN91" s="103"/>
      <c r="AO91" s="103"/>
      <c r="AP91" s="103"/>
      <c r="AQ91" s="103"/>
      <c r="AR91" s="103"/>
      <c r="AS91" s="103"/>
      <c r="AT91" s="103"/>
      <c r="AU91" s="103"/>
      <c r="AV91" s="103"/>
      <c r="AW91" s="103"/>
      <c r="AX91" s="103"/>
      <c r="AY91" s="103"/>
      <c r="AZ91" s="103"/>
      <c r="BA91" s="103"/>
      <c r="BB91" s="103"/>
      <c r="BC91" s="103"/>
      <c r="BD91" s="103"/>
      <c r="BE91" s="103"/>
      <c r="BF91" s="103"/>
      <c r="BG91" s="103"/>
      <c r="BH91" s="103"/>
      <c r="BI91" s="103"/>
      <c r="BJ91" s="103"/>
      <c r="BK91" s="103"/>
      <c r="BL91" s="103"/>
      <c r="BM91" s="103"/>
      <c r="BN91" s="103"/>
      <c r="BO91" s="103"/>
      <c r="BP91" s="103"/>
      <c r="BQ91" s="103"/>
      <c r="BR91" s="103"/>
      <c r="BS91" s="103"/>
      <c r="BT91" s="103"/>
      <c r="BU91" s="103"/>
      <c r="BV91" s="103"/>
      <c r="BW91" s="103"/>
      <c r="BX91" s="103"/>
      <c r="BY91" s="103"/>
      <c r="BZ91" s="103"/>
      <c r="CA91" s="103"/>
      <c r="CB91" s="103"/>
      <c r="CC91" s="103"/>
      <c r="CD91" s="103"/>
      <c r="CE91" s="6"/>
      <c r="CF91" s="6"/>
      <c r="CG91" s="103"/>
      <c r="CH91" s="103"/>
      <c r="CI91" s="103"/>
      <c r="CJ91" s="103"/>
    </row>
    <row r="92" spans="1:88" s="7" customFormat="1" x14ac:dyDescent="0.2">
      <c r="A92" s="5"/>
      <c r="B92" s="5"/>
      <c r="C92" s="5"/>
      <c r="D92" s="5"/>
      <c r="E92" s="5"/>
      <c r="F92" s="5"/>
      <c r="G92" s="5"/>
      <c r="H92" s="5"/>
      <c r="I92" s="5"/>
      <c r="J92" s="5"/>
      <c r="K92" s="5"/>
      <c r="L92" s="5"/>
      <c r="M92" s="50"/>
      <c r="N92" s="50"/>
      <c r="O92" s="50"/>
      <c r="P92" s="110"/>
      <c r="Q92" s="108"/>
      <c r="R92" s="5"/>
      <c r="S92" s="5"/>
      <c r="T92" s="5"/>
      <c r="U92" s="5"/>
      <c r="V92" s="5"/>
      <c r="W92" s="5"/>
      <c r="X92" s="5"/>
      <c r="Y92" s="5"/>
      <c r="Z92" s="215"/>
      <c r="AA92" s="5"/>
      <c r="AB92" s="5"/>
      <c r="AC92" s="5"/>
      <c r="AD92" s="5"/>
      <c r="AE92" s="5"/>
      <c r="AF92" s="5"/>
      <c r="AG92" s="150"/>
      <c r="AH92" s="103"/>
      <c r="AI92" s="103"/>
      <c r="AJ92" s="103"/>
      <c r="AK92" s="103"/>
      <c r="AL92" s="103"/>
      <c r="AM92" s="103"/>
      <c r="AN92" s="103"/>
      <c r="AO92" s="103"/>
      <c r="AP92" s="103"/>
      <c r="AQ92" s="103"/>
      <c r="AR92" s="103"/>
      <c r="AS92" s="103"/>
      <c r="AT92" s="103"/>
      <c r="AU92" s="103"/>
      <c r="AV92" s="103"/>
      <c r="AW92" s="103"/>
      <c r="AX92" s="103"/>
      <c r="AY92" s="103"/>
      <c r="AZ92" s="103"/>
      <c r="BA92" s="103"/>
      <c r="BB92" s="103"/>
      <c r="BC92" s="103"/>
      <c r="BD92" s="103"/>
      <c r="BE92" s="103"/>
      <c r="BF92" s="103"/>
      <c r="BG92" s="103"/>
      <c r="BH92" s="103"/>
      <c r="BI92" s="103"/>
      <c r="BJ92" s="103"/>
      <c r="BK92" s="103"/>
      <c r="BL92" s="103"/>
      <c r="BM92" s="103"/>
      <c r="BN92" s="103"/>
      <c r="BO92" s="103"/>
      <c r="BP92" s="103"/>
      <c r="BQ92" s="103"/>
      <c r="BR92" s="103"/>
      <c r="BS92" s="103"/>
      <c r="BT92" s="103"/>
      <c r="BU92" s="103"/>
      <c r="BV92" s="103"/>
      <c r="BW92" s="103"/>
      <c r="BX92" s="103"/>
      <c r="BY92" s="103"/>
      <c r="BZ92" s="103"/>
      <c r="CA92" s="103"/>
      <c r="CB92" s="103"/>
      <c r="CC92" s="103"/>
      <c r="CD92" s="103"/>
      <c r="CE92" s="6"/>
      <c r="CF92" s="6"/>
      <c r="CG92" s="103"/>
      <c r="CH92" s="103"/>
      <c r="CI92" s="103"/>
      <c r="CJ92" s="103"/>
    </row>
    <row r="93" spans="1:88" s="7" customFormat="1" x14ac:dyDescent="0.2">
      <c r="A93" s="5"/>
      <c r="B93" s="5"/>
      <c r="C93" s="5"/>
      <c r="D93" s="5"/>
      <c r="E93" s="5"/>
      <c r="F93" s="5"/>
      <c r="G93" s="5"/>
      <c r="H93" s="5"/>
      <c r="I93" s="5"/>
      <c r="J93" s="5"/>
      <c r="K93" s="5"/>
      <c r="L93" s="5"/>
      <c r="M93" s="50"/>
      <c r="N93" s="50"/>
      <c r="O93" s="50"/>
      <c r="P93" s="110"/>
      <c r="Q93" s="108"/>
      <c r="R93" s="5"/>
      <c r="S93" s="5"/>
      <c r="T93" s="5"/>
      <c r="U93" s="5"/>
      <c r="V93" s="5"/>
      <c r="W93" s="5"/>
      <c r="X93" s="5"/>
      <c r="Y93" s="5"/>
      <c r="Z93" s="215"/>
      <c r="AA93" s="5"/>
      <c r="AB93" s="5"/>
      <c r="AC93" s="5"/>
      <c r="AD93" s="5"/>
      <c r="AE93" s="5"/>
      <c r="AF93" s="5"/>
      <c r="AG93" s="150"/>
      <c r="AH93" s="103"/>
      <c r="AI93" s="103"/>
      <c r="AJ93" s="103"/>
      <c r="AK93" s="103"/>
      <c r="AL93" s="103"/>
      <c r="AM93" s="103"/>
      <c r="AN93" s="103"/>
      <c r="AO93" s="103"/>
      <c r="AP93" s="103"/>
      <c r="AQ93" s="103"/>
      <c r="AR93" s="103"/>
      <c r="AS93" s="103"/>
      <c r="AT93" s="103"/>
      <c r="AU93" s="103"/>
      <c r="AV93" s="103"/>
      <c r="AW93" s="103"/>
      <c r="AX93" s="103"/>
      <c r="AY93" s="103"/>
      <c r="AZ93" s="103"/>
      <c r="BA93" s="103"/>
      <c r="BB93" s="103"/>
      <c r="BC93" s="103"/>
      <c r="BD93" s="103"/>
      <c r="BE93" s="103"/>
      <c r="BF93" s="103"/>
      <c r="BG93" s="103"/>
      <c r="BH93" s="103"/>
      <c r="BI93" s="103"/>
      <c r="BJ93" s="103"/>
      <c r="BK93" s="103"/>
      <c r="BL93" s="103"/>
      <c r="BM93" s="103"/>
      <c r="BN93" s="103"/>
      <c r="BO93" s="103"/>
      <c r="BP93" s="103"/>
      <c r="BQ93" s="103"/>
      <c r="BR93" s="103"/>
      <c r="BS93" s="103"/>
      <c r="BT93" s="103"/>
      <c r="BU93" s="103"/>
      <c r="BV93" s="103"/>
      <c r="BW93" s="103"/>
      <c r="BX93" s="103"/>
      <c r="BY93" s="103"/>
      <c r="BZ93" s="103"/>
      <c r="CA93" s="103"/>
      <c r="CB93" s="103"/>
      <c r="CC93" s="103"/>
      <c r="CD93" s="103"/>
      <c r="CE93" s="6"/>
      <c r="CF93" s="6"/>
      <c r="CG93" s="103"/>
      <c r="CH93" s="103"/>
      <c r="CI93" s="103"/>
      <c r="CJ93" s="103"/>
    </row>
    <row r="94" spans="1:88" s="7" customFormat="1" x14ac:dyDescent="0.2">
      <c r="A94" s="5"/>
      <c r="B94" s="5"/>
      <c r="C94" s="5"/>
      <c r="D94" s="5"/>
      <c r="E94" s="5"/>
      <c r="F94" s="5"/>
      <c r="G94" s="5"/>
      <c r="H94" s="5"/>
      <c r="I94" s="5"/>
      <c r="J94" s="5"/>
      <c r="K94" s="5"/>
      <c r="L94" s="5"/>
      <c r="M94" s="50"/>
      <c r="N94" s="50"/>
      <c r="O94" s="50"/>
      <c r="P94" s="110"/>
      <c r="Q94" s="108"/>
      <c r="R94" s="5"/>
      <c r="S94" s="5"/>
      <c r="T94" s="5"/>
      <c r="U94" s="5"/>
      <c r="V94" s="5"/>
      <c r="W94" s="5"/>
      <c r="X94" s="5"/>
      <c r="Y94" s="5"/>
      <c r="Z94" s="215"/>
      <c r="AA94" s="5"/>
      <c r="AB94" s="5"/>
      <c r="AC94" s="5"/>
      <c r="AD94" s="5"/>
      <c r="AE94" s="5"/>
      <c r="AF94" s="5"/>
      <c r="AG94" s="150"/>
      <c r="AH94" s="103"/>
      <c r="AI94" s="103"/>
      <c r="AJ94" s="103"/>
      <c r="AK94" s="103"/>
      <c r="AL94" s="103"/>
      <c r="AM94" s="103"/>
      <c r="AN94" s="103"/>
      <c r="AO94" s="103"/>
      <c r="AP94" s="103"/>
      <c r="AQ94" s="103"/>
      <c r="AR94" s="103"/>
      <c r="AS94" s="103"/>
      <c r="AT94" s="103"/>
      <c r="AU94" s="103"/>
      <c r="AV94" s="103"/>
      <c r="AW94" s="103"/>
      <c r="AX94" s="103"/>
      <c r="AY94" s="103"/>
      <c r="AZ94" s="103"/>
      <c r="BA94" s="103"/>
      <c r="BB94" s="103"/>
      <c r="BC94" s="103"/>
      <c r="BD94" s="103"/>
      <c r="BE94" s="103"/>
      <c r="BF94" s="103"/>
      <c r="BG94" s="103"/>
      <c r="BH94" s="103"/>
      <c r="BI94" s="103"/>
      <c r="BJ94" s="103"/>
      <c r="BK94" s="103"/>
      <c r="BL94" s="103"/>
      <c r="BM94" s="103"/>
      <c r="BN94" s="103"/>
      <c r="BO94" s="103"/>
      <c r="BP94" s="103"/>
      <c r="BQ94" s="103"/>
      <c r="BR94" s="103"/>
      <c r="BS94" s="103"/>
      <c r="BT94" s="103"/>
      <c r="BU94" s="103"/>
      <c r="BV94" s="103"/>
      <c r="BW94" s="103"/>
      <c r="BX94" s="103"/>
      <c r="BY94" s="103"/>
      <c r="BZ94" s="103"/>
      <c r="CA94" s="103"/>
      <c r="CB94" s="103"/>
      <c r="CC94" s="103"/>
      <c r="CD94" s="103"/>
      <c r="CE94" s="6"/>
      <c r="CF94" s="6"/>
      <c r="CG94" s="103"/>
      <c r="CH94" s="103"/>
      <c r="CI94" s="103"/>
      <c r="CJ94" s="103"/>
    </row>
    <row r="95" spans="1:88" s="7" customFormat="1" x14ac:dyDescent="0.2">
      <c r="A95" s="5"/>
      <c r="B95" s="5"/>
      <c r="C95" s="5"/>
      <c r="D95" s="5"/>
      <c r="E95" s="5"/>
      <c r="F95" s="5"/>
      <c r="G95" s="5"/>
      <c r="H95" s="5"/>
      <c r="I95" s="5"/>
      <c r="J95" s="5"/>
      <c r="K95" s="5"/>
      <c r="L95" s="5"/>
      <c r="M95" s="50"/>
      <c r="N95" s="50"/>
      <c r="O95" s="50"/>
      <c r="P95" s="110"/>
      <c r="Q95" s="108"/>
      <c r="R95" s="5"/>
      <c r="S95" s="5"/>
      <c r="T95" s="5"/>
      <c r="U95" s="5"/>
      <c r="V95" s="5"/>
      <c r="W95" s="5"/>
      <c r="X95" s="5"/>
      <c r="Y95" s="5"/>
      <c r="Z95" s="215"/>
      <c r="AA95" s="5"/>
      <c r="AB95" s="5"/>
      <c r="AC95" s="5"/>
      <c r="AD95" s="5"/>
      <c r="AE95" s="5"/>
      <c r="AF95" s="5"/>
      <c r="AG95" s="150"/>
      <c r="AH95" s="103"/>
      <c r="AI95" s="103"/>
      <c r="AJ95" s="103"/>
      <c r="AK95" s="103"/>
      <c r="AL95" s="103"/>
      <c r="AM95" s="103"/>
      <c r="AN95" s="103"/>
      <c r="AO95" s="103"/>
      <c r="AP95" s="103"/>
      <c r="AQ95" s="103"/>
      <c r="AR95" s="103"/>
      <c r="AS95" s="103"/>
      <c r="AT95" s="103"/>
      <c r="AU95" s="103"/>
      <c r="AV95" s="103"/>
      <c r="AW95" s="103"/>
      <c r="AX95" s="103"/>
      <c r="AY95" s="103"/>
      <c r="AZ95" s="103"/>
      <c r="BA95" s="103"/>
      <c r="BB95" s="103"/>
      <c r="BC95" s="103"/>
      <c r="BD95" s="103"/>
      <c r="BE95" s="103"/>
      <c r="BF95" s="103"/>
      <c r="BG95" s="103"/>
      <c r="BH95" s="103"/>
      <c r="BI95" s="103"/>
      <c r="BJ95" s="103"/>
      <c r="BK95" s="103"/>
      <c r="BL95" s="103"/>
      <c r="BM95" s="103"/>
      <c r="BN95" s="103"/>
      <c r="BO95" s="103"/>
      <c r="BP95" s="103"/>
      <c r="BQ95" s="103"/>
      <c r="BR95" s="103"/>
      <c r="BS95" s="103"/>
      <c r="BT95" s="103"/>
      <c r="BU95" s="103"/>
      <c r="BV95" s="103"/>
      <c r="BW95" s="103"/>
      <c r="BX95" s="103"/>
      <c r="BY95" s="103"/>
      <c r="BZ95" s="103"/>
      <c r="CA95" s="103"/>
      <c r="CB95" s="103"/>
      <c r="CC95" s="103"/>
      <c r="CD95" s="103"/>
      <c r="CE95" s="6"/>
      <c r="CF95" s="6"/>
      <c r="CG95" s="103"/>
      <c r="CH95" s="103"/>
      <c r="CI95" s="103"/>
      <c r="CJ95" s="103"/>
    </row>
    <row r="96" spans="1:88" s="7" customFormat="1" x14ac:dyDescent="0.2">
      <c r="A96" s="5"/>
      <c r="B96" s="5"/>
      <c r="C96" s="5"/>
      <c r="D96" s="5"/>
      <c r="E96" s="5"/>
      <c r="F96" s="5"/>
      <c r="G96" s="5"/>
      <c r="H96" s="5"/>
      <c r="I96" s="5"/>
      <c r="J96" s="5"/>
      <c r="K96" s="5"/>
      <c r="L96" s="5"/>
      <c r="M96" s="50"/>
      <c r="N96" s="50"/>
      <c r="O96" s="50"/>
      <c r="P96" s="110"/>
      <c r="Q96" s="108"/>
      <c r="R96" s="5"/>
      <c r="S96" s="5"/>
      <c r="T96" s="5"/>
      <c r="U96" s="5"/>
      <c r="V96" s="5"/>
      <c r="W96" s="5"/>
      <c r="X96" s="5"/>
      <c r="Y96" s="5"/>
      <c r="Z96" s="215"/>
      <c r="AA96" s="5"/>
      <c r="AB96" s="5"/>
      <c r="AC96" s="5"/>
      <c r="AD96" s="5"/>
      <c r="AE96" s="5"/>
      <c r="AF96" s="5"/>
    </row>
    <row r="97" spans="1:32" s="7" customFormat="1" x14ac:dyDescent="0.2">
      <c r="A97" s="5"/>
      <c r="B97" s="5"/>
      <c r="C97" s="5"/>
      <c r="D97" s="5"/>
      <c r="E97" s="5"/>
      <c r="F97" s="5"/>
      <c r="G97" s="5"/>
      <c r="H97" s="5"/>
      <c r="I97" s="5"/>
      <c r="J97" s="5"/>
      <c r="K97" s="5"/>
      <c r="L97" s="5"/>
      <c r="M97" s="50"/>
      <c r="N97" s="50"/>
      <c r="O97" s="50"/>
      <c r="P97" s="110"/>
      <c r="Q97" s="108"/>
      <c r="R97" s="5"/>
      <c r="S97" s="5"/>
      <c r="T97" s="5"/>
      <c r="U97" s="5"/>
      <c r="V97" s="5"/>
      <c r="W97" s="5"/>
      <c r="X97" s="5"/>
      <c r="Y97" s="5"/>
      <c r="Z97" s="215"/>
      <c r="AA97" s="5"/>
      <c r="AB97" s="5"/>
      <c r="AC97" s="5"/>
      <c r="AD97" s="5"/>
      <c r="AE97" s="5"/>
      <c r="AF97" s="5"/>
    </row>
    <row r="98" spans="1:32" s="7" customFormat="1" x14ac:dyDescent="0.2">
      <c r="A98" s="5"/>
      <c r="B98" s="5"/>
      <c r="C98" s="5"/>
      <c r="D98" s="5"/>
      <c r="E98" s="5"/>
      <c r="F98" s="5"/>
      <c r="G98" s="5"/>
      <c r="H98" s="5"/>
      <c r="I98" s="5"/>
      <c r="J98" s="5"/>
      <c r="K98" s="5"/>
      <c r="L98" s="5"/>
      <c r="M98" s="50"/>
      <c r="N98" s="50"/>
      <c r="O98" s="50"/>
      <c r="P98" s="110"/>
      <c r="Q98" s="108"/>
      <c r="R98" s="5"/>
      <c r="S98" s="5"/>
      <c r="T98" s="5"/>
      <c r="U98" s="5"/>
      <c r="V98" s="5"/>
      <c r="W98" s="5"/>
      <c r="X98" s="5"/>
      <c r="Y98" s="5"/>
      <c r="Z98" s="215"/>
      <c r="AA98" s="5"/>
      <c r="AB98" s="5"/>
      <c r="AC98" s="5"/>
      <c r="AD98" s="5"/>
      <c r="AE98" s="5"/>
      <c r="AF98" s="5"/>
    </row>
    <row r="99" spans="1:32" s="7" customFormat="1" x14ac:dyDescent="0.2">
      <c r="A99" s="5"/>
      <c r="B99" s="5"/>
      <c r="C99" s="5"/>
      <c r="D99" s="5"/>
      <c r="E99" s="5"/>
      <c r="F99" s="5"/>
      <c r="G99" s="5"/>
      <c r="H99" s="5"/>
      <c r="I99" s="5"/>
      <c r="J99" s="5"/>
      <c r="K99" s="5"/>
      <c r="L99" s="5"/>
      <c r="M99" s="50"/>
      <c r="N99" s="50"/>
      <c r="O99" s="50"/>
      <c r="P99" s="110"/>
      <c r="Q99" s="108"/>
      <c r="R99" s="5"/>
      <c r="S99" s="5"/>
      <c r="T99" s="5"/>
      <c r="U99" s="5"/>
      <c r="V99" s="5"/>
      <c r="W99" s="5"/>
      <c r="X99" s="5"/>
      <c r="Y99" s="5"/>
      <c r="Z99" s="215"/>
      <c r="AA99" s="5"/>
      <c r="AB99" s="5"/>
      <c r="AC99" s="5"/>
      <c r="AD99" s="5"/>
      <c r="AE99" s="5"/>
      <c r="AF99" s="5"/>
    </row>
    <row r="100" spans="1:32" s="7" customFormat="1" x14ac:dyDescent="0.2">
      <c r="A100" s="105"/>
      <c r="B100" s="105"/>
      <c r="C100" s="105"/>
      <c r="D100" s="105"/>
      <c r="E100" s="105"/>
      <c r="F100" s="105"/>
      <c r="G100" s="105"/>
      <c r="H100" s="105"/>
      <c r="I100" s="105"/>
      <c r="J100" s="105"/>
      <c r="K100" s="105"/>
      <c r="L100" s="105"/>
      <c r="M100" s="106"/>
      <c r="N100" s="106"/>
      <c r="O100" s="106"/>
      <c r="P100" s="111"/>
      <c r="Q100" s="108"/>
      <c r="R100" s="5"/>
      <c r="S100" s="5"/>
      <c r="T100" s="5"/>
      <c r="U100" s="5"/>
      <c r="V100" s="5"/>
      <c r="W100" s="5"/>
      <c r="X100" s="5"/>
      <c r="Y100" s="5"/>
      <c r="Z100" s="216"/>
      <c r="AA100" s="105"/>
      <c r="AB100" s="105"/>
      <c r="AC100" s="105"/>
      <c r="AD100" s="105"/>
      <c r="AE100" s="105"/>
      <c r="AF100" s="105"/>
    </row>
    <row r="101" spans="1:32" s="7" customFormat="1" x14ac:dyDescent="0.2">
      <c r="A101" s="105"/>
      <c r="B101" s="105"/>
      <c r="C101" s="105"/>
      <c r="D101" s="105"/>
      <c r="E101" s="105"/>
      <c r="F101" s="105"/>
      <c r="G101" s="105"/>
      <c r="H101" s="105"/>
      <c r="I101" s="105"/>
      <c r="J101" s="105"/>
      <c r="K101" s="105"/>
      <c r="L101" s="105"/>
      <c r="M101" s="106"/>
      <c r="N101" s="106"/>
      <c r="O101" s="106"/>
      <c r="P101" s="111"/>
      <c r="Q101" s="108"/>
      <c r="R101" s="5"/>
      <c r="S101" s="5"/>
      <c r="T101" s="5"/>
      <c r="U101" s="5"/>
      <c r="V101" s="5"/>
      <c r="W101" s="5"/>
      <c r="X101" s="5"/>
      <c r="Y101" s="5"/>
      <c r="Z101" s="216"/>
      <c r="AA101" s="105"/>
      <c r="AB101" s="105"/>
      <c r="AC101" s="105"/>
      <c r="AD101" s="105"/>
      <c r="AE101" s="105"/>
      <c r="AF101" s="105"/>
    </row>
    <row r="102" spans="1:32" s="7" customFormat="1" x14ac:dyDescent="0.2">
      <c r="A102" s="105"/>
      <c r="B102" s="105"/>
      <c r="C102" s="105"/>
      <c r="D102" s="105"/>
      <c r="E102" s="105"/>
      <c r="F102" s="105"/>
      <c r="G102" s="105"/>
      <c r="H102" s="105"/>
      <c r="I102" s="105"/>
      <c r="J102" s="105"/>
      <c r="K102" s="105"/>
      <c r="L102" s="105"/>
      <c r="M102" s="106"/>
      <c r="N102" s="106"/>
      <c r="O102" s="106"/>
      <c r="P102" s="111"/>
      <c r="Q102" s="108"/>
      <c r="R102" s="5"/>
      <c r="S102" s="5"/>
      <c r="T102" s="5"/>
      <c r="U102" s="5"/>
      <c r="V102" s="5"/>
      <c r="W102" s="5"/>
      <c r="X102" s="5"/>
      <c r="Y102" s="5"/>
      <c r="Z102" s="216"/>
      <c r="AA102" s="105"/>
      <c r="AB102" s="105"/>
      <c r="AC102" s="105"/>
      <c r="AD102" s="105"/>
      <c r="AE102" s="105"/>
      <c r="AF102" s="105"/>
    </row>
    <row r="103" spans="1:32" s="7" customFormat="1" x14ac:dyDescent="0.2">
      <c r="A103" s="105"/>
      <c r="B103" s="105"/>
      <c r="C103" s="105"/>
      <c r="D103" s="105"/>
      <c r="E103" s="105"/>
      <c r="F103" s="105"/>
      <c r="G103" s="105"/>
      <c r="H103" s="105"/>
      <c r="I103" s="105"/>
      <c r="J103" s="105"/>
      <c r="K103" s="105"/>
      <c r="L103" s="105"/>
      <c r="M103" s="106"/>
      <c r="N103" s="106"/>
      <c r="O103" s="106"/>
      <c r="P103" s="111"/>
      <c r="Q103" s="108"/>
      <c r="R103" s="5"/>
      <c r="S103" s="5"/>
      <c r="T103" s="5"/>
      <c r="U103" s="5"/>
      <c r="V103" s="5"/>
      <c r="W103" s="5"/>
      <c r="X103" s="5"/>
      <c r="Y103" s="5"/>
      <c r="Z103" s="216"/>
      <c r="AA103" s="105"/>
      <c r="AB103" s="105"/>
      <c r="AC103" s="105"/>
      <c r="AD103" s="105"/>
      <c r="AE103" s="105"/>
      <c r="AF103" s="105"/>
    </row>
    <row r="104" spans="1:32" s="7" customFormat="1" x14ac:dyDescent="0.2">
      <c r="A104" s="105"/>
      <c r="B104" s="105"/>
      <c r="C104" s="105"/>
      <c r="D104" s="105"/>
      <c r="E104" s="105"/>
      <c r="F104" s="105"/>
      <c r="G104" s="105"/>
      <c r="H104" s="105"/>
      <c r="I104" s="105"/>
      <c r="J104" s="105"/>
      <c r="K104" s="105"/>
      <c r="L104" s="105"/>
      <c r="M104" s="106"/>
      <c r="N104" s="106"/>
      <c r="O104" s="106"/>
      <c r="P104" s="111"/>
      <c r="Q104" s="108"/>
      <c r="R104" s="5"/>
      <c r="S104" s="5"/>
      <c r="T104" s="5"/>
      <c r="U104" s="5"/>
      <c r="V104" s="5"/>
      <c r="W104" s="5"/>
      <c r="X104" s="5"/>
      <c r="Y104" s="5"/>
      <c r="Z104" s="216"/>
      <c r="AA104" s="105"/>
      <c r="AB104" s="105"/>
      <c r="AC104" s="105"/>
      <c r="AD104" s="105"/>
      <c r="AE104" s="105"/>
      <c r="AF104" s="105"/>
    </row>
    <row r="105" spans="1:32" s="7" customFormat="1" x14ac:dyDescent="0.2">
      <c r="A105" s="105"/>
      <c r="B105" s="105"/>
      <c r="C105" s="105"/>
      <c r="D105" s="105"/>
      <c r="E105" s="105"/>
      <c r="F105" s="105"/>
      <c r="G105" s="105"/>
      <c r="H105" s="105"/>
      <c r="I105" s="105"/>
      <c r="J105" s="105"/>
      <c r="K105" s="105"/>
      <c r="L105" s="105"/>
      <c r="M105" s="106"/>
      <c r="N105" s="106"/>
      <c r="O105" s="106"/>
      <c r="P105" s="111"/>
      <c r="Q105" s="108"/>
      <c r="R105" s="5"/>
      <c r="S105" s="5"/>
      <c r="T105" s="5"/>
      <c r="U105" s="5"/>
      <c r="V105" s="5"/>
      <c r="W105" s="5"/>
      <c r="X105" s="5"/>
      <c r="Y105" s="5"/>
      <c r="Z105" s="216"/>
      <c r="AA105" s="105"/>
      <c r="AB105" s="105"/>
      <c r="AC105" s="105"/>
      <c r="AD105" s="105"/>
      <c r="AE105" s="105"/>
      <c r="AF105" s="105"/>
    </row>
    <row r="106" spans="1:32" s="7" customFormat="1" x14ac:dyDescent="0.2">
      <c r="A106" s="105"/>
      <c r="B106" s="105"/>
      <c r="C106" s="105"/>
      <c r="D106" s="105"/>
      <c r="E106" s="105"/>
      <c r="F106" s="105"/>
      <c r="G106" s="105"/>
      <c r="H106" s="105"/>
      <c r="I106" s="105"/>
      <c r="J106" s="105"/>
      <c r="K106" s="105"/>
      <c r="L106" s="105"/>
      <c r="M106" s="106"/>
      <c r="N106" s="106"/>
      <c r="O106" s="106"/>
      <c r="P106" s="111"/>
      <c r="Q106" s="108"/>
      <c r="R106" s="5"/>
      <c r="S106" s="5"/>
      <c r="T106" s="5"/>
      <c r="U106" s="5"/>
      <c r="V106" s="5"/>
      <c r="W106" s="5"/>
      <c r="X106" s="5"/>
      <c r="Y106" s="5"/>
      <c r="Z106" s="216"/>
      <c r="AA106" s="105"/>
      <c r="AB106" s="105"/>
      <c r="AC106" s="105"/>
      <c r="AD106" s="105"/>
      <c r="AE106" s="105"/>
      <c r="AF106" s="105"/>
    </row>
    <row r="107" spans="1:32" s="7" customFormat="1" x14ac:dyDescent="0.2">
      <c r="A107" s="105"/>
      <c r="B107" s="105"/>
      <c r="C107" s="105"/>
      <c r="D107" s="105"/>
      <c r="E107" s="105"/>
      <c r="F107" s="105"/>
      <c r="G107" s="105"/>
      <c r="H107" s="105"/>
      <c r="I107" s="105"/>
      <c r="J107" s="105"/>
      <c r="K107" s="105"/>
      <c r="L107" s="105"/>
      <c r="M107" s="106"/>
      <c r="N107" s="106"/>
      <c r="O107" s="106"/>
      <c r="P107" s="111"/>
      <c r="Q107" s="108"/>
      <c r="R107" s="5"/>
      <c r="S107" s="5"/>
      <c r="T107" s="5"/>
      <c r="U107" s="5"/>
      <c r="V107" s="5"/>
      <c r="W107" s="5"/>
      <c r="X107" s="5"/>
      <c r="Y107" s="5"/>
      <c r="Z107" s="216"/>
      <c r="AA107" s="105"/>
      <c r="AB107" s="105"/>
      <c r="AC107" s="105"/>
      <c r="AD107" s="105"/>
      <c r="AE107" s="105"/>
      <c r="AF107" s="105"/>
    </row>
    <row r="108" spans="1:32" s="7" customFormat="1" x14ac:dyDescent="0.2">
      <c r="A108" s="105"/>
      <c r="B108" s="105"/>
      <c r="C108" s="105"/>
      <c r="D108" s="105"/>
      <c r="E108" s="105"/>
      <c r="F108" s="105"/>
      <c r="G108" s="105"/>
      <c r="H108" s="105"/>
      <c r="I108" s="105"/>
      <c r="J108" s="105"/>
      <c r="K108" s="105"/>
      <c r="L108" s="105"/>
      <c r="M108" s="106"/>
      <c r="N108" s="106"/>
      <c r="O108" s="106"/>
      <c r="P108" s="111"/>
      <c r="Q108" s="108"/>
      <c r="R108" s="5"/>
      <c r="S108" s="5"/>
      <c r="T108" s="5"/>
      <c r="U108" s="5"/>
      <c r="V108" s="5"/>
      <c r="W108" s="5"/>
      <c r="X108" s="5"/>
      <c r="Y108" s="5"/>
      <c r="Z108" s="216"/>
      <c r="AA108" s="105"/>
      <c r="AB108" s="105"/>
      <c r="AC108" s="105"/>
      <c r="AD108" s="105"/>
      <c r="AE108" s="105"/>
      <c r="AF108" s="105"/>
    </row>
    <row r="109" spans="1:32" s="7" customFormat="1" x14ac:dyDescent="0.2">
      <c r="A109" s="105"/>
      <c r="B109" s="105"/>
      <c r="C109" s="105"/>
      <c r="D109" s="105"/>
      <c r="E109" s="105"/>
      <c r="F109" s="105"/>
      <c r="G109" s="105"/>
      <c r="H109" s="105"/>
      <c r="I109" s="105"/>
      <c r="J109" s="105"/>
      <c r="K109" s="105"/>
      <c r="L109" s="105"/>
      <c r="M109" s="106"/>
      <c r="N109" s="106"/>
      <c r="O109" s="106"/>
      <c r="P109" s="111"/>
      <c r="Q109" s="108"/>
      <c r="R109" s="5"/>
      <c r="S109" s="5"/>
      <c r="T109" s="5"/>
      <c r="U109" s="5"/>
      <c r="V109" s="5"/>
      <c r="W109" s="5"/>
      <c r="X109" s="5"/>
      <c r="Y109" s="5"/>
      <c r="Z109" s="216"/>
      <c r="AA109" s="105"/>
      <c r="AB109" s="105"/>
      <c r="AC109" s="105"/>
      <c r="AD109" s="105"/>
      <c r="AE109" s="105"/>
      <c r="AF109" s="105"/>
    </row>
    <row r="110" spans="1:32" s="7" customFormat="1" x14ac:dyDescent="0.2">
      <c r="A110" s="105"/>
      <c r="B110" s="105"/>
      <c r="C110" s="105"/>
      <c r="D110" s="105"/>
      <c r="E110" s="105"/>
      <c r="F110" s="105"/>
      <c r="G110" s="105"/>
      <c r="H110" s="105"/>
      <c r="I110" s="105"/>
      <c r="J110" s="105"/>
      <c r="K110" s="105"/>
      <c r="L110" s="105"/>
      <c r="M110" s="106"/>
      <c r="N110" s="106"/>
      <c r="O110" s="106"/>
      <c r="P110" s="111"/>
      <c r="Q110" s="108"/>
      <c r="R110" s="5"/>
      <c r="S110" s="5"/>
      <c r="T110" s="5"/>
      <c r="U110" s="5"/>
      <c r="V110" s="5"/>
      <c r="W110" s="5"/>
      <c r="X110" s="5"/>
      <c r="Y110" s="5"/>
      <c r="Z110" s="216"/>
      <c r="AA110" s="105"/>
      <c r="AB110" s="105"/>
      <c r="AC110" s="105"/>
      <c r="AD110" s="105"/>
      <c r="AE110" s="105"/>
      <c r="AF110" s="105"/>
    </row>
    <row r="111" spans="1:32" s="7" customFormat="1" x14ac:dyDescent="0.2">
      <c r="A111" s="105"/>
      <c r="B111" s="105"/>
      <c r="C111" s="105"/>
      <c r="D111" s="105"/>
      <c r="E111" s="105"/>
      <c r="F111" s="105"/>
      <c r="G111" s="105"/>
      <c r="H111" s="105"/>
      <c r="I111" s="105"/>
      <c r="J111" s="105"/>
      <c r="K111" s="105"/>
      <c r="L111" s="105"/>
      <c r="M111" s="106"/>
      <c r="N111" s="106"/>
      <c r="O111" s="106"/>
      <c r="P111" s="111"/>
      <c r="Q111" s="108"/>
      <c r="R111" s="5"/>
      <c r="S111" s="5"/>
      <c r="T111" s="5"/>
      <c r="U111" s="5"/>
      <c r="V111" s="5"/>
      <c r="W111" s="5"/>
      <c r="X111" s="5"/>
      <c r="Y111" s="5"/>
      <c r="Z111" s="216"/>
      <c r="AA111" s="105"/>
      <c r="AB111" s="105"/>
      <c r="AC111" s="105"/>
      <c r="AD111" s="105"/>
      <c r="AE111" s="105"/>
      <c r="AF111" s="105"/>
    </row>
    <row r="112" spans="1:32" s="7" customFormat="1" x14ac:dyDescent="0.2">
      <c r="A112" s="105"/>
      <c r="B112" s="105"/>
      <c r="C112" s="105"/>
      <c r="D112" s="105"/>
      <c r="E112" s="105"/>
      <c r="F112" s="105"/>
      <c r="G112" s="105"/>
      <c r="H112" s="105"/>
      <c r="I112" s="105"/>
      <c r="J112" s="105"/>
      <c r="K112" s="105"/>
      <c r="L112" s="105"/>
      <c r="M112" s="106"/>
      <c r="N112" s="106"/>
      <c r="O112" s="106"/>
      <c r="P112" s="111"/>
      <c r="Q112" s="108"/>
      <c r="R112" s="5"/>
      <c r="S112" s="5"/>
      <c r="T112" s="5"/>
      <c r="U112" s="5"/>
      <c r="V112" s="5"/>
      <c r="W112" s="5"/>
      <c r="X112" s="5"/>
      <c r="Y112" s="5"/>
      <c r="Z112" s="216"/>
      <c r="AA112" s="105"/>
      <c r="AB112" s="105"/>
      <c r="AC112" s="105"/>
      <c r="AD112" s="105"/>
      <c r="AE112" s="105"/>
      <c r="AF112" s="105"/>
    </row>
    <row r="113" spans="1:32" s="7" customFormat="1" x14ac:dyDescent="0.2">
      <c r="A113" s="105"/>
      <c r="B113" s="105"/>
      <c r="C113" s="105"/>
      <c r="D113" s="105"/>
      <c r="E113" s="105"/>
      <c r="F113" s="105"/>
      <c r="G113" s="105"/>
      <c r="H113" s="105"/>
      <c r="I113" s="105"/>
      <c r="J113" s="105"/>
      <c r="K113" s="105"/>
      <c r="L113" s="105"/>
      <c r="M113" s="106"/>
      <c r="N113" s="106"/>
      <c r="O113" s="106"/>
      <c r="P113" s="111"/>
      <c r="Q113" s="108"/>
      <c r="R113" s="5"/>
      <c r="S113" s="5"/>
      <c r="T113" s="5"/>
      <c r="U113" s="5"/>
      <c r="V113" s="5"/>
      <c r="W113" s="5"/>
      <c r="X113" s="5"/>
      <c r="Y113" s="5"/>
      <c r="Z113" s="216"/>
      <c r="AA113" s="105"/>
      <c r="AB113" s="105"/>
      <c r="AC113" s="105"/>
      <c r="AD113" s="105"/>
      <c r="AE113" s="105"/>
      <c r="AF113" s="105"/>
    </row>
    <row r="114" spans="1:32" s="7" customFormat="1" x14ac:dyDescent="0.2">
      <c r="A114" s="105"/>
      <c r="B114" s="105"/>
      <c r="C114" s="105"/>
      <c r="D114" s="105"/>
      <c r="E114" s="105"/>
      <c r="F114" s="105"/>
      <c r="G114" s="105"/>
      <c r="H114" s="105"/>
      <c r="I114" s="105"/>
      <c r="J114" s="105"/>
      <c r="K114" s="105"/>
      <c r="L114" s="105"/>
      <c r="M114" s="106"/>
      <c r="N114" s="106"/>
      <c r="O114" s="106"/>
      <c r="P114" s="111"/>
      <c r="Q114" s="108"/>
      <c r="R114" s="5"/>
      <c r="S114" s="5"/>
      <c r="T114" s="5"/>
      <c r="U114" s="5"/>
      <c r="V114" s="5"/>
      <c r="W114" s="5"/>
      <c r="X114" s="5"/>
      <c r="Y114" s="5"/>
      <c r="Z114" s="216"/>
      <c r="AA114" s="105"/>
      <c r="AB114" s="105"/>
      <c r="AC114" s="105"/>
      <c r="AD114" s="105"/>
      <c r="AE114" s="105"/>
      <c r="AF114" s="105"/>
    </row>
    <row r="115" spans="1:32" s="7" customFormat="1" x14ac:dyDescent="0.2">
      <c r="A115" s="105"/>
      <c r="B115" s="105"/>
      <c r="C115" s="105"/>
      <c r="D115" s="105"/>
      <c r="E115" s="105"/>
      <c r="F115" s="105"/>
      <c r="G115" s="105"/>
      <c r="H115" s="105"/>
      <c r="I115" s="105"/>
      <c r="J115" s="105"/>
      <c r="K115" s="105"/>
      <c r="L115" s="105"/>
      <c r="M115" s="106"/>
      <c r="N115" s="106"/>
      <c r="O115" s="106"/>
      <c r="P115" s="111"/>
      <c r="Q115" s="108"/>
      <c r="R115" s="5"/>
      <c r="S115" s="5"/>
      <c r="T115" s="5"/>
      <c r="U115" s="5"/>
      <c r="V115" s="5"/>
      <c r="W115" s="5"/>
      <c r="X115" s="5"/>
      <c r="Y115" s="5"/>
      <c r="Z115" s="216"/>
      <c r="AA115" s="105"/>
      <c r="AB115" s="105"/>
      <c r="AC115" s="105"/>
      <c r="AD115" s="105"/>
      <c r="AE115" s="105"/>
      <c r="AF115" s="105"/>
    </row>
    <row r="116" spans="1:32" s="7" customFormat="1" x14ac:dyDescent="0.2">
      <c r="A116" s="105"/>
      <c r="B116" s="105"/>
      <c r="C116" s="105"/>
      <c r="D116" s="105"/>
      <c r="E116" s="105"/>
      <c r="F116" s="105"/>
      <c r="G116" s="105"/>
      <c r="H116" s="105"/>
      <c r="I116" s="105"/>
      <c r="J116" s="105"/>
      <c r="K116" s="105"/>
      <c r="L116" s="105"/>
      <c r="M116" s="106"/>
      <c r="N116" s="106"/>
      <c r="O116" s="106"/>
      <c r="P116" s="111"/>
      <c r="Q116" s="108"/>
      <c r="R116" s="5"/>
      <c r="S116" s="5"/>
      <c r="T116" s="5"/>
      <c r="U116" s="5"/>
      <c r="V116" s="5"/>
      <c r="W116" s="5"/>
      <c r="X116" s="5"/>
      <c r="Y116" s="5"/>
      <c r="Z116" s="216"/>
      <c r="AA116" s="105"/>
      <c r="AB116" s="105"/>
      <c r="AC116" s="105"/>
      <c r="AD116" s="105"/>
      <c r="AE116" s="105"/>
      <c r="AF116" s="105"/>
    </row>
    <row r="117" spans="1:32" s="7" customFormat="1" x14ac:dyDescent="0.2">
      <c r="A117" s="105"/>
      <c r="B117" s="105"/>
      <c r="C117" s="105"/>
      <c r="D117" s="105"/>
      <c r="E117" s="105"/>
      <c r="F117" s="105"/>
      <c r="G117" s="105"/>
      <c r="H117" s="105"/>
      <c r="I117" s="105"/>
      <c r="J117" s="105"/>
      <c r="K117" s="105"/>
      <c r="L117" s="105"/>
      <c r="M117" s="106"/>
      <c r="N117" s="106"/>
      <c r="O117" s="106"/>
      <c r="P117" s="111"/>
      <c r="Q117" s="108"/>
      <c r="R117" s="5"/>
      <c r="S117" s="5"/>
      <c r="T117" s="5"/>
      <c r="U117" s="5"/>
      <c r="V117" s="5"/>
      <c r="W117" s="5"/>
      <c r="X117" s="5"/>
      <c r="Y117" s="5"/>
      <c r="Z117" s="216"/>
      <c r="AA117" s="105"/>
      <c r="AB117" s="105"/>
      <c r="AC117" s="105"/>
      <c r="AD117" s="105"/>
      <c r="AE117" s="105"/>
      <c r="AF117" s="105"/>
    </row>
    <row r="118" spans="1:32" s="7" customFormat="1" x14ac:dyDescent="0.2">
      <c r="A118" s="105"/>
      <c r="B118" s="105"/>
      <c r="C118" s="105"/>
      <c r="D118" s="105"/>
      <c r="E118" s="105"/>
      <c r="F118" s="105"/>
      <c r="G118" s="105"/>
      <c r="H118" s="105"/>
      <c r="I118" s="105"/>
      <c r="J118" s="105"/>
      <c r="K118" s="105"/>
      <c r="L118" s="105"/>
      <c r="M118" s="106"/>
      <c r="N118" s="106"/>
      <c r="O118" s="106"/>
      <c r="P118" s="111"/>
      <c r="Q118" s="108"/>
      <c r="R118" s="5"/>
      <c r="S118" s="5"/>
      <c r="T118" s="5"/>
      <c r="U118" s="5"/>
      <c r="V118" s="5"/>
      <c r="W118" s="5"/>
      <c r="X118" s="5"/>
      <c r="Y118" s="5"/>
      <c r="Z118" s="216"/>
      <c r="AA118" s="105"/>
      <c r="AB118" s="105"/>
      <c r="AC118" s="105"/>
      <c r="AD118" s="105"/>
      <c r="AE118" s="105"/>
      <c r="AF118" s="105"/>
    </row>
    <row r="119" spans="1:32" s="7" customFormat="1" x14ac:dyDescent="0.2">
      <c r="A119" s="105"/>
      <c r="B119" s="105"/>
      <c r="C119" s="105"/>
      <c r="D119" s="105"/>
      <c r="E119" s="105"/>
      <c r="F119" s="105"/>
      <c r="G119" s="105"/>
      <c r="H119" s="105"/>
      <c r="I119" s="105"/>
      <c r="J119" s="105"/>
      <c r="K119" s="105"/>
      <c r="L119" s="105"/>
      <c r="M119" s="106"/>
      <c r="N119" s="106"/>
      <c r="O119" s="106"/>
      <c r="P119" s="111"/>
      <c r="Q119" s="108"/>
      <c r="R119" s="5"/>
      <c r="S119" s="5"/>
      <c r="T119" s="5"/>
      <c r="U119" s="5"/>
      <c r="V119" s="5"/>
      <c r="W119" s="5"/>
      <c r="X119" s="5"/>
      <c r="Y119" s="5"/>
      <c r="Z119" s="216"/>
      <c r="AA119" s="105"/>
      <c r="AB119" s="105"/>
      <c r="AC119" s="105"/>
      <c r="AD119" s="105"/>
      <c r="AE119" s="105"/>
      <c r="AF119" s="105"/>
    </row>
    <row r="120" spans="1:32" s="7" customFormat="1" x14ac:dyDescent="0.2">
      <c r="A120" s="105"/>
      <c r="B120" s="105"/>
      <c r="C120" s="105"/>
      <c r="D120" s="105"/>
      <c r="E120" s="105"/>
      <c r="F120" s="105"/>
      <c r="G120" s="105"/>
      <c r="H120" s="105"/>
      <c r="I120" s="105"/>
      <c r="J120" s="105"/>
      <c r="K120" s="105"/>
      <c r="L120" s="105"/>
      <c r="M120" s="106"/>
      <c r="N120" s="106"/>
      <c r="O120" s="106"/>
      <c r="P120" s="111"/>
      <c r="Q120" s="108"/>
      <c r="R120" s="5"/>
      <c r="S120" s="5"/>
      <c r="T120" s="5"/>
      <c r="U120" s="5"/>
      <c r="V120" s="5"/>
      <c r="W120" s="5"/>
      <c r="X120" s="5"/>
      <c r="Y120" s="5"/>
      <c r="Z120" s="216"/>
      <c r="AA120" s="105"/>
      <c r="AB120" s="105"/>
      <c r="AC120" s="105"/>
      <c r="AD120" s="105"/>
      <c r="AE120" s="105"/>
      <c r="AF120" s="105"/>
    </row>
    <row r="121" spans="1:32" s="7" customFormat="1" x14ac:dyDescent="0.2">
      <c r="A121" s="105"/>
      <c r="B121" s="105"/>
      <c r="C121" s="105"/>
      <c r="D121" s="105"/>
      <c r="E121" s="105"/>
      <c r="F121" s="105"/>
      <c r="G121" s="105"/>
      <c r="H121" s="105"/>
      <c r="I121" s="105"/>
      <c r="J121" s="105"/>
      <c r="K121" s="105"/>
      <c r="L121" s="105"/>
      <c r="M121" s="106"/>
      <c r="N121" s="106"/>
      <c r="O121" s="106"/>
      <c r="P121" s="111"/>
      <c r="Q121" s="108"/>
      <c r="R121" s="5"/>
      <c r="S121" s="5"/>
      <c r="T121" s="5"/>
      <c r="U121" s="5"/>
      <c r="V121" s="5"/>
      <c r="W121" s="5"/>
      <c r="X121" s="5"/>
      <c r="Y121" s="5"/>
      <c r="Z121" s="216"/>
      <c r="AA121" s="105"/>
      <c r="AB121" s="105"/>
      <c r="AC121" s="105"/>
      <c r="AD121" s="105"/>
      <c r="AE121" s="105"/>
      <c r="AF121" s="105"/>
    </row>
    <row r="122" spans="1:32" s="7" customFormat="1" x14ac:dyDescent="0.2">
      <c r="A122" s="105"/>
      <c r="B122" s="105"/>
      <c r="C122" s="105"/>
      <c r="D122" s="105"/>
      <c r="E122" s="105"/>
      <c r="F122" s="105"/>
      <c r="G122" s="105"/>
      <c r="H122" s="105"/>
      <c r="I122" s="105"/>
      <c r="J122" s="105"/>
      <c r="K122" s="105"/>
      <c r="L122" s="105"/>
      <c r="M122" s="106"/>
      <c r="N122" s="106"/>
      <c r="O122" s="106"/>
      <c r="P122" s="111"/>
      <c r="Q122" s="108"/>
      <c r="R122" s="5"/>
      <c r="S122" s="5"/>
      <c r="T122" s="5"/>
      <c r="U122" s="5"/>
      <c r="V122" s="5"/>
      <c r="W122" s="5"/>
      <c r="X122" s="5"/>
      <c r="Y122" s="5"/>
      <c r="Z122" s="216"/>
      <c r="AA122" s="105"/>
      <c r="AB122" s="105"/>
      <c r="AC122" s="105"/>
      <c r="AD122" s="105"/>
      <c r="AE122" s="105"/>
      <c r="AF122" s="105"/>
    </row>
    <row r="123" spans="1:32" s="7" customFormat="1" x14ac:dyDescent="0.2">
      <c r="A123" s="105"/>
      <c r="B123" s="105"/>
      <c r="C123" s="105"/>
      <c r="D123" s="105"/>
      <c r="E123" s="105"/>
      <c r="F123" s="105"/>
      <c r="G123" s="105"/>
      <c r="H123" s="105"/>
      <c r="I123" s="105"/>
      <c r="J123" s="105"/>
      <c r="K123" s="105"/>
      <c r="L123" s="105"/>
      <c r="M123" s="106"/>
      <c r="N123" s="106"/>
      <c r="O123" s="106"/>
      <c r="P123" s="111"/>
      <c r="Q123" s="108"/>
      <c r="R123" s="5"/>
      <c r="S123" s="5"/>
      <c r="T123" s="5"/>
      <c r="U123" s="5"/>
      <c r="V123" s="5"/>
      <c r="W123" s="5"/>
      <c r="X123" s="5"/>
      <c r="Y123" s="5"/>
      <c r="Z123" s="216"/>
      <c r="AA123" s="105"/>
      <c r="AB123" s="105"/>
      <c r="AC123" s="105"/>
      <c r="AD123" s="105"/>
      <c r="AE123" s="105"/>
      <c r="AF123" s="105"/>
    </row>
    <row r="124" spans="1:32" s="7" customFormat="1" x14ac:dyDescent="0.2">
      <c r="A124" s="105"/>
      <c r="B124" s="105"/>
      <c r="C124" s="105"/>
      <c r="D124" s="105"/>
      <c r="E124" s="105"/>
      <c r="F124" s="105"/>
      <c r="G124" s="105"/>
      <c r="H124" s="105"/>
      <c r="I124" s="105"/>
      <c r="J124" s="105"/>
      <c r="K124" s="105"/>
      <c r="L124" s="105"/>
      <c r="M124" s="106"/>
      <c r="N124" s="106"/>
      <c r="O124" s="106"/>
      <c r="P124" s="111"/>
      <c r="Q124" s="108"/>
      <c r="R124" s="5"/>
      <c r="S124" s="5"/>
      <c r="T124" s="5"/>
      <c r="U124" s="5"/>
      <c r="V124" s="5"/>
      <c r="W124" s="5"/>
      <c r="X124" s="5"/>
      <c r="Y124" s="5"/>
      <c r="Z124" s="216"/>
      <c r="AA124" s="105"/>
      <c r="AB124" s="105"/>
      <c r="AC124" s="105"/>
      <c r="AD124" s="105"/>
      <c r="AE124" s="105"/>
      <c r="AF124" s="105"/>
    </row>
    <row r="125" spans="1:32" s="7" customFormat="1" x14ac:dyDescent="0.2">
      <c r="A125" s="105"/>
      <c r="B125" s="105"/>
      <c r="C125" s="105"/>
      <c r="D125" s="105"/>
      <c r="E125" s="105"/>
      <c r="F125" s="105"/>
      <c r="G125" s="105"/>
      <c r="H125" s="105"/>
      <c r="I125" s="105"/>
      <c r="J125" s="105"/>
      <c r="K125" s="105"/>
      <c r="L125" s="105"/>
      <c r="M125" s="106"/>
      <c r="N125" s="106"/>
      <c r="O125" s="106"/>
      <c r="P125" s="111"/>
      <c r="Q125" s="108"/>
      <c r="R125" s="5"/>
      <c r="S125" s="5"/>
      <c r="T125" s="5"/>
      <c r="U125" s="5"/>
      <c r="V125" s="5"/>
      <c r="W125" s="5"/>
      <c r="X125" s="5"/>
      <c r="Y125" s="5"/>
      <c r="Z125" s="216"/>
      <c r="AA125" s="105"/>
      <c r="AB125" s="105"/>
      <c r="AC125" s="105"/>
      <c r="AD125" s="105"/>
      <c r="AE125" s="105"/>
      <c r="AF125" s="105"/>
    </row>
    <row r="126" spans="1:32" s="7" customFormat="1" x14ac:dyDescent="0.2">
      <c r="A126" s="105"/>
      <c r="B126" s="105"/>
      <c r="C126" s="105"/>
      <c r="D126" s="105"/>
      <c r="E126" s="105"/>
      <c r="F126" s="105"/>
      <c r="G126" s="105"/>
      <c r="H126" s="105"/>
      <c r="I126" s="105"/>
      <c r="J126" s="105"/>
      <c r="K126" s="105"/>
      <c r="L126" s="105"/>
      <c r="M126" s="106"/>
      <c r="N126" s="106"/>
      <c r="O126" s="106"/>
      <c r="P126" s="111"/>
      <c r="Q126" s="108"/>
      <c r="R126" s="5"/>
      <c r="S126" s="5"/>
      <c r="T126" s="5"/>
      <c r="U126" s="5"/>
      <c r="V126" s="5"/>
      <c r="W126" s="5"/>
      <c r="X126" s="5"/>
      <c r="Y126" s="5"/>
      <c r="Z126" s="216"/>
      <c r="AA126" s="105"/>
      <c r="AB126" s="105"/>
      <c r="AC126" s="105"/>
      <c r="AD126" s="105"/>
      <c r="AE126" s="105"/>
      <c r="AF126" s="105"/>
    </row>
    <row r="127" spans="1:32" s="7" customFormat="1" x14ac:dyDescent="0.2">
      <c r="A127" s="105"/>
      <c r="B127" s="105"/>
      <c r="C127" s="105"/>
      <c r="D127" s="105"/>
      <c r="E127" s="105"/>
      <c r="F127" s="105"/>
      <c r="G127" s="105"/>
      <c r="H127" s="105"/>
      <c r="I127" s="105"/>
      <c r="J127" s="105"/>
      <c r="K127" s="105"/>
      <c r="L127" s="105"/>
      <c r="M127" s="106"/>
      <c r="N127" s="106"/>
      <c r="O127" s="106"/>
      <c r="P127" s="111"/>
      <c r="Q127" s="108"/>
      <c r="R127" s="5"/>
      <c r="S127" s="5"/>
      <c r="T127" s="5"/>
      <c r="U127" s="5"/>
      <c r="V127" s="5"/>
      <c r="W127" s="5"/>
      <c r="X127" s="5"/>
      <c r="Y127" s="5"/>
      <c r="Z127" s="216"/>
      <c r="AA127" s="105"/>
      <c r="AB127" s="105"/>
      <c r="AC127" s="105"/>
      <c r="AD127" s="105"/>
      <c r="AE127" s="105"/>
      <c r="AF127" s="105"/>
    </row>
    <row r="128" spans="1:32" s="7" customFormat="1" x14ac:dyDescent="0.2">
      <c r="A128" s="105"/>
      <c r="B128" s="105"/>
      <c r="C128" s="105"/>
      <c r="D128" s="105"/>
      <c r="E128" s="105"/>
      <c r="F128" s="105"/>
      <c r="G128" s="105"/>
      <c r="H128" s="105"/>
      <c r="I128" s="105"/>
      <c r="J128" s="105"/>
      <c r="K128" s="105"/>
      <c r="L128" s="105"/>
      <c r="M128" s="106"/>
      <c r="N128" s="106"/>
      <c r="O128" s="106"/>
      <c r="P128" s="111"/>
      <c r="Q128" s="108"/>
      <c r="R128" s="5"/>
      <c r="S128" s="5"/>
      <c r="T128" s="5"/>
      <c r="U128" s="5"/>
      <c r="V128" s="5"/>
      <c r="W128" s="5"/>
      <c r="X128" s="5"/>
      <c r="Y128" s="5"/>
      <c r="Z128" s="216"/>
      <c r="AA128" s="105"/>
      <c r="AB128" s="105"/>
      <c r="AC128" s="105"/>
      <c r="AD128" s="105"/>
      <c r="AE128" s="105"/>
      <c r="AF128" s="105"/>
    </row>
    <row r="129" spans="1:32" s="7" customFormat="1" x14ac:dyDescent="0.2">
      <c r="A129" s="105"/>
      <c r="B129" s="105"/>
      <c r="C129" s="105"/>
      <c r="D129" s="105"/>
      <c r="E129" s="105"/>
      <c r="F129" s="105"/>
      <c r="G129" s="105"/>
      <c r="H129" s="105"/>
      <c r="I129" s="105"/>
      <c r="J129" s="105"/>
      <c r="K129" s="105"/>
      <c r="L129" s="105"/>
      <c r="M129" s="106"/>
      <c r="N129" s="106"/>
      <c r="O129" s="106"/>
      <c r="P129" s="111"/>
      <c r="Q129" s="108"/>
      <c r="R129" s="5"/>
      <c r="S129" s="5"/>
      <c r="T129" s="5"/>
      <c r="U129" s="5"/>
      <c r="V129" s="5"/>
      <c r="W129" s="5"/>
      <c r="X129" s="5"/>
      <c r="Y129" s="5"/>
      <c r="Z129" s="216"/>
      <c r="AA129" s="105"/>
      <c r="AB129" s="105"/>
      <c r="AC129" s="105"/>
      <c r="AD129" s="105"/>
      <c r="AE129" s="105"/>
      <c r="AF129" s="105"/>
    </row>
    <row r="130" spans="1:32" s="7" customFormat="1" x14ac:dyDescent="0.2">
      <c r="A130" s="105"/>
      <c r="B130" s="105"/>
      <c r="C130" s="105"/>
      <c r="D130" s="105"/>
      <c r="E130" s="105"/>
      <c r="F130" s="105"/>
      <c r="G130" s="105"/>
      <c r="H130" s="105"/>
      <c r="I130" s="105"/>
      <c r="J130" s="105"/>
      <c r="K130" s="105"/>
      <c r="L130" s="105"/>
      <c r="M130" s="106"/>
      <c r="N130" s="106"/>
      <c r="O130" s="106"/>
      <c r="P130" s="111"/>
      <c r="Q130" s="108"/>
      <c r="R130" s="5"/>
      <c r="S130" s="5"/>
      <c r="T130" s="5"/>
      <c r="U130" s="5"/>
      <c r="V130" s="5"/>
      <c r="W130" s="5"/>
      <c r="X130" s="5"/>
      <c r="Y130" s="5"/>
      <c r="Z130" s="216"/>
      <c r="AA130" s="105"/>
      <c r="AB130" s="105"/>
      <c r="AC130" s="105"/>
      <c r="AD130" s="105"/>
      <c r="AE130" s="105"/>
      <c r="AF130" s="105"/>
    </row>
    <row r="131" spans="1:32" s="7" customFormat="1" x14ac:dyDescent="0.2">
      <c r="A131" s="105"/>
      <c r="B131" s="105"/>
      <c r="C131" s="105"/>
      <c r="D131" s="105"/>
      <c r="E131" s="105"/>
      <c r="F131" s="105"/>
      <c r="G131" s="105"/>
      <c r="H131" s="105"/>
      <c r="I131" s="105"/>
      <c r="J131" s="105"/>
      <c r="K131" s="105"/>
      <c r="L131" s="105"/>
      <c r="M131" s="106"/>
      <c r="N131" s="106"/>
      <c r="O131" s="106"/>
      <c r="P131" s="111"/>
      <c r="Q131" s="108"/>
      <c r="R131" s="5"/>
      <c r="S131" s="5"/>
      <c r="T131" s="5"/>
      <c r="U131" s="5"/>
      <c r="V131" s="5"/>
      <c r="W131" s="5"/>
      <c r="X131" s="5"/>
      <c r="Y131" s="5"/>
      <c r="Z131" s="216"/>
      <c r="AA131" s="105"/>
      <c r="AB131" s="105"/>
      <c r="AC131" s="105"/>
      <c r="AD131" s="105"/>
      <c r="AE131" s="105"/>
      <c r="AF131" s="105"/>
    </row>
    <row r="132" spans="1:32" s="7" customFormat="1" x14ac:dyDescent="0.2">
      <c r="A132" s="105"/>
      <c r="B132" s="105"/>
      <c r="C132" s="105"/>
      <c r="D132" s="105"/>
      <c r="E132" s="105"/>
      <c r="F132" s="105"/>
      <c r="G132" s="105"/>
      <c r="H132" s="105"/>
      <c r="I132" s="105"/>
      <c r="J132" s="105"/>
      <c r="K132" s="105"/>
      <c r="L132" s="105"/>
      <c r="M132" s="106"/>
      <c r="N132" s="106"/>
      <c r="O132" s="106"/>
      <c r="P132" s="111"/>
      <c r="Q132" s="108"/>
      <c r="R132" s="5"/>
      <c r="S132" s="5"/>
      <c r="T132" s="5"/>
      <c r="U132" s="5"/>
      <c r="V132" s="5"/>
      <c r="W132" s="5"/>
      <c r="X132" s="5"/>
      <c r="Y132" s="5"/>
      <c r="Z132" s="216"/>
      <c r="AA132" s="105"/>
      <c r="AB132" s="105"/>
      <c r="AC132" s="105"/>
      <c r="AD132" s="105"/>
      <c r="AE132" s="105"/>
      <c r="AF132" s="105"/>
    </row>
    <row r="133" spans="1:32" s="7" customFormat="1" x14ac:dyDescent="0.2">
      <c r="A133" s="105"/>
      <c r="B133" s="105"/>
      <c r="C133" s="105"/>
      <c r="D133" s="105"/>
      <c r="E133" s="105"/>
      <c r="F133" s="105"/>
      <c r="G133" s="105"/>
      <c r="H133" s="105"/>
      <c r="I133" s="105"/>
      <c r="J133" s="105"/>
      <c r="K133" s="105"/>
      <c r="L133" s="105"/>
      <c r="M133" s="106"/>
      <c r="N133" s="106"/>
      <c r="O133" s="106"/>
      <c r="P133" s="111"/>
      <c r="Q133" s="108"/>
      <c r="R133" s="5"/>
      <c r="S133" s="5"/>
      <c r="T133" s="5"/>
      <c r="U133" s="5"/>
      <c r="V133" s="5"/>
      <c r="W133" s="5"/>
      <c r="X133" s="5"/>
      <c r="Y133" s="5"/>
      <c r="Z133" s="216"/>
      <c r="AA133" s="105"/>
      <c r="AB133" s="105"/>
      <c r="AC133" s="105"/>
      <c r="AD133" s="105"/>
      <c r="AE133" s="105"/>
      <c r="AF133" s="105"/>
    </row>
    <row r="134" spans="1:32" s="7" customFormat="1" x14ac:dyDescent="0.2">
      <c r="A134" s="105"/>
      <c r="B134" s="105"/>
      <c r="C134" s="105"/>
      <c r="D134" s="105"/>
      <c r="E134" s="105"/>
      <c r="F134" s="105"/>
      <c r="G134" s="105"/>
      <c r="H134" s="105"/>
      <c r="I134" s="105"/>
      <c r="J134" s="105"/>
      <c r="K134" s="105"/>
      <c r="L134" s="105"/>
      <c r="M134" s="106"/>
      <c r="N134" s="106"/>
      <c r="O134" s="106"/>
      <c r="P134" s="111"/>
      <c r="Q134" s="108"/>
      <c r="R134" s="5"/>
      <c r="S134" s="5"/>
      <c r="T134" s="5"/>
      <c r="U134" s="5"/>
      <c r="V134" s="5"/>
      <c r="W134" s="5"/>
      <c r="X134" s="5"/>
      <c r="Y134" s="5"/>
      <c r="Z134" s="216"/>
      <c r="AA134" s="105"/>
      <c r="AB134" s="105"/>
      <c r="AC134" s="105"/>
      <c r="AD134" s="105"/>
      <c r="AE134" s="105"/>
      <c r="AF134" s="105"/>
    </row>
    <row r="135" spans="1:32" s="7" customFormat="1" x14ac:dyDescent="0.2">
      <c r="A135" s="105"/>
      <c r="B135" s="105"/>
      <c r="C135" s="105"/>
      <c r="D135" s="105"/>
      <c r="E135" s="105"/>
      <c r="F135" s="105"/>
      <c r="G135" s="105"/>
      <c r="H135" s="105"/>
      <c r="I135" s="105"/>
      <c r="J135" s="105"/>
      <c r="K135" s="105"/>
      <c r="L135" s="105"/>
      <c r="M135" s="106"/>
      <c r="N135" s="106"/>
      <c r="O135" s="106"/>
      <c r="P135" s="111"/>
      <c r="Q135" s="108"/>
      <c r="R135" s="5"/>
      <c r="S135" s="5"/>
      <c r="T135" s="5"/>
      <c r="U135" s="5"/>
      <c r="V135" s="5"/>
      <c r="W135" s="5"/>
      <c r="X135" s="5"/>
      <c r="Y135" s="5"/>
      <c r="Z135" s="216"/>
      <c r="AA135" s="105"/>
      <c r="AB135" s="105"/>
      <c r="AC135" s="105"/>
      <c r="AD135" s="105"/>
      <c r="AE135" s="105"/>
      <c r="AF135" s="105"/>
    </row>
    <row r="136" spans="1:32" s="7" customFormat="1" x14ac:dyDescent="0.2">
      <c r="A136" s="105"/>
      <c r="B136" s="105"/>
      <c r="C136" s="105"/>
      <c r="D136" s="105"/>
      <c r="E136" s="105"/>
      <c r="F136" s="105"/>
      <c r="G136" s="105"/>
      <c r="H136" s="105"/>
      <c r="I136" s="105"/>
      <c r="J136" s="105"/>
      <c r="K136" s="105"/>
      <c r="L136" s="105"/>
      <c r="M136" s="106"/>
      <c r="N136" s="106"/>
      <c r="O136" s="106"/>
      <c r="P136" s="111"/>
      <c r="Q136" s="108"/>
      <c r="R136" s="5"/>
      <c r="S136" s="5"/>
      <c r="T136" s="5"/>
      <c r="U136" s="5"/>
      <c r="V136" s="5"/>
      <c r="W136" s="5"/>
      <c r="X136" s="5"/>
      <c r="Y136" s="5"/>
      <c r="Z136" s="216"/>
      <c r="AA136" s="105"/>
      <c r="AB136" s="105"/>
      <c r="AC136" s="105"/>
      <c r="AD136" s="105"/>
      <c r="AE136" s="105"/>
      <c r="AF136" s="105"/>
    </row>
    <row r="137" spans="1:32" s="7" customFormat="1" x14ac:dyDescent="0.2">
      <c r="A137" s="105"/>
      <c r="B137" s="105"/>
      <c r="C137" s="105"/>
      <c r="D137" s="105"/>
      <c r="E137" s="105"/>
      <c r="F137" s="105"/>
      <c r="G137" s="105"/>
      <c r="H137" s="105"/>
      <c r="I137" s="105"/>
      <c r="J137" s="105"/>
      <c r="K137" s="105"/>
      <c r="L137" s="105"/>
      <c r="M137" s="106"/>
      <c r="N137" s="106"/>
      <c r="O137" s="106"/>
      <c r="P137" s="111"/>
      <c r="Q137" s="108"/>
      <c r="R137" s="5"/>
      <c r="S137" s="5"/>
      <c r="T137" s="5"/>
      <c r="U137" s="5"/>
      <c r="V137" s="5"/>
      <c r="W137" s="5"/>
      <c r="X137" s="5"/>
      <c r="Y137" s="5"/>
      <c r="Z137" s="216"/>
      <c r="AA137" s="105"/>
      <c r="AB137" s="105"/>
      <c r="AC137" s="105"/>
      <c r="AD137" s="105"/>
      <c r="AE137" s="105"/>
      <c r="AF137" s="105"/>
    </row>
    <row r="138" spans="1:32" s="7" customFormat="1" x14ac:dyDescent="0.2">
      <c r="A138" s="105"/>
      <c r="B138" s="105"/>
      <c r="C138" s="105"/>
      <c r="D138" s="105"/>
      <c r="E138" s="105"/>
      <c r="F138" s="105"/>
      <c r="G138" s="105"/>
      <c r="H138" s="105"/>
      <c r="I138" s="105"/>
      <c r="J138" s="105"/>
      <c r="K138" s="105"/>
      <c r="L138" s="105"/>
      <c r="M138" s="106"/>
      <c r="N138" s="106"/>
      <c r="O138" s="106"/>
      <c r="P138" s="111"/>
      <c r="Q138" s="108"/>
      <c r="R138" s="5"/>
      <c r="S138" s="5"/>
      <c r="T138" s="5"/>
      <c r="U138" s="5"/>
      <c r="V138" s="5"/>
      <c r="W138" s="5"/>
      <c r="X138" s="5"/>
      <c r="Y138" s="5"/>
      <c r="Z138" s="216"/>
      <c r="AA138" s="105"/>
      <c r="AB138" s="105"/>
      <c r="AC138" s="105"/>
      <c r="AD138" s="105"/>
      <c r="AE138" s="105"/>
      <c r="AF138" s="105"/>
    </row>
    <row r="139" spans="1:32" s="7" customFormat="1" x14ac:dyDescent="0.2">
      <c r="A139" s="105"/>
      <c r="B139" s="105"/>
      <c r="C139" s="105"/>
      <c r="D139" s="105"/>
      <c r="E139" s="105"/>
      <c r="F139" s="105"/>
      <c r="G139" s="105"/>
      <c r="H139" s="105"/>
      <c r="I139" s="105"/>
      <c r="J139" s="105"/>
      <c r="K139" s="105"/>
      <c r="L139" s="105"/>
      <c r="M139" s="106"/>
      <c r="N139" s="106"/>
      <c r="O139" s="106"/>
      <c r="P139" s="111"/>
      <c r="Q139" s="108"/>
      <c r="R139" s="5"/>
      <c r="S139" s="5"/>
      <c r="T139" s="5"/>
      <c r="U139" s="5"/>
      <c r="V139" s="5"/>
      <c r="W139" s="5"/>
      <c r="X139" s="5"/>
      <c r="Y139" s="5"/>
      <c r="Z139" s="216"/>
      <c r="AA139" s="105"/>
      <c r="AB139" s="105"/>
      <c r="AC139" s="105"/>
      <c r="AD139" s="105"/>
      <c r="AE139" s="105"/>
      <c r="AF139" s="105"/>
    </row>
    <row r="140" spans="1:32" s="7" customFormat="1" x14ac:dyDescent="0.2">
      <c r="A140" s="105"/>
      <c r="B140" s="105"/>
      <c r="C140" s="105"/>
      <c r="D140" s="105"/>
      <c r="E140" s="105"/>
      <c r="F140" s="105"/>
      <c r="G140" s="105"/>
      <c r="H140" s="105"/>
      <c r="I140" s="105"/>
      <c r="J140" s="105"/>
      <c r="K140" s="105"/>
      <c r="L140" s="105"/>
      <c r="M140" s="106"/>
      <c r="N140" s="106"/>
      <c r="O140" s="106"/>
      <c r="P140" s="111"/>
      <c r="Q140" s="108"/>
      <c r="R140" s="5"/>
      <c r="S140" s="5"/>
      <c r="T140" s="5"/>
      <c r="U140" s="5"/>
      <c r="V140" s="5"/>
      <c r="W140" s="5"/>
      <c r="X140" s="5"/>
      <c r="Y140" s="5"/>
      <c r="Z140" s="216"/>
      <c r="AA140" s="105"/>
      <c r="AB140" s="105"/>
      <c r="AC140" s="105"/>
      <c r="AD140" s="105"/>
      <c r="AE140" s="105"/>
      <c r="AF140" s="105"/>
    </row>
    <row r="141" spans="1:32" s="7" customFormat="1" x14ac:dyDescent="0.2">
      <c r="A141" s="105"/>
      <c r="B141" s="105"/>
      <c r="C141" s="105"/>
      <c r="D141" s="105"/>
      <c r="E141" s="105"/>
      <c r="F141" s="105"/>
      <c r="G141" s="105"/>
      <c r="H141" s="105"/>
      <c r="I141" s="105"/>
      <c r="J141" s="105"/>
      <c r="K141" s="105"/>
      <c r="L141" s="105"/>
      <c r="M141" s="106"/>
      <c r="N141" s="106"/>
      <c r="O141" s="106"/>
      <c r="P141" s="111"/>
      <c r="Q141" s="108"/>
      <c r="R141" s="5"/>
      <c r="S141" s="5"/>
      <c r="T141" s="5"/>
      <c r="U141" s="5"/>
      <c r="V141" s="5"/>
      <c r="W141" s="5"/>
      <c r="X141" s="5"/>
      <c r="Y141" s="5"/>
      <c r="Z141" s="216"/>
      <c r="AA141" s="105"/>
      <c r="AB141" s="105"/>
      <c r="AC141" s="105"/>
      <c r="AD141" s="105"/>
      <c r="AE141" s="105"/>
      <c r="AF141" s="105"/>
    </row>
    <row r="142" spans="1:32" s="7" customFormat="1" x14ac:dyDescent="0.2">
      <c r="A142" s="105"/>
      <c r="B142" s="105"/>
      <c r="C142" s="105"/>
      <c r="D142" s="105"/>
      <c r="E142" s="105"/>
      <c r="F142" s="105"/>
      <c r="G142" s="105"/>
      <c r="H142" s="105"/>
      <c r="I142" s="105"/>
      <c r="J142" s="105"/>
      <c r="K142" s="105"/>
      <c r="L142" s="105"/>
      <c r="M142" s="106"/>
      <c r="N142" s="106"/>
      <c r="O142" s="106"/>
      <c r="P142" s="111"/>
      <c r="Q142" s="108"/>
      <c r="R142" s="5"/>
      <c r="S142" s="5"/>
      <c r="T142" s="5"/>
      <c r="U142" s="5"/>
      <c r="V142" s="5"/>
      <c r="W142" s="5"/>
      <c r="X142" s="5"/>
      <c r="Y142" s="5"/>
      <c r="Z142" s="216"/>
      <c r="AA142" s="105"/>
      <c r="AB142" s="105"/>
      <c r="AC142" s="105"/>
      <c r="AD142" s="105"/>
      <c r="AE142" s="105"/>
      <c r="AF142" s="105"/>
    </row>
    <row r="143" spans="1:32" s="7" customFormat="1" x14ac:dyDescent="0.2">
      <c r="A143" s="105"/>
      <c r="B143" s="105"/>
      <c r="C143" s="105"/>
      <c r="D143" s="105"/>
      <c r="E143" s="105"/>
      <c r="F143" s="105"/>
      <c r="G143" s="105"/>
      <c r="H143" s="105"/>
      <c r="I143" s="105"/>
      <c r="J143" s="105"/>
      <c r="K143" s="105"/>
      <c r="L143" s="105"/>
      <c r="M143" s="106"/>
      <c r="N143" s="106"/>
      <c r="O143" s="106"/>
      <c r="P143" s="111"/>
      <c r="Q143" s="108"/>
      <c r="R143" s="5"/>
      <c r="S143" s="5"/>
      <c r="T143" s="5"/>
      <c r="U143" s="5"/>
      <c r="V143" s="5"/>
      <c r="W143" s="5"/>
      <c r="X143" s="5"/>
      <c r="Y143" s="5"/>
      <c r="Z143" s="216"/>
      <c r="AA143" s="105"/>
      <c r="AB143" s="105"/>
      <c r="AC143" s="105"/>
      <c r="AD143" s="105"/>
      <c r="AE143" s="105"/>
      <c r="AF143" s="105"/>
    </row>
    <row r="144" spans="1:32" s="7" customFormat="1" x14ac:dyDescent="0.2">
      <c r="A144" s="105"/>
      <c r="B144" s="105"/>
      <c r="C144" s="105"/>
      <c r="D144" s="105"/>
      <c r="E144" s="105"/>
      <c r="F144" s="105"/>
      <c r="G144" s="105"/>
      <c r="H144" s="105"/>
      <c r="I144" s="105"/>
      <c r="J144" s="105"/>
      <c r="K144" s="105"/>
      <c r="L144" s="105"/>
      <c r="M144" s="106"/>
      <c r="N144" s="106"/>
      <c r="O144" s="106"/>
      <c r="P144" s="111"/>
      <c r="Q144" s="108"/>
      <c r="R144" s="5"/>
      <c r="S144" s="5"/>
      <c r="T144" s="5"/>
      <c r="U144" s="5"/>
      <c r="V144" s="5"/>
      <c r="W144" s="5"/>
      <c r="X144" s="5"/>
      <c r="Y144" s="5"/>
      <c r="Z144" s="216"/>
      <c r="AA144" s="105"/>
      <c r="AB144" s="105"/>
      <c r="AC144" s="105"/>
      <c r="AD144" s="105"/>
      <c r="AE144" s="105"/>
      <c r="AF144" s="105"/>
    </row>
    <row r="145" spans="1:32" s="7" customFormat="1" x14ac:dyDescent="0.2">
      <c r="A145" s="105"/>
      <c r="B145" s="105"/>
      <c r="C145" s="105"/>
      <c r="D145" s="105"/>
      <c r="E145" s="105"/>
      <c r="F145" s="105"/>
      <c r="G145" s="105"/>
      <c r="H145" s="105"/>
      <c r="I145" s="105"/>
      <c r="J145" s="105"/>
      <c r="K145" s="105"/>
      <c r="L145" s="105"/>
      <c r="M145" s="106"/>
      <c r="N145" s="106"/>
      <c r="O145" s="106"/>
      <c r="P145" s="111"/>
      <c r="Q145" s="108"/>
      <c r="R145" s="5"/>
      <c r="S145" s="5"/>
      <c r="T145" s="5"/>
      <c r="U145" s="5"/>
      <c r="V145" s="5"/>
      <c r="W145" s="5"/>
      <c r="X145" s="5"/>
      <c r="Y145" s="5"/>
      <c r="Z145" s="216"/>
      <c r="AA145" s="105"/>
      <c r="AB145" s="105"/>
      <c r="AC145" s="105"/>
      <c r="AD145" s="105"/>
      <c r="AE145" s="105"/>
      <c r="AF145" s="105"/>
    </row>
    <row r="146" spans="1:32" s="7" customFormat="1" x14ac:dyDescent="0.2">
      <c r="A146" s="105"/>
      <c r="B146" s="105"/>
      <c r="C146" s="105"/>
      <c r="D146" s="105"/>
      <c r="E146" s="105"/>
      <c r="F146" s="105"/>
      <c r="G146" s="105"/>
      <c r="H146" s="105"/>
      <c r="I146" s="105"/>
      <c r="J146" s="105"/>
      <c r="K146" s="105"/>
      <c r="L146" s="105"/>
      <c r="M146" s="106"/>
      <c r="N146" s="106"/>
      <c r="O146" s="106"/>
      <c r="P146" s="111"/>
      <c r="Q146" s="108"/>
      <c r="R146" s="5"/>
      <c r="S146" s="5"/>
      <c r="T146" s="5"/>
      <c r="U146" s="5"/>
      <c r="V146" s="5"/>
      <c r="W146" s="5"/>
      <c r="X146" s="5"/>
      <c r="Y146" s="5"/>
      <c r="Z146" s="216"/>
      <c r="AA146" s="105"/>
      <c r="AB146" s="105"/>
      <c r="AC146" s="105"/>
      <c r="AD146" s="105"/>
      <c r="AE146" s="105"/>
      <c r="AF146" s="105"/>
    </row>
    <row r="147" spans="1:32" s="7" customFormat="1" x14ac:dyDescent="0.2">
      <c r="A147" s="105"/>
      <c r="B147" s="105"/>
      <c r="C147" s="105"/>
      <c r="D147" s="105"/>
      <c r="E147" s="105"/>
      <c r="F147" s="105"/>
      <c r="G147" s="105"/>
      <c r="H147" s="105"/>
      <c r="I147" s="105"/>
      <c r="J147" s="105"/>
      <c r="K147" s="105"/>
      <c r="L147" s="105"/>
      <c r="M147" s="106"/>
      <c r="N147" s="106"/>
      <c r="O147" s="106"/>
      <c r="P147" s="111"/>
      <c r="Q147" s="108"/>
      <c r="R147" s="5"/>
      <c r="S147" s="5"/>
      <c r="T147" s="5"/>
      <c r="U147" s="5"/>
      <c r="V147" s="5"/>
      <c r="W147" s="5"/>
      <c r="X147" s="5"/>
      <c r="Y147" s="5"/>
      <c r="Z147" s="216"/>
      <c r="AA147" s="105"/>
      <c r="AB147" s="105"/>
      <c r="AC147" s="105"/>
      <c r="AD147" s="105"/>
      <c r="AE147" s="105"/>
      <c r="AF147" s="105"/>
    </row>
    <row r="148" spans="1:32" s="7" customFormat="1" x14ac:dyDescent="0.2">
      <c r="A148" s="105"/>
      <c r="B148" s="105"/>
      <c r="C148" s="105"/>
      <c r="D148" s="105"/>
      <c r="E148" s="105"/>
      <c r="F148" s="105"/>
      <c r="G148" s="105"/>
      <c r="H148" s="105"/>
      <c r="I148" s="105"/>
      <c r="J148" s="105"/>
      <c r="K148" s="105"/>
      <c r="L148" s="105"/>
      <c r="M148" s="106"/>
      <c r="N148" s="106"/>
      <c r="O148" s="106"/>
      <c r="P148" s="111"/>
      <c r="Q148" s="108"/>
      <c r="R148" s="5"/>
      <c r="S148" s="5"/>
      <c r="T148" s="5"/>
      <c r="U148" s="5"/>
      <c r="V148" s="5"/>
      <c r="W148" s="5"/>
      <c r="X148" s="5"/>
      <c r="Y148" s="5"/>
      <c r="Z148" s="216"/>
      <c r="AA148" s="105"/>
      <c r="AB148" s="105"/>
      <c r="AC148" s="105"/>
      <c r="AD148" s="105"/>
      <c r="AE148" s="105"/>
      <c r="AF148" s="105"/>
    </row>
    <row r="149" spans="1:32" s="7" customFormat="1" x14ac:dyDescent="0.2">
      <c r="A149" s="105"/>
      <c r="B149" s="105"/>
      <c r="C149" s="105"/>
      <c r="D149" s="105"/>
      <c r="E149" s="105"/>
      <c r="F149" s="105"/>
      <c r="G149" s="105"/>
      <c r="H149" s="105"/>
      <c r="I149" s="105"/>
      <c r="J149" s="105"/>
      <c r="K149" s="105"/>
      <c r="L149" s="105"/>
      <c r="M149" s="106"/>
      <c r="N149" s="106"/>
      <c r="O149" s="106"/>
      <c r="P149" s="111"/>
      <c r="Q149" s="108"/>
      <c r="R149" s="5"/>
      <c r="S149" s="5"/>
      <c r="T149" s="5"/>
      <c r="U149" s="5"/>
      <c r="V149" s="5"/>
      <c r="W149" s="5"/>
      <c r="X149" s="5"/>
      <c r="Y149" s="5"/>
      <c r="Z149" s="216"/>
      <c r="AA149" s="105"/>
      <c r="AB149" s="105"/>
      <c r="AC149" s="105"/>
      <c r="AD149" s="105"/>
      <c r="AE149" s="105"/>
      <c r="AF149" s="105"/>
    </row>
    <row r="150" spans="1:32" s="7" customFormat="1" x14ac:dyDescent="0.2">
      <c r="A150" s="105"/>
      <c r="B150" s="105"/>
      <c r="C150" s="105"/>
      <c r="D150" s="105"/>
      <c r="E150" s="105"/>
      <c r="F150" s="105"/>
      <c r="G150" s="105"/>
      <c r="H150" s="105"/>
      <c r="I150" s="105"/>
      <c r="J150" s="105"/>
      <c r="K150" s="105"/>
      <c r="L150" s="105"/>
      <c r="M150" s="106"/>
      <c r="N150" s="106"/>
      <c r="O150" s="106"/>
      <c r="P150" s="111"/>
      <c r="Q150" s="108"/>
      <c r="R150" s="5"/>
      <c r="S150" s="5"/>
      <c r="T150" s="5"/>
      <c r="U150" s="5"/>
      <c r="V150" s="5"/>
      <c r="W150" s="5"/>
      <c r="X150" s="5"/>
      <c r="Y150" s="5"/>
      <c r="Z150" s="216"/>
      <c r="AA150" s="105"/>
      <c r="AB150" s="105"/>
      <c r="AC150" s="105"/>
      <c r="AD150" s="105"/>
      <c r="AE150" s="105"/>
      <c r="AF150" s="105"/>
    </row>
    <row r="151" spans="1:32" s="7" customFormat="1" x14ac:dyDescent="0.2">
      <c r="A151" s="105"/>
      <c r="B151" s="105"/>
      <c r="C151" s="105"/>
      <c r="D151" s="105"/>
      <c r="E151" s="105"/>
      <c r="F151" s="105"/>
      <c r="G151" s="105"/>
      <c r="H151" s="105"/>
      <c r="I151" s="105"/>
      <c r="J151" s="105"/>
      <c r="K151" s="105"/>
      <c r="L151" s="105"/>
      <c r="M151" s="106"/>
      <c r="N151" s="106"/>
      <c r="O151" s="106"/>
      <c r="P151" s="111"/>
      <c r="Q151" s="108"/>
      <c r="R151" s="5"/>
      <c r="S151" s="5"/>
      <c r="T151" s="5"/>
      <c r="U151" s="5"/>
      <c r="V151" s="5"/>
      <c r="W151" s="5"/>
      <c r="X151" s="5"/>
      <c r="Y151" s="5"/>
      <c r="Z151" s="216"/>
      <c r="AA151" s="105"/>
      <c r="AB151" s="105"/>
      <c r="AC151" s="105"/>
      <c r="AD151" s="105"/>
      <c r="AE151" s="105"/>
      <c r="AF151" s="105"/>
    </row>
    <row r="152" spans="1:32" s="7" customFormat="1" x14ac:dyDescent="0.2">
      <c r="A152" s="105"/>
      <c r="B152" s="105"/>
      <c r="C152" s="105"/>
      <c r="D152" s="105"/>
      <c r="E152" s="105"/>
      <c r="F152" s="105"/>
      <c r="G152" s="105"/>
      <c r="H152" s="105"/>
      <c r="I152" s="105"/>
      <c r="J152" s="105"/>
      <c r="K152" s="105"/>
      <c r="L152" s="105"/>
      <c r="M152" s="106"/>
      <c r="N152" s="106"/>
      <c r="O152" s="106"/>
      <c r="P152" s="111"/>
      <c r="Q152" s="108"/>
      <c r="R152" s="5"/>
      <c r="S152" s="5"/>
      <c r="T152" s="5"/>
      <c r="U152" s="5"/>
      <c r="V152" s="5"/>
      <c r="W152" s="5"/>
      <c r="X152" s="5"/>
      <c r="Y152" s="5"/>
      <c r="Z152" s="216"/>
      <c r="AA152" s="105"/>
      <c r="AB152" s="105"/>
      <c r="AC152" s="105"/>
      <c r="AD152" s="105"/>
      <c r="AE152" s="105"/>
      <c r="AF152" s="105"/>
    </row>
    <row r="153" spans="1:32" s="7" customFormat="1" x14ac:dyDescent="0.2">
      <c r="A153" s="105"/>
      <c r="B153" s="105"/>
      <c r="C153" s="105"/>
      <c r="D153" s="105"/>
      <c r="E153" s="105"/>
      <c r="F153" s="105"/>
      <c r="G153" s="105"/>
      <c r="H153" s="105"/>
      <c r="I153" s="105"/>
      <c r="J153" s="105"/>
      <c r="K153" s="105"/>
      <c r="L153" s="105"/>
      <c r="M153" s="106"/>
      <c r="N153" s="106"/>
      <c r="O153" s="106"/>
      <c r="P153" s="111"/>
      <c r="Q153" s="108"/>
      <c r="R153" s="5"/>
      <c r="S153" s="5"/>
      <c r="T153" s="5"/>
      <c r="U153" s="5"/>
      <c r="V153" s="5"/>
      <c r="W153" s="5"/>
      <c r="X153" s="5"/>
      <c r="Y153" s="5"/>
      <c r="Z153" s="216"/>
      <c r="AA153" s="105"/>
      <c r="AB153" s="105"/>
      <c r="AC153" s="105"/>
      <c r="AD153" s="105"/>
      <c r="AE153" s="105"/>
      <c r="AF153" s="105"/>
    </row>
    <row r="154" spans="1:32" s="7" customFormat="1" x14ac:dyDescent="0.2">
      <c r="A154" s="105"/>
      <c r="B154" s="105"/>
      <c r="C154" s="105"/>
      <c r="D154" s="105"/>
      <c r="E154" s="105"/>
      <c r="F154" s="105"/>
      <c r="G154" s="105"/>
      <c r="H154" s="105"/>
      <c r="I154" s="105"/>
      <c r="J154" s="105"/>
      <c r="K154" s="105"/>
      <c r="L154" s="105"/>
      <c r="M154" s="106"/>
      <c r="N154" s="106"/>
      <c r="O154" s="106"/>
      <c r="P154" s="111"/>
      <c r="Q154" s="108"/>
      <c r="R154" s="5"/>
      <c r="S154" s="5"/>
      <c r="T154" s="5"/>
      <c r="U154" s="5"/>
      <c r="V154" s="5"/>
      <c r="W154" s="5"/>
      <c r="X154" s="5"/>
      <c r="Y154" s="5"/>
      <c r="Z154" s="216"/>
      <c r="AA154" s="105"/>
      <c r="AB154" s="105"/>
      <c r="AC154" s="105"/>
      <c r="AD154" s="105"/>
      <c r="AE154" s="105"/>
      <c r="AF154" s="105"/>
    </row>
    <row r="155" spans="1:32" s="7" customFormat="1" x14ac:dyDescent="0.2">
      <c r="A155" s="105"/>
      <c r="B155" s="105"/>
      <c r="C155" s="105"/>
      <c r="D155" s="105"/>
      <c r="E155" s="105"/>
      <c r="F155" s="105"/>
      <c r="G155" s="105"/>
      <c r="H155" s="105"/>
      <c r="I155" s="105"/>
      <c r="J155" s="105"/>
      <c r="K155" s="105"/>
      <c r="L155" s="105"/>
      <c r="M155" s="106"/>
      <c r="N155" s="106"/>
      <c r="O155" s="106"/>
      <c r="P155" s="111"/>
      <c r="Q155" s="108"/>
      <c r="R155" s="5"/>
      <c r="S155" s="5"/>
      <c r="T155" s="5"/>
      <c r="U155" s="5"/>
      <c r="V155" s="5"/>
      <c r="W155" s="5"/>
      <c r="X155" s="5"/>
      <c r="Y155" s="5"/>
      <c r="Z155" s="216"/>
      <c r="AA155" s="105"/>
      <c r="AB155" s="105"/>
      <c r="AC155" s="105"/>
      <c r="AD155" s="105"/>
      <c r="AE155" s="105"/>
      <c r="AF155" s="105"/>
    </row>
    <row r="156" spans="1:32" s="7" customFormat="1" x14ac:dyDescent="0.2">
      <c r="A156" s="105"/>
      <c r="B156" s="105"/>
      <c r="C156" s="105"/>
      <c r="D156" s="105"/>
      <c r="E156" s="105"/>
      <c r="F156" s="105"/>
      <c r="G156" s="105"/>
      <c r="H156" s="105"/>
      <c r="I156" s="105"/>
      <c r="J156" s="105"/>
      <c r="K156" s="105"/>
      <c r="L156" s="105"/>
      <c r="M156" s="106"/>
      <c r="N156" s="106"/>
      <c r="O156" s="106"/>
      <c r="P156" s="111"/>
      <c r="Q156" s="108"/>
      <c r="R156" s="5"/>
      <c r="S156" s="5"/>
      <c r="T156" s="5"/>
      <c r="U156" s="5"/>
      <c r="V156" s="5"/>
      <c r="W156" s="5"/>
      <c r="X156" s="5"/>
      <c r="Y156" s="5"/>
      <c r="Z156" s="216"/>
      <c r="AA156" s="105"/>
      <c r="AB156" s="105"/>
      <c r="AC156" s="105"/>
      <c r="AD156" s="105"/>
      <c r="AE156" s="105"/>
      <c r="AF156" s="105"/>
    </row>
    <row r="157" spans="1:32" s="7" customFormat="1" x14ac:dyDescent="0.2">
      <c r="A157" s="105"/>
      <c r="B157" s="105"/>
      <c r="C157" s="105"/>
      <c r="D157" s="105"/>
      <c r="E157" s="105"/>
      <c r="F157" s="105"/>
      <c r="G157" s="105"/>
      <c r="H157" s="105"/>
      <c r="I157" s="105"/>
      <c r="J157" s="105"/>
      <c r="K157" s="105"/>
      <c r="L157" s="105"/>
      <c r="M157" s="106"/>
      <c r="N157" s="106"/>
      <c r="O157" s="106"/>
      <c r="P157" s="111"/>
      <c r="Q157" s="108"/>
      <c r="R157" s="5"/>
      <c r="S157" s="5"/>
      <c r="T157" s="5"/>
      <c r="U157" s="5"/>
      <c r="V157" s="5"/>
      <c r="W157" s="5"/>
      <c r="X157" s="5"/>
      <c r="Y157" s="5"/>
      <c r="Z157" s="216"/>
      <c r="AA157" s="105"/>
      <c r="AB157" s="105"/>
      <c r="AC157" s="105"/>
      <c r="AD157" s="105"/>
      <c r="AE157" s="105"/>
      <c r="AF157" s="105"/>
    </row>
    <row r="158" spans="1:32" s="7" customFormat="1" x14ac:dyDescent="0.2">
      <c r="A158" s="105"/>
      <c r="B158" s="105"/>
      <c r="C158" s="105"/>
      <c r="D158" s="105"/>
      <c r="E158" s="105"/>
      <c r="F158" s="105"/>
      <c r="G158" s="105"/>
      <c r="H158" s="105"/>
      <c r="I158" s="105"/>
      <c r="J158" s="105"/>
      <c r="K158" s="105"/>
      <c r="L158" s="105"/>
      <c r="M158" s="106"/>
      <c r="N158" s="106"/>
      <c r="O158" s="106"/>
      <c r="P158" s="111"/>
      <c r="Q158" s="108"/>
      <c r="R158" s="5"/>
      <c r="S158" s="5"/>
      <c r="T158" s="5"/>
      <c r="U158" s="5"/>
      <c r="V158" s="5"/>
      <c r="W158" s="5"/>
      <c r="X158" s="5"/>
      <c r="Y158" s="5"/>
      <c r="Z158" s="216"/>
      <c r="AA158" s="105"/>
      <c r="AB158" s="105"/>
      <c r="AC158" s="105"/>
      <c r="AD158" s="105"/>
      <c r="AE158" s="105"/>
      <c r="AF158" s="105"/>
    </row>
    <row r="159" spans="1:32" s="7" customFormat="1" x14ac:dyDescent="0.2">
      <c r="A159" s="105"/>
      <c r="B159" s="105"/>
      <c r="C159" s="105"/>
      <c r="D159" s="105"/>
      <c r="E159" s="105"/>
      <c r="F159" s="105"/>
      <c r="G159" s="105"/>
      <c r="H159" s="105"/>
      <c r="I159" s="105"/>
      <c r="J159" s="105"/>
      <c r="K159" s="105"/>
      <c r="L159" s="105"/>
      <c r="M159" s="106"/>
      <c r="N159" s="106"/>
      <c r="O159" s="106"/>
      <c r="P159" s="111"/>
      <c r="Q159" s="108"/>
      <c r="R159" s="5"/>
      <c r="S159" s="5"/>
      <c r="T159" s="5"/>
      <c r="U159" s="5"/>
      <c r="V159" s="5"/>
      <c r="W159" s="5"/>
      <c r="X159" s="5"/>
      <c r="Y159" s="5"/>
      <c r="Z159" s="216"/>
      <c r="AA159" s="105"/>
      <c r="AB159" s="105"/>
      <c r="AC159" s="105"/>
      <c r="AD159" s="105"/>
      <c r="AE159" s="105"/>
      <c r="AF159" s="105"/>
    </row>
    <row r="160" spans="1:32" s="7" customFormat="1" x14ac:dyDescent="0.2">
      <c r="A160" s="105"/>
      <c r="B160" s="105"/>
      <c r="C160" s="105"/>
      <c r="D160" s="105"/>
      <c r="E160" s="105"/>
      <c r="F160" s="105"/>
      <c r="G160" s="105"/>
      <c r="H160" s="105"/>
      <c r="I160" s="105"/>
      <c r="J160" s="105"/>
      <c r="K160" s="105"/>
      <c r="L160" s="105"/>
      <c r="M160" s="106"/>
      <c r="N160" s="106"/>
      <c r="O160" s="106"/>
      <c r="P160" s="111"/>
      <c r="Q160" s="108"/>
      <c r="R160" s="5"/>
      <c r="S160" s="5"/>
      <c r="T160" s="5"/>
      <c r="U160" s="5"/>
      <c r="V160" s="5"/>
      <c r="W160" s="5"/>
      <c r="X160" s="5"/>
      <c r="Y160" s="5"/>
      <c r="Z160" s="216"/>
      <c r="AA160" s="105"/>
      <c r="AB160" s="105"/>
      <c r="AC160" s="105"/>
      <c r="AD160" s="105"/>
      <c r="AE160" s="105"/>
      <c r="AF160" s="105"/>
    </row>
    <row r="161" spans="1:32" s="7" customFormat="1" x14ac:dyDescent="0.2">
      <c r="A161" s="105"/>
      <c r="B161" s="105"/>
      <c r="C161" s="105"/>
      <c r="D161" s="105"/>
      <c r="E161" s="105"/>
      <c r="F161" s="105"/>
      <c r="G161" s="105"/>
      <c r="H161" s="105"/>
      <c r="I161" s="105"/>
      <c r="J161" s="105"/>
      <c r="K161" s="105"/>
      <c r="L161" s="105"/>
      <c r="M161" s="106"/>
      <c r="N161" s="106"/>
      <c r="O161" s="106"/>
      <c r="P161" s="111"/>
      <c r="Q161" s="108"/>
      <c r="R161" s="5"/>
      <c r="S161" s="5"/>
      <c r="T161" s="5"/>
      <c r="U161" s="5"/>
      <c r="V161" s="5"/>
      <c r="W161" s="5"/>
      <c r="X161" s="5"/>
      <c r="Y161" s="5"/>
      <c r="Z161" s="216"/>
      <c r="AA161" s="105"/>
      <c r="AB161" s="105"/>
      <c r="AC161" s="105"/>
      <c r="AD161" s="105"/>
      <c r="AE161" s="105"/>
      <c r="AF161" s="105"/>
    </row>
    <row r="162" spans="1:32" s="7" customFormat="1" x14ac:dyDescent="0.2">
      <c r="A162" s="105"/>
      <c r="B162" s="105"/>
      <c r="C162" s="105"/>
      <c r="D162" s="105"/>
      <c r="E162" s="105"/>
      <c r="F162" s="105"/>
      <c r="G162" s="105"/>
      <c r="H162" s="105"/>
      <c r="I162" s="105"/>
      <c r="J162" s="105"/>
      <c r="K162" s="105"/>
      <c r="L162" s="105"/>
      <c r="M162" s="106"/>
      <c r="N162" s="106"/>
      <c r="O162" s="106"/>
      <c r="P162" s="111"/>
      <c r="Q162" s="108"/>
      <c r="R162" s="5"/>
      <c r="S162" s="5"/>
      <c r="T162" s="5"/>
      <c r="U162" s="5"/>
      <c r="V162" s="5"/>
      <c r="W162" s="5"/>
      <c r="X162" s="5"/>
      <c r="Y162" s="5"/>
      <c r="Z162" s="216"/>
      <c r="AA162" s="105"/>
      <c r="AB162" s="105"/>
      <c r="AC162" s="105"/>
      <c r="AD162" s="105"/>
      <c r="AE162" s="105"/>
      <c r="AF162" s="105"/>
    </row>
    <row r="163" spans="1:32" s="7" customFormat="1" x14ac:dyDescent="0.2">
      <c r="A163" s="105"/>
      <c r="B163" s="105"/>
      <c r="C163" s="105"/>
      <c r="D163" s="105"/>
      <c r="E163" s="105"/>
      <c r="F163" s="105"/>
      <c r="G163" s="105"/>
      <c r="H163" s="105"/>
      <c r="I163" s="105"/>
      <c r="J163" s="105"/>
      <c r="K163" s="105"/>
      <c r="L163" s="105"/>
      <c r="M163" s="106"/>
      <c r="N163" s="106"/>
      <c r="O163" s="106"/>
      <c r="P163" s="111"/>
      <c r="Q163" s="108"/>
      <c r="R163" s="5"/>
      <c r="S163" s="5"/>
      <c r="T163" s="5"/>
      <c r="U163" s="5"/>
      <c r="V163" s="5"/>
      <c r="W163" s="5"/>
      <c r="X163" s="5"/>
      <c r="Y163" s="5"/>
      <c r="Z163" s="216"/>
      <c r="AA163" s="105"/>
      <c r="AB163" s="105"/>
      <c r="AC163" s="105"/>
      <c r="AD163" s="105"/>
      <c r="AE163" s="105"/>
      <c r="AF163" s="105"/>
    </row>
    <row r="164" spans="1:32" s="7" customFormat="1" x14ac:dyDescent="0.2">
      <c r="A164" s="105"/>
      <c r="B164" s="105"/>
      <c r="C164" s="105"/>
      <c r="D164" s="105"/>
      <c r="E164" s="105"/>
      <c r="F164" s="105"/>
      <c r="G164" s="105"/>
      <c r="H164" s="105"/>
      <c r="I164" s="105"/>
      <c r="J164" s="105"/>
      <c r="K164" s="105"/>
      <c r="L164" s="105"/>
      <c r="M164" s="106"/>
      <c r="N164" s="106"/>
      <c r="O164" s="106"/>
      <c r="P164" s="111"/>
      <c r="Q164" s="108"/>
      <c r="R164" s="5"/>
      <c r="S164" s="5"/>
      <c r="T164" s="5"/>
      <c r="U164" s="5"/>
      <c r="V164" s="5"/>
      <c r="W164" s="5"/>
      <c r="X164" s="5"/>
      <c r="Y164" s="5"/>
      <c r="Z164" s="216"/>
      <c r="AA164" s="105"/>
      <c r="AB164" s="105"/>
      <c r="AC164" s="105"/>
      <c r="AD164" s="105"/>
      <c r="AE164" s="105"/>
      <c r="AF164" s="105"/>
    </row>
    <row r="165" spans="1:32" s="7" customFormat="1" x14ac:dyDescent="0.2">
      <c r="A165" s="105"/>
      <c r="B165" s="105"/>
      <c r="C165" s="105"/>
      <c r="D165" s="105"/>
      <c r="E165" s="105"/>
      <c r="F165" s="105"/>
      <c r="G165" s="105"/>
      <c r="H165" s="105"/>
      <c r="I165" s="105"/>
      <c r="J165" s="105"/>
      <c r="K165" s="105"/>
      <c r="L165" s="105"/>
      <c r="M165" s="106"/>
      <c r="N165" s="106"/>
      <c r="O165" s="106"/>
      <c r="P165" s="111"/>
      <c r="Q165" s="108"/>
      <c r="R165" s="5"/>
      <c r="S165" s="5"/>
      <c r="T165" s="5"/>
      <c r="U165" s="5"/>
      <c r="V165" s="5"/>
      <c r="W165" s="5"/>
      <c r="X165" s="5"/>
      <c r="Y165" s="5"/>
      <c r="Z165" s="216"/>
      <c r="AA165" s="105"/>
      <c r="AB165" s="105"/>
      <c r="AC165" s="105"/>
      <c r="AD165" s="105"/>
      <c r="AE165" s="105"/>
      <c r="AF165" s="105"/>
    </row>
    <row r="166" spans="1:32" s="7" customFormat="1" x14ac:dyDescent="0.2">
      <c r="A166" s="105"/>
      <c r="B166" s="105"/>
      <c r="C166" s="105"/>
      <c r="D166" s="105"/>
      <c r="E166" s="105"/>
      <c r="F166" s="105"/>
      <c r="G166" s="105"/>
      <c r="H166" s="105"/>
      <c r="I166" s="105"/>
      <c r="J166" s="105"/>
      <c r="K166" s="105"/>
      <c r="L166" s="105"/>
      <c r="M166" s="106"/>
      <c r="N166" s="106"/>
      <c r="O166" s="106"/>
      <c r="P166" s="111"/>
      <c r="Q166" s="108"/>
      <c r="R166" s="5"/>
      <c r="S166" s="5"/>
      <c r="T166" s="5"/>
      <c r="U166" s="5"/>
      <c r="V166" s="5"/>
      <c r="W166" s="5"/>
      <c r="X166" s="5"/>
      <c r="Y166" s="5"/>
      <c r="Z166" s="216"/>
      <c r="AA166" s="105"/>
      <c r="AB166" s="105"/>
      <c r="AC166" s="105"/>
      <c r="AD166" s="105"/>
      <c r="AE166" s="105"/>
      <c r="AF166" s="105"/>
    </row>
    <row r="167" spans="1:32" s="7" customFormat="1" x14ac:dyDescent="0.2">
      <c r="A167" s="105"/>
      <c r="B167" s="105"/>
      <c r="C167" s="105"/>
      <c r="D167" s="105"/>
      <c r="E167" s="105"/>
      <c r="F167" s="105"/>
      <c r="G167" s="105"/>
      <c r="H167" s="105"/>
      <c r="I167" s="105"/>
      <c r="J167" s="105"/>
      <c r="K167" s="105"/>
      <c r="L167" s="105"/>
      <c r="M167" s="106"/>
      <c r="N167" s="106"/>
      <c r="O167" s="106"/>
      <c r="P167" s="111"/>
      <c r="Q167" s="108"/>
      <c r="R167" s="5"/>
      <c r="S167" s="5"/>
      <c r="T167" s="5"/>
      <c r="U167" s="5"/>
      <c r="V167" s="5"/>
      <c r="W167" s="5"/>
      <c r="X167" s="5"/>
      <c r="Y167" s="5"/>
      <c r="Z167" s="216"/>
      <c r="AA167" s="105"/>
      <c r="AB167" s="105"/>
      <c r="AC167" s="105"/>
      <c r="AD167" s="105"/>
      <c r="AE167" s="105"/>
      <c r="AF167" s="105"/>
    </row>
    <row r="168" spans="1:32" s="7" customFormat="1" x14ac:dyDescent="0.2">
      <c r="A168" s="105"/>
      <c r="B168" s="105"/>
      <c r="C168" s="105"/>
      <c r="D168" s="105"/>
      <c r="E168" s="105"/>
      <c r="F168" s="105"/>
      <c r="G168" s="105"/>
      <c r="H168" s="105"/>
      <c r="I168" s="105"/>
      <c r="J168" s="105"/>
      <c r="K168" s="105"/>
      <c r="L168" s="105"/>
      <c r="M168" s="106"/>
      <c r="N168" s="106"/>
      <c r="O168" s="106"/>
      <c r="P168" s="111"/>
      <c r="Q168" s="108"/>
      <c r="R168" s="5"/>
      <c r="S168" s="5"/>
      <c r="T168" s="5"/>
      <c r="U168" s="5"/>
      <c r="V168" s="5"/>
      <c r="W168" s="5"/>
      <c r="X168" s="5"/>
      <c r="Y168" s="5"/>
      <c r="Z168" s="216"/>
      <c r="AA168" s="105"/>
      <c r="AB168" s="105"/>
      <c r="AC168" s="105"/>
      <c r="AD168" s="105"/>
      <c r="AE168" s="105"/>
      <c r="AF168" s="105"/>
    </row>
    <row r="169" spans="1:32" s="7" customFormat="1" x14ac:dyDescent="0.2">
      <c r="A169" s="105"/>
      <c r="B169" s="105"/>
      <c r="C169" s="105"/>
      <c r="D169" s="105"/>
      <c r="E169" s="105"/>
      <c r="F169" s="105"/>
      <c r="G169" s="105"/>
      <c r="H169" s="105"/>
      <c r="I169" s="105"/>
      <c r="J169" s="105"/>
      <c r="K169" s="105"/>
      <c r="L169" s="105"/>
      <c r="M169" s="106"/>
      <c r="N169" s="106"/>
      <c r="O169" s="106"/>
      <c r="P169" s="111"/>
      <c r="Q169" s="108"/>
      <c r="R169" s="5"/>
      <c r="S169" s="5"/>
      <c r="T169" s="5"/>
      <c r="U169" s="5"/>
      <c r="V169" s="5"/>
      <c r="W169" s="5"/>
      <c r="X169" s="5"/>
      <c r="Y169" s="5"/>
      <c r="Z169" s="216"/>
      <c r="AA169" s="105"/>
      <c r="AB169" s="105"/>
      <c r="AC169" s="105"/>
      <c r="AD169" s="105"/>
      <c r="AE169" s="105"/>
      <c r="AF169" s="105"/>
    </row>
    <row r="170" spans="1:32" s="7" customFormat="1" x14ac:dyDescent="0.2">
      <c r="A170" s="105"/>
      <c r="B170" s="105"/>
      <c r="C170" s="105"/>
      <c r="D170" s="105"/>
      <c r="E170" s="105"/>
      <c r="F170" s="105"/>
      <c r="G170" s="105"/>
      <c r="H170" s="105"/>
      <c r="I170" s="105"/>
      <c r="J170" s="105"/>
      <c r="K170" s="105"/>
      <c r="L170" s="105"/>
      <c r="M170" s="106"/>
      <c r="N170" s="106"/>
      <c r="O170" s="106"/>
      <c r="P170" s="111"/>
      <c r="Q170" s="108"/>
      <c r="R170" s="5"/>
      <c r="S170" s="5"/>
      <c r="T170" s="5"/>
      <c r="U170" s="5"/>
      <c r="V170" s="5"/>
      <c r="W170" s="5"/>
      <c r="X170" s="5"/>
      <c r="Y170" s="5"/>
      <c r="Z170" s="216"/>
      <c r="AA170" s="105"/>
      <c r="AB170" s="105"/>
      <c r="AC170" s="105"/>
      <c r="AD170" s="105"/>
      <c r="AE170" s="105"/>
      <c r="AF170" s="105"/>
    </row>
    <row r="171" spans="1:32" s="7" customFormat="1" x14ac:dyDescent="0.2">
      <c r="A171" s="105"/>
      <c r="B171" s="105"/>
      <c r="C171" s="105"/>
      <c r="D171" s="105"/>
      <c r="E171" s="105"/>
      <c r="F171" s="105"/>
      <c r="G171" s="105"/>
      <c r="H171" s="105"/>
      <c r="I171" s="105"/>
      <c r="J171" s="105"/>
      <c r="K171" s="105"/>
      <c r="L171" s="105"/>
      <c r="M171" s="106"/>
      <c r="N171" s="106"/>
      <c r="O171" s="106"/>
      <c r="P171" s="111"/>
      <c r="Q171" s="108"/>
      <c r="R171" s="5"/>
      <c r="S171" s="5"/>
      <c r="T171" s="5"/>
      <c r="U171" s="5"/>
      <c r="V171" s="5"/>
      <c r="W171" s="5"/>
      <c r="X171" s="5"/>
      <c r="Y171" s="5"/>
      <c r="Z171" s="216"/>
      <c r="AA171" s="105"/>
      <c r="AB171" s="105"/>
      <c r="AC171" s="105"/>
      <c r="AD171" s="105"/>
      <c r="AE171" s="105"/>
      <c r="AF171" s="105"/>
    </row>
    <row r="172" spans="1:32" s="7" customFormat="1" x14ac:dyDescent="0.2">
      <c r="A172" s="105"/>
      <c r="B172" s="105"/>
      <c r="C172" s="105"/>
      <c r="D172" s="105"/>
      <c r="E172" s="105"/>
      <c r="F172" s="105"/>
      <c r="G172" s="105"/>
      <c r="H172" s="105"/>
      <c r="I172" s="105"/>
      <c r="J172" s="105"/>
      <c r="K172" s="105"/>
      <c r="L172" s="105"/>
      <c r="M172" s="106"/>
      <c r="N172" s="106"/>
      <c r="O172" s="106"/>
      <c r="P172" s="111"/>
      <c r="Q172" s="108"/>
      <c r="R172" s="5"/>
      <c r="S172" s="5"/>
      <c r="T172" s="5"/>
      <c r="U172" s="5"/>
      <c r="V172" s="5"/>
      <c r="W172" s="5"/>
      <c r="X172" s="5"/>
      <c r="Y172" s="5"/>
      <c r="Z172" s="216"/>
      <c r="AA172" s="105"/>
      <c r="AB172" s="105"/>
      <c r="AC172" s="105"/>
      <c r="AD172" s="105"/>
      <c r="AE172" s="105"/>
      <c r="AF172" s="105"/>
    </row>
    <row r="173" spans="1:32" s="7" customFormat="1" x14ac:dyDescent="0.2">
      <c r="A173" s="105"/>
      <c r="B173" s="105"/>
      <c r="C173" s="105"/>
      <c r="D173" s="105"/>
      <c r="E173" s="105"/>
      <c r="F173" s="105"/>
      <c r="G173" s="105"/>
      <c r="H173" s="105"/>
      <c r="I173" s="105"/>
      <c r="J173" s="105"/>
      <c r="K173" s="105"/>
      <c r="L173" s="105"/>
      <c r="M173" s="106"/>
      <c r="N173" s="106"/>
      <c r="O173" s="106"/>
      <c r="P173" s="111"/>
      <c r="Q173" s="108"/>
      <c r="R173" s="5"/>
      <c r="S173" s="5"/>
      <c r="T173" s="5"/>
      <c r="U173" s="5"/>
      <c r="V173" s="5"/>
      <c r="W173" s="5"/>
      <c r="X173" s="5"/>
      <c r="Y173" s="5"/>
      <c r="Z173" s="216"/>
      <c r="AA173" s="105"/>
      <c r="AB173" s="105"/>
      <c r="AC173" s="105"/>
      <c r="AD173" s="105"/>
      <c r="AE173" s="105"/>
      <c r="AF173" s="105"/>
    </row>
    <row r="174" spans="1:32" s="7" customFormat="1" x14ac:dyDescent="0.2">
      <c r="A174" s="105"/>
      <c r="B174" s="105"/>
      <c r="C174" s="105"/>
      <c r="D174" s="105"/>
      <c r="E174" s="105"/>
      <c r="F174" s="105"/>
      <c r="G174" s="105"/>
      <c r="H174" s="105"/>
      <c r="I174" s="105"/>
      <c r="J174" s="105"/>
      <c r="K174" s="105"/>
      <c r="L174" s="105"/>
      <c r="M174" s="106"/>
      <c r="N174" s="106"/>
      <c r="O174" s="106"/>
      <c r="P174" s="111"/>
      <c r="Q174" s="108"/>
      <c r="R174" s="5"/>
      <c r="S174" s="5"/>
      <c r="T174" s="5"/>
      <c r="U174" s="5"/>
      <c r="V174" s="5"/>
      <c r="W174" s="5"/>
      <c r="X174" s="5"/>
      <c r="Y174" s="5"/>
      <c r="Z174" s="216"/>
      <c r="AA174" s="105"/>
      <c r="AB174" s="105"/>
      <c r="AC174" s="105"/>
      <c r="AD174" s="105"/>
      <c r="AE174" s="105"/>
      <c r="AF174" s="105"/>
    </row>
    <row r="175" spans="1:32" s="7" customFormat="1" x14ac:dyDescent="0.2">
      <c r="A175" s="105"/>
      <c r="B175" s="105"/>
      <c r="C175" s="105"/>
      <c r="D175" s="105"/>
      <c r="E175" s="105"/>
      <c r="F175" s="105"/>
      <c r="G175" s="105"/>
      <c r="H175" s="105"/>
      <c r="I175" s="105"/>
      <c r="J175" s="105"/>
      <c r="K175" s="105"/>
      <c r="L175" s="105"/>
      <c r="M175" s="106"/>
      <c r="N175" s="106"/>
      <c r="O175" s="106"/>
      <c r="P175" s="111"/>
      <c r="Q175" s="108"/>
      <c r="R175" s="5"/>
      <c r="S175" s="5"/>
      <c r="T175" s="5"/>
      <c r="U175" s="5"/>
      <c r="V175" s="5"/>
      <c r="W175" s="5"/>
      <c r="X175" s="5"/>
      <c r="Y175" s="5"/>
      <c r="Z175" s="216"/>
      <c r="AA175" s="105"/>
      <c r="AB175" s="105"/>
      <c r="AC175" s="105"/>
      <c r="AD175" s="105"/>
      <c r="AE175" s="105"/>
      <c r="AF175" s="105"/>
    </row>
    <row r="176" spans="1:32" s="7" customFormat="1" x14ac:dyDescent="0.2">
      <c r="A176" s="105"/>
      <c r="B176" s="105"/>
      <c r="C176" s="105"/>
      <c r="D176" s="105"/>
      <c r="E176" s="105"/>
      <c r="F176" s="105"/>
      <c r="G176" s="105"/>
      <c r="H176" s="105"/>
      <c r="I176" s="105"/>
      <c r="J176" s="105"/>
      <c r="K176" s="105"/>
      <c r="L176" s="105"/>
      <c r="M176" s="106"/>
      <c r="N176" s="106"/>
      <c r="O176" s="106"/>
      <c r="P176" s="111"/>
      <c r="Q176" s="108"/>
      <c r="R176" s="5"/>
      <c r="S176" s="5"/>
      <c r="T176" s="5"/>
      <c r="U176" s="5"/>
      <c r="V176" s="5"/>
      <c r="W176" s="5"/>
      <c r="X176" s="5"/>
      <c r="Y176" s="5"/>
      <c r="Z176" s="216"/>
      <c r="AA176" s="105"/>
      <c r="AB176" s="105"/>
      <c r="AC176" s="105"/>
      <c r="AD176" s="105"/>
      <c r="AE176" s="105"/>
      <c r="AF176" s="105"/>
    </row>
    <row r="177" spans="1:32" s="7" customFormat="1" x14ac:dyDescent="0.2">
      <c r="A177" s="105"/>
      <c r="B177" s="105"/>
      <c r="C177" s="105"/>
      <c r="D177" s="105"/>
      <c r="E177" s="105"/>
      <c r="F177" s="105"/>
      <c r="G177" s="105"/>
      <c r="H177" s="105"/>
      <c r="I177" s="105"/>
      <c r="J177" s="105"/>
      <c r="K177" s="105"/>
      <c r="L177" s="105"/>
      <c r="M177" s="106"/>
      <c r="N177" s="106"/>
      <c r="O177" s="106"/>
      <c r="P177" s="111"/>
      <c r="Q177" s="108"/>
      <c r="R177" s="5"/>
      <c r="S177" s="5"/>
      <c r="T177" s="5"/>
      <c r="U177" s="5"/>
      <c r="V177" s="5"/>
      <c r="W177" s="5"/>
      <c r="X177" s="5"/>
      <c r="Y177" s="5"/>
      <c r="Z177" s="216"/>
      <c r="AA177" s="105"/>
      <c r="AB177" s="105"/>
      <c r="AC177" s="105"/>
      <c r="AD177" s="105"/>
      <c r="AE177" s="105"/>
      <c r="AF177" s="105"/>
    </row>
    <row r="178" spans="1:32" s="7" customFormat="1" x14ac:dyDescent="0.2">
      <c r="A178" s="105"/>
      <c r="B178" s="105"/>
      <c r="C178" s="105"/>
      <c r="D178" s="105"/>
      <c r="E178" s="105"/>
      <c r="F178" s="105"/>
      <c r="G178" s="105"/>
      <c r="H178" s="105"/>
      <c r="I178" s="105"/>
      <c r="J178" s="105"/>
      <c r="K178" s="105"/>
      <c r="L178" s="105"/>
      <c r="M178" s="106"/>
      <c r="N178" s="106"/>
      <c r="O178" s="106"/>
      <c r="P178" s="111"/>
      <c r="Q178" s="108"/>
      <c r="R178" s="5"/>
      <c r="S178" s="5"/>
      <c r="T178" s="5"/>
      <c r="U178" s="5"/>
      <c r="V178" s="5"/>
      <c r="W178" s="5"/>
      <c r="X178" s="5"/>
      <c r="Y178" s="5"/>
      <c r="Z178" s="216"/>
      <c r="AA178" s="105"/>
      <c r="AB178" s="105"/>
      <c r="AC178" s="105"/>
      <c r="AD178" s="105"/>
      <c r="AE178" s="105"/>
      <c r="AF178" s="105"/>
    </row>
    <row r="179" spans="1:32" s="7" customFormat="1" x14ac:dyDescent="0.2">
      <c r="A179" s="105"/>
      <c r="B179" s="105"/>
      <c r="C179" s="105"/>
      <c r="D179" s="105"/>
      <c r="E179" s="105"/>
      <c r="F179" s="105"/>
      <c r="G179" s="105"/>
      <c r="H179" s="105"/>
      <c r="I179" s="105"/>
      <c r="J179" s="105"/>
      <c r="K179" s="105"/>
      <c r="L179" s="105"/>
      <c r="M179" s="106"/>
      <c r="N179" s="106"/>
      <c r="O179" s="106"/>
      <c r="P179" s="111"/>
      <c r="Q179" s="108"/>
      <c r="R179" s="5"/>
      <c r="S179" s="5"/>
      <c r="T179" s="5"/>
      <c r="U179" s="5"/>
      <c r="V179" s="5"/>
      <c r="W179" s="5"/>
      <c r="X179" s="5"/>
      <c r="Y179" s="5"/>
      <c r="Z179" s="216"/>
      <c r="AA179" s="105"/>
      <c r="AB179" s="105"/>
      <c r="AC179" s="105"/>
      <c r="AD179" s="105"/>
      <c r="AE179" s="105"/>
      <c r="AF179" s="105"/>
    </row>
    <row r="180" spans="1:32" s="7" customFormat="1" x14ac:dyDescent="0.2">
      <c r="A180" s="105"/>
      <c r="B180" s="105"/>
      <c r="C180" s="105"/>
      <c r="D180" s="105"/>
      <c r="E180" s="105"/>
      <c r="F180" s="105"/>
      <c r="G180" s="105"/>
      <c r="H180" s="105"/>
      <c r="I180" s="105"/>
      <c r="J180" s="105"/>
      <c r="K180" s="105"/>
      <c r="L180" s="105"/>
      <c r="M180" s="106"/>
      <c r="N180" s="106"/>
      <c r="O180" s="106"/>
      <c r="P180" s="111"/>
      <c r="Q180" s="108"/>
      <c r="R180" s="5"/>
      <c r="S180" s="5"/>
      <c r="T180" s="5"/>
      <c r="U180" s="5"/>
      <c r="V180" s="5"/>
      <c r="W180" s="5"/>
      <c r="X180" s="5"/>
      <c r="Y180" s="5"/>
      <c r="Z180" s="216"/>
      <c r="AA180" s="105"/>
      <c r="AB180" s="105"/>
      <c r="AC180" s="105"/>
      <c r="AD180" s="105"/>
      <c r="AE180" s="105"/>
      <c r="AF180" s="105"/>
    </row>
    <row r="181" spans="1:32" s="7" customFormat="1" x14ac:dyDescent="0.2">
      <c r="A181" s="105"/>
      <c r="B181" s="105"/>
      <c r="C181" s="105"/>
      <c r="D181" s="105"/>
      <c r="E181" s="105"/>
      <c r="F181" s="105"/>
      <c r="G181" s="105"/>
      <c r="H181" s="105"/>
      <c r="I181" s="105"/>
      <c r="J181" s="105"/>
      <c r="K181" s="105"/>
      <c r="L181" s="105"/>
      <c r="M181" s="106"/>
      <c r="N181" s="106"/>
      <c r="O181" s="106"/>
      <c r="P181" s="111"/>
      <c r="Q181" s="108"/>
      <c r="R181" s="5"/>
      <c r="S181" s="5"/>
      <c r="T181" s="5"/>
      <c r="U181" s="5"/>
      <c r="V181" s="5"/>
      <c r="W181" s="5"/>
      <c r="X181" s="5"/>
      <c r="Y181" s="5"/>
      <c r="Z181" s="216"/>
      <c r="AA181" s="105"/>
      <c r="AB181" s="105"/>
      <c r="AC181" s="105"/>
      <c r="AD181" s="105"/>
      <c r="AE181" s="105"/>
      <c r="AF181" s="105"/>
    </row>
    <row r="182" spans="1:32" s="7" customFormat="1" x14ac:dyDescent="0.2">
      <c r="A182" s="105"/>
      <c r="B182" s="105"/>
      <c r="C182" s="105"/>
      <c r="D182" s="105"/>
      <c r="E182" s="105"/>
      <c r="F182" s="105"/>
      <c r="G182" s="105"/>
      <c r="H182" s="105"/>
      <c r="I182" s="105"/>
      <c r="J182" s="105"/>
      <c r="K182" s="105"/>
      <c r="L182" s="105"/>
      <c r="M182" s="106"/>
      <c r="N182" s="106"/>
      <c r="O182" s="106"/>
      <c r="P182" s="111"/>
      <c r="Q182" s="108"/>
      <c r="R182" s="5"/>
      <c r="S182" s="5"/>
      <c r="T182" s="5"/>
      <c r="U182" s="5"/>
      <c r="V182" s="5"/>
      <c r="W182" s="5"/>
      <c r="X182" s="5"/>
      <c r="Y182" s="5"/>
      <c r="Z182" s="216"/>
      <c r="AA182" s="105"/>
      <c r="AB182" s="105"/>
      <c r="AC182" s="105"/>
      <c r="AD182" s="105"/>
      <c r="AE182" s="105"/>
      <c r="AF182" s="105"/>
    </row>
    <row r="183" spans="1:32" s="7" customFormat="1" x14ac:dyDescent="0.2">
      <c r="A183" s="105"/>
      <c r="B183" s="105"/>
      <c r="C183" s="105"/>
      <c r="D183" s="105"/>
      <c r="E183" s="105"/>
      <c r="F183" s="105"/>
      <c r="G183" s="105"/>
      <c r="H183" s="105"/>
      <c r="I183" s="105"/>
      <c r="J183" s="105"/>
      <c r="K183" s="105"/>
      <c r="L183" s="105"/>
      <c r="M183" s="106"/>
      <c r="N183" s="106"/>
      <c r="O183" s="106"/>
      <c r="P183" s="111"/>
      <c r="Q183" s="108"/>
      <c r="R183" s="5"/>
      <c r="S183" s="5"/>
      <c r="T183" s="5"/>
      <c r="U183" s="5"/>
      <c r="V183" s="5"/>
      <c r="W183" s="5"/>
      <c r="X183" s="5"/>
      <c r="Y183" s="5"/>
      <c r="Z183" s="216"/>
      <c r="AA183" s="105"/>
      <c r="AB183" s="105"/>
      <c r="AC183" s="105"/>
      <c r="AD183" s="105"/>
      <c r="AE183" s="105"/>
      <c r="AF183" s="105"/>
    </row>
    <row r="184" spans="1:32" s="7" customFormat="1" x14ac:dyDescent="0.2">
      <c r="A184" s="105"/>
      <c r="B184" s="105"/>
      <c r="C184" s="105"/>
      <c r="D184" s="105"/>
      <c r="E184" s="105"/>
      <c r="F184" s="105"/>
      <c r="G184" s="105"/>
      <c r="H184" s="105"/>
      <c r="I184" s="105"/>
      <c r="J184" s="105"/>
      <c r="K184" s="105"/>
      <c r="L184" s="105"/>
      <c r="M184" s="106"/>
      <c r="N184" s="106"/>
      <c r="O184" s="106"/>
      <c r="P184" s="111"/>
      <c r="Q184" s="108"/>
      <c r="R184" s="5"/>
      <c r="S184" s="5"/>
      <c r="T184" s="5"/>
      <c r="U184" s="5"/>
      <c r="V184" s="5"/>
      <c r="W184" s="5"/>
      <c r="X184" s="5"/>
      <c r="Y184" s="5"/>
      <c r="Z184" s="216"/>
      <c r="AA184" s="105"/>
      <c r="AB184" s="105"/>
      <c r="AC184" s="105"/>
      <c r="AD184" s="105"/>
      <c r="AE184" s="105"/>
      <c r="AF184" s="105"/>
    </row>
    <row r="185" spans="1:32" s="7" customFormat="1" x14ac:dyDescent="0.2">
      <c r="A185" s="105"/>
      <c r="B185" s="105"/>
      <c r="C185" s="105"/>
      <c r="D185" s="105"/>
      <c r="E185" s="105"/>
      <c r="F185" s="105"/>
      <c r="G185" s="105"/>
      <c r="H185" s="105"/>
      <c r="I185" s="105"/>
      <c r="J185" s="105"/>
      <c r="K185" s="105"/>
      <c r="L185" s="105"/>
      <c r="M185" s="106"/>
      <c r="N185" s="106"/>
      <c r="O185" s="106"/>
      <c r="P185" s="111"/>
      <c r="Q185" s="108"/>
      <c r="R185" s="5"/>
      <c r="S185" s="5"/>
      <c r="T185" s="5"/>
      <c r="U185" s="5"/>
      <c r="V185" s="5"/>
      <c r="W185" s="5"/>
      <c r="X185" s="5"/>
      <c r="Y185" s="5"/>
      <c r="Z185" s="216"/>
      <c r="AA185" s="105"/>
      <c r="AB185" s="105"/>
      <c r="AC185" s="105"/>
      <c r="AD185" s="105"/>
      <c r="AE185" s="105"/>
      <c r="AF185" s="105"/>
    </row>
    <row r="186" spans="1:32" s="7" customFormat="1" x14ac:dyDescent="0.2">
      <c r="A186" s="105"/>
      <c r="B186" s="105"/>
      <c r="C186" s="105"/>
      <c r="D186" s="105"/>
      <c r="E186" s="105"/>
      <c r="F186" s="105"/>
      <c r="G186" s="105"/>
      <c r="H186" s="105"/>
      <c r="I186" s="105"/>
      <c r="J186" s="105"/>
      <c r="K186" s="105"/>
      <c r="L186" s="105"/>
      <c r="M186" s="106"/>
      <c r="N186" s="106"/>
      <c r="O186" s="106"/>
      <c r="P186" s="111"/>
      <c r="Q186" s="108"/>
      <c r="R186" s="5"/>
      <c r="S186" s="5"/>
      <c r="T186" s="5"/>
      <c r="U186" s="5"/>
      <c r="V186" s="5"/>
      <c r="W186" s="5"/>
      <c r="X186" s="5"/>
      <c r="Y186" s="5"/>
      <c r="Z186" s="216"/>
      <c r="AA186" s="105"/>
      <c r="AB186" s="105"/>
      <c r="AC186" s="105"/>
      <c r="AD186" s="105"/>
      <c r="AE186" s="105"/>
      <c r="AF186" s="105"/>
    </row>
    <row r="187" spans="1:32" s="7" customFormat="1" x14ac:dyDescent="0.2">
      <c r="A187" s="105"/>
      <c r="B187" s="105"/>
      <c r="C187" s="105"/>
      <c r="D187" s="105"/>
      <c r="E187" s="105"/>
      <c r="F187" s="105"/>
      <c r="G187" s="105"/>
      <c r="H187" s="105"/>
      <c r="I187" s="105"/>
      <c r="J187" s="105"/>
      <c r="K187" s="105"/>
      <c r="L187" s="105"/>
      <c r="M187" s="106"/>
      <c r="N187" s="106"/>
      <c r="O187" s="106"/>
      <c r="P187" s="111"/>
      <c r="Q187" s="108"/>
      <c r="R187" s="5"/>
      <c r="S187" s="5"/>
      <c r="T187" s="5"/>
      <c r="U187" s="5"/>
      <c r="V187" s="5"/>
      <c r="W187" s="5"/>
      <c r="X187" s="5"/>
      <c r="Y187" s="5"/>
      <c r="Z187" s="216"/>
      <c r="AA187" s="105"/>
      <c r="AB187" s="105"/>
      <c r="AC187" s="105"/>
      <c r="AD187" s="105"/>
      <c r="AE187" s="105"/>
      <c r="AF187" s="105"/>
    </row>
    <row r="188" spans="1:32" s="7" customFormat="1" x14ac:dyDescent="0.2">
      <c r="A188" s="105"/>
      <c r="B188" s="105"/>
      <c r="C188" s="105"/>
      <c r="D188" s="105"/>
      <c r="E188" s="105"/>
      <c r="F188" s="105"/>
      <c r="G188" s="105"/>
      <c r="H188" s="105"/>
      <c r="I188" s="105"/>
      <c r="J188" s="105"/>
      <c r="K188" s="105"/>
      <c r="L188" s="105"/>
      <c r="M188" s="106"/>
      <c r="N188" s="106"/>
      <c r="O188" s="106"/>
      <c r="P188" s="111"/>
      <c r="Q188" s="108"/>
      <c r="R188" s="5"/>
      <c r="S188" s="5"/>
      <c r="T188" s="5"/>
      <c r="U188" s="5"/>
      <c r="V188" s="5"/>
      <c r="W188" s="5"/>
      <c r="X188" s="5"/>
      <c r="Y188" s="5"/>
      <c r="Z188" s="216"/>
      <c r="AA188" s="105"/>
      <c r="AB188" s="105"/>
      <c r="AC188" s="105"/>
      <c r="AD188" s="105"/>
      <c r="AE188" s="105"/>
      <c r="AF188" s="105"/>
    </row>
    <row r="189" spans="1:32" s="7" customFormat="1" x14ac:dyDescent="0.2">
      <c r="A189" s="105"/>
      <c r="B189" s="105"/>
      <c r="C189" s="105"/>
      <c r="D189" s="105"/>
      <c r="E189" s="105"/>
      <c r="F189" s="105"/>
      <c r="G189" s="105"/>
      <c r="H189" s="105"/>
      <c r="I189" s="105"/>
      <c r="J189" s="105"/>
      <c r="K189" s="105"/>
      <c r="L189" s="105"/>
      <c r="M189" s="106"/>
      <c r="N189" s="106"/>
      <c r="O189" s="106"/>
      <c r="P189" s="111"/>
      <c r="Q189" s="108"/>
      <c r="R189" s="5"/>
      <c r="S189" s="5"/>
      <c r="T189" s="5"/>
      <c r="U189" s="5"/>
      <c r="V189" s="5"/>
      <c r="W189" s="5"/>
      <c r="X189" s="5"/>
      <c r="Y189" s="5"/>
      <c r="Z189" s="216"/>
      <c r="AA189" s="105"/>
      <c r="AB189" s="105"/>
      <c r="AC189" s="105"/>
      <c r="AD189" s="105"/>
      <c r="AE189" s="105"/>
      <c r="AF189" s="105"/>
    </row>
    <row r="190" spans="1:32" s="7" customFormat="1" x14ac:dyDescent="0.2">
      <c r="A190" s="105"/>
      <c r="B190" s="105"/>
      <c r="C190" s="105"/>
      <c r="D190" s="105"/>
      <c r="E190" s="105"/>
      <c r="F190" s="105"/>
      <c r="G190" s="105"/>
      <c r="H190" s="105"/>
      <c r="I190" s="105"/>
      <c r="J190" s="105"/>
      <c r="K190" s="105"/>
      <c r="L190" s="105"/>
      <c r="M190" s="106"/>
      <c r="N190" s="106"/>
      <c r="O190" s="106"/>
      <c r="P190" s="111"/>
      <c r="Q190" s="108"/>
      <c r="R190" s="5"/>
      <c r="S190" s="5"/>
      <c r="T190" s="5"/>
      <c r="U190" s="5"/>
      <c r="V190" s="5"/>
      <c r="W190" s="5"/>
      <c r="X190" s="5"/>
      <c r="Y190" s="5"/>
      <c r="Z190" s="216"/>
      <c r="AA190" s="105"/>
      <c r="AB190" s="105"/>
      <c r="AC190" s="105"/>
      <c r="AD190" s="105"/>
      <c r="AE190" s="105"/>
      <c r="AF190" s="105"/>
    </row>
    <row r="191" spans="1:32" s="7" customFormat="1" x14ac:dyDescent="0.2">
      <c r="A191" s="105"/>
      <c r="B191" s="105"/>
      <c r="C191" s="105"/>
      <c r="D191" s="105"/>
      <c r="E191" s="105"/>
      <c r="F191" s="105"/>
      <c r="G191" s="105"/>
      <c r="H191" s="105"/>
      <c r="I191" s="105"/>
      <c r="J191" s="105"/>
      <c r="K191" s="105"/>
      <c r="L191" s="105"/>
      <c r="M191" s="106"/>
      <c r="N191" s="106"/>
      <c r="O191" s="106"/>
      <c r="P191" s="111"/>
      <c r="Q191" s="108"/>
      <c r="R191" s="5"/>
      <c r="S191" s="5"/>
      <c r="T191" s="5"/>
      <c r="U191" s="5"/>
      <c r="V191" s="5"/>
      <c r="W191" s="5"/>
      <c r="X191" s="5"/>
      <c r="Y191" s="5"/>
      <c r="Z191" s="216"/>
      <c r="AA191" s="105"/>
      <c r="AB191" s="105"/>
      <c r="AC191" s="105"/>
      <c r="AD191" s="105"/>
      <c r="AE191" s="105"/>
      <c r="AF191" s="105"/>
    </row>
    <row r="192" spans="1:32" s="7" customFormat="1" x14ac:dyDescent="0.2">
      <c r="A192" s="105"/>
      <c r="B192" s="105"/>
      <c r="C192" s="105"/>
      <c r="D192" s="105"/>
      <c r="E192" s="105"/>
      <c r="F192" s="105"/>
      <c r="G192" s="105"/>
      <c r="H192" s="105"/>
      <c r="I192" s="105"/>
      <c r="J192" s="105"/>
      <c r="K192" s="105"/>
      <c r="L192" s="105"/>
      <c r="M192" s="106"/>
      <c r="N192" s="106"/>
      <c r="O192" s="106"/>
      <c r="P192" s="111"/>
      <c r="Q192" s="108"/>
      <c r="R192" s="5"/>
      <c r="S192" s="5"/>
      <c r="T192" s="5"/>
      <c r="U192" s="5"/>
      <c r="V192" s="5"/>
      <c r="W192" s="5"/>
      <c r="X192" s="5"/>
      <c r="Y192" s="5"/>
      <c r="Z192" s="216"/>
      <c r="AA192" s="105"/>
      <c r="AB192" s="105"/>
      <c r="AC192" s="105"/>
      <c r="AD192" s="105"/>
      <c r="AE192" s="105"/>
      <c r="AF192" s="105"/>
    </row>
    <row r="193" spans="1:32" s="7" customFormat="1" x14ac:dyDescent="0.2">
      <c r="A193" s="105"/>
      <c r="B193" s="105"/>
      <c r="C193" s="105"/>
      <c r="D193" s="105"/>
      <c r="E193" s="105"/>
      <c r="F193" s="105"/>
      <c r="G193" s="105"/>
      <c r="H193" s="105"/>
      <c r="I193" s="105"/>
      <c r="J193" s="105"/>
      <c r="K193" s="105"/>
      <c r="L193" s="105"/>
      <c r="M193" s="106"/>
      <c r="N193" s="106"/>
      <c r="O193" s="106"/>
      <c r="P193" s="111"/>
      <c r="Q193" s="108"/>
      <c r="R193" s="5"/>
      <c r="S193" s="5"/>
      <c r="T193" s="5"/>
      <c r="U193" s="5"/>
      <c r="V193" s="5"/>
      <c r="W193" s="5"/>
      <c r="X193" s="5"/>
      <c r="Y193" s="5"/>
      <c r="Z193" s="216"/>
      <c r="AA193" s="105"/>
      <c r="AB193" s="105"/>
      <c r="AC193" s="105"/>
      <c r="AD193" s="105"/>
      <c r="AE193" s="105"/>
      <c r="AF193" s="105"/>
    </row>
    <row r="194" spans="1:32" s="7" customFormat="1" x14ac:dyDescent="0.2">
      <c r="A194" s="105"/>
      <c r="B194" s="105"/>
      <c r="C194" s="105"/>
      <c r="D194" s="105"/>
      <c r="E194" s="105"/>
      <c r="F194" s="105"/>
      <c r="G194" s="105"/>
      <c r="H194" s="105"/>
      <c r="I194" s="105"/>
      <c r="J194" s="105"/>
      <c r="K194" s="105"/>
      <c r="L194" s="105"/>
      <c r="M194" s="106"/>
      <c r="N194" s="106"/>
      <c r="O194" s="106"/>
      <c r="P194" s="111"/>
      <c r="Q194" s="108"/>
      <c r="R194" s="5"/>
      <c r="S194" s="5"/>
      <c r="T194" s="5"/>
      <c r="U194" s="5"/>
      <c r="V194" s="5"/>
      <c r="W194" s="5"/>
      <c r="X194" s="5"/>
      <c r="Y194" s="5"/>
      <c r="Z194" s="216"/>
      <c r="AA194" s="105"/>
      <c r="AB194" s="105"/>
      <c r="AC194" s="105"/>
      <c r="AD194" s="105"/>
      <c r="AE194" s="105"/>
      <c r="AF194" s="105"/>
    </row>
    <row r="195" spans="1:32" s="7" customFormat="1" x14ac:dyDescent="0.2">
      <c r="A195" s="105"/>
      <c r="B195" s="105"/>
      <c r="C195" s="105"/>
      <c r="D195" s="105"/>
      <c r="E195" s="105"/>
      <c r="F195" s="105"/>
      <c r="G195" s="105"/>
      <c r="H195" s="105"/>
      <c r="I195" s="105"/>
      <c r="J195" s="105"/>
      <c r="K195" s="105"/>
      <c r="L195" s="105"/>
      <c r="M195" s="106"/>
      <c r="N195" s="106"/>
      <c r="O195" s="106"/>
      <c r="P195" s="111"/>
      <c r="Q195" s="108"/>
      <c r="R195" s="5"/>
      <c r="S195" s="5"/>
      <c r="T195" s="5"/>
      <c r="U195" s="5"/>
      <c r="V195" s="5"/>
      <c r="W195" s="5"/>
      <c r="X195" s="5"/>
      <c r="Y195" s="5"/>
      <c r="Z195" s="216"/>
      <c r="AA195" s="105"/>
      <c r="AB195" s="105"/>
      <c r="AC195" s="105"/>
      <c r="AD195" s="105"/>
      <c r="AE195" s="105"/>
      <c r="AF195" s="105"/>
    </row>
    <row r="196" spans="1:32" s="7" customFormat="1" x14ac:dyDescent="0.2">
      <c r="A196" s="105"/>
      <c r="B196" s="105"/>
      <c r="C196" s="105"/>
      <c r="D196" s="105"/>
      <c r="E196" s="105"/>
      <c r="F196" s="105"/>
      <c r="G196" s="105"/>
      <c r="H196" s="105"/>
      <c r="I196" s="105"/>
      <c r="J196" s="105"/>
      <c r="K196" s="105"/>
      <c r="L196" s="105"/>
      <c r="M196" s="106"/>
      <c r="N196" s="106"/>
      <c r="O196" s="106"/>
      <c r="P196" s="111"/>
      <c r="Q196" s="108"/>
      <c r="R196" s="5"/>
      <c r="S196" s="5"/>
      <c r="T196" s="5"/>
      <c r="U196" s="5"/>
      <c r="V196" s="5"/>
      <c r="W196" s="5"/>
      <c r="X196" s="5"/>
      <c r="Y196" s="5"/>
      <c r="Z196" s="216"/>
      <c r="AA196" s="105"/>
      <c r="AB196" s="105"/>
      <c r="AC196" s="105"/>
      <c r="AD196" s="105"/>
      <c r="AE196" s="105"/>
      <c r="AF196" s="105"/>
    </row>
    <row r="197" spans="1:32" s="7" customFormat="1" x14ac:dyDescent="0.2">
      <c r="A197" s="105"/>
      <c r="B197" s="105"/>
      <c r="C197" s="105"/>
      <c r="D197" s="105"/>
      <c r="E197" s="105"/>
      <c r="F197" s="105"/>
      <c r="G197" s="105"/>
      <c r="H197" s="105"/>
      <c r="I197" s="105"/>
      <c r="J197" s="105"/>
      <c r="K197" s="105"/>
      <c r="L197" s="105"/>
      <c r="M197" s="106"/>
      <c r="N197" s="106"/>
      <c r="O197" s="106"/>
      <c r="P197" s="111"/>
      <c r="Q197" s="108"/>
      <c r="R197" s="5"/>
      <c r="S197" s="5"/>
      <c r="T197" s="5"/>
      <c r="U197" s="5"/>
      <c r="V197" s="5"/>
      <c r="W197" s="5"/>
      <c r="X197" s="5"/>
      <c r="Y197" s="5"/>
      <c r="Z197" s="216"/>
      <c r="AA197" s="105"/>
      <c r="AB197" s="105"/>
      <c r="AC197" s="105"/>
      <c r="AD197" s="105"/>
      <c r="AE197" s="105"/>
      <c r="AF197" s="105"/>
    </row>
    <row r="198" spans="1:32" s="7" customFormat="1" x14ac:dyDescent="0.2">
      <c r="A198" s="105"/>
      <c r="B198" s="105"/>
      <c r="C198" s="105"/>
      <c r="D198" s="105"/>
      <c r="E198" s="105"/>
      <c r="F198" s="105"/>
      <c r="G198" s="105"/>
      <c r="H198" s="105"/>
      <c r="I198" s="105"/>
      <c r="J198" s="105"/>
      <c r="K198" s="105"/>
      <c r="L198" s="105"/>
      <c r="M198" s="106"/>
      <c r="N198" s="106"/>
      <c r="O198" s="106"/>
      <c r="P198" s="111"/>
      <c r="Q198" s="108"/>
      <c r="R198" s="5"/>
      <c r="S198" s="5"/>
      <c r="T198" s="5"/>
      <c r="U198" s="5"/>
      <c r="V198" s="5"/>
      <c r="W198" s="5"/>
      <c r="X198" s="5"/>
      <c r="Y198" s="5"/>
      <c r="Z198" s="216"/>
      <c r="AA198" s="105"/>
      <c r="AB198" s="105"/>
      <c r="AC198" s="105"/>
      <c r="AD198" s="105"/>
      <c r="AE198" s="105"/>
      <c r="AF198" s="105"/>
    </row>
    <row r="199" spans="1:32" s="7" customFormat="1" x14ac:dyDescent="0.2">
      <c r="A199" s="105"/>
      <c r="B199" s="105"/>
      <c r="C199" s="105"/>
      <c r="D199" s="105"/>
      <c r="E199" s="105"/>
      <c r="F199" s="105"/>
      <c r="G199" s="105"/>
      <c r="H199" s="105"/>
      <c r="I199" s="105"/>
      <c r="J199" s="105"/>
      <c r="K199" s="105"/>
      <c r="L199" s="105"/>
      <c r="M199" s="106"/>
      <c r="N199" s="106"/>
      <c r="O199" s="106"/>
      <c r="P199" s="111"/>
      <c r="Q199" s="108"/>
      <c r="R199" s="5"/>
      <c r="S199" s="5"/>
      <c r="T199" s="5"/>
      <c r="U199" s="5"/>
      <c r="V199" s="5"/>
      <c r="W199" s="5"/>
      <c r="X199" s="5"/>
      <c r="Y199" s="5"/>
      <c r="Z199" s="216"/>
      <c r="AA199" s="105"/>
      <c r="AB199" s="105"/>
      <c r="AC199" s="105"/>
      <c r="AD199" s="105"/>
      <c r="AE199" s="105"/>
      <c r="AF199" s="105"/>
    </row>
    <row r="200" spans="1:32" s="7" customFormat="1" x14ac:dyDescent="0.2">
      <c r="A200" s="105"/>
      <c r="B200" s="105"/>
      <c r="C200" s="105"/>
      <c r="D200" s="105"/>
      <c r="E200" s="105"/>
      <c r="F200" s="105"/>
      <c r="G200" s="105"/>
      <c r="H200" s="105"/>
      <c r="I200" s="105"/>
      <c r="J200" s="105"/>
      <c r="K200" s="105"/>
      <c r="L200" s="105"/>
      <c r="M200" s="106"/>
      <c r="N200" s="106"/>
      <c r="O200" s="106"/>
      <c r="P200" s="111"/>
      <c r="Q200" s="108"/>
      <c r="R200" s="5"/>
      <c r="S200" s="5"/>
      <c r="T200" s="5"/>
      <c r="U200" s="5"/>
      <c r="V200" s="5"/>
      <c r="W200" s="5"/>
      <c r="X200" s="5"/>
      <c r="Y200" s="5"/>
      <c r="Z200" s="216"/>
      <c r="AA200" s="105"/>
      <c r="AB200" s="105"/>
      <c r="AC200" s="105"/>
      <c r="AD200" s="105"/>
      <c r="AE200" s="105"/>
      <c r="AF200" s="105"/>
    </row>
    <row r="201" spans="1:32" s="7" customFormat="1" x14ac:dyDescent="0.2">
      <c r="A201" s="105"/>
      <c r="B201" s="105"/>
      <c r="C201" s="105"/>
      <c r="D201" s="105"/>
      <c r="E201" s="105"/>
      <c r="F201" s="105"/>
      <c r="G201" s="105"/>
      <c r="H201" s="105"/>
      <c r="I201" s="105"/>
      <c r="J201" s="105"/>
      <c r="K201" s="105"/>
      <c r="L201" s="105"/>
      <c r="M201" s="106"/>
      <c r="N201" s="106"/>
      <c r="O201" s="106"/>
      <c r="P201" s="111"/>
      <c r="Q201" s="108"/>
      <c r="R201" s="5"/>
      <c r="S201" s="5"/>
      <c r="T201" s="5"/>
      <c r="U201" s="5"/>
      <c r="V201" s="5"/>
      <c r="W201" s="5"/>
      <c r="X201" s="5"/>
      <c r="Y201" s="5"/>
      <c r="Z201" s="216"/>
      <c r="AA201" s="105"/>
      <c r="AB201" s="105"/>
      <c r="AC201" s="105"/>
      <c r="AD201" s="105"/>
      <c r="AE201" s="105"/>
      <c r="AF201" s="105"/>
    </row>
    <row r="202" spans="1:32" s="7" customFormat="1" x14ac:dyDescent="0.2">
      <c r="A202" s="105"/>
      <c r="B202" s="105"/>
      <c r="C202" s="105"/>
      <c r="D202" s="105"/>
      <c r="E202" s="105"/>
      <c r="F202" s="105"/>
      <c r="G202" s="105"/>
      <c r="H202" s="105"/>
      <c r="I202" s="105"/>
      <c r="J202" s="105"/>
      <c r="K202" s="105"/>
      <c r="L202" s="105"/>
      <c r="M202" s="106"/>
      <c r="N202" s="106"/>
      <c r="O202" s="106"/>
      <c r="P202" s="111"/>
      <c r="Q202" s="108"/>
      <c r="R202" s="5"/>
      <c r="S202" s="5"/>
      <c r="T202" s="5"/>
      <c r="U202" s="5"/>
      <c r="V202" s="5"/>
      <c r="W202" s="5"/>
      <c r="X202" s="5"/>
      <c r="Y202" s="5"/>
      <c r="Z202" s="216"/>
      <c r="AA202" s="105"/>
      <c r="AB202" s="105"/>
      <c r="AC202" s="105"/>
      <c r="AD202" s="105"/>
      <c r="AE202" s="105"/>
      <c r="AF202" s="105"/>
    </row>
    <row r="203" spans="1:32" s="7" customFormat="1" x14ac:dyDescent="0.2">
      <c r="A203" s="105"/>
      <c r="B203" s="105"/>
      <c r="C203" s="105"/>
      <c r="D203" s="105"/>
      <c r="E203" s="105"/>
      <c r="F203" s="105"/>
      <c r="G203" s="105"/>
      <c r="H203" s="105"/>
      <c r="I203" s="105"/>
      <c r="J203" s="105"/>
      <c r="K203" s="105"/>
      <c r="L203" s="105"/>
      <c r="M203" s="106"/>
      <c r="N203" s="106"/>
      <c r="O203" s="106"/>
      <c r="P203" s="111"/>
      <c r="Q203" s="108"/>
      <c r="R203" s="5"/>
      <c r="S203" s="5"/>
      <c r="T203" s="5"/>
      <c r="U203" s="5"/>
      <c r="V203" s="5"/>
      <c r="W203" s="5"/>
      <c r="X203" s="5"/>
      <c r="Y203" s="5"/>
      <c r="Z203" s="216"/>
      <c r="AA203" s="105"/>
      <c r="AB203" s="105"/>
      <c r="AC203" s="105"/>
      <c r="AD203" s="105"/>
      <c r="AE203" s="105"/>
      <c r="AF203" s="105"/>
    </row>
    <row r="204" spans="1:32" s="7" customFormat="1" x14ac:dyDescent="0.2">
      <c r="A204" s="105"/>
      <c r="B204" s="105"/>
      <c r="C204" s="105"/>
      <c r="D204" s="105"/>
      <c r="E204" s="105"/>
      <c r="F204" s="105"/>
      <c r="G204" s="105"/>
      <c r="H204" s="105"/>
      <c r="I204" s="105"/>
      <c r="J204" s="105"/>
      <c r="K204" s="105"/>
      <c r="L204" s="105"/>
      <c r="M204" s="106"/>
      <c r="N204" s="106"/>
      <c r="O204" s="106"/>
      <c r="P204" s="111"/>
      <c r="Q204" s="108"/>
      <c r="R204" s="5"/>
      <c r="S204" s="5"/>
      <c r="T204" s="5"/>
      <c r="U204" s="5"/>
      <c r="V204" s="5"/>
      <c r="W204" s="5"/>
      <c r="X204" s="5"/>
      <c r="Y204" s="5"/>
      <c r="Z204" s="216"/>
      <c r="AA204" s="105"/>
      <c r="AB204" s="105"/>
      <c r="AC204" s="105"/>
      <c r="AD204" s="105"/>
      <c r="AE204" s="105"/>
      <c r="AF204" s="105"/>
    </row>
    <row r="205" spans="1:32" s="7" customFormat="1" x14ac:dyDescent="0.2">
      <c r="A205" s="105"/>
      <c r="B205" s="105"/>
      <c r="C205" s="105"/>
      <c r="D205" s="105"/>
      <c r="E205" s="105"/>
      <c r="F205" s="105"/>
      <c r="G205" s="105"/>
      <c r="H205" s="105"/>
      <c r="I205" s="105"/>
      <c r="J205" s="105"/>
      <c r="K205" s="105"/>
      <c r="L205" s="105"/>
      <c r="M205" s="106"/>
      <c r="N205" s="106"/>
      <c r="O205" s="106"/>
      <c r="P205" s="111"/>
      <c r="Q205" s="108"/>
      <c r="R205" s="5"/>
      <c r="S205" s="5"/>
      <c r="T205" s="5"/>
      <c r="U205" s="5"/>
      <c r="V205" s="5"/>
      <c r="W205" s="5"/>
      <c r="X205" s="5"/>
      <c r="Y205" s="5"/>
      <c r="Z205" s="216"/>
      <c r="AA205" s="105"/>
      <c r="AB205" s="105"/>
      <c r="AC205" s="105"/>
      <c r="AD205" s="105"/>
      <c r="AE205" s="105"/>
      <c r="AF205" s="105"/>
    </row>
    <row r="206" spans="1:32" s="7" customFormat="1" x14ac:dyDescent="0.2">
      <c r="A206" s="105"/>
      <c r="B206" s="105"/>
      <c r="C206" s="105"/>
      <c r="D206" s="105"/>
      <c r="E206" s="105"/>
      <c r="F206" s="105"/>
      <c r="G206" s="105"/>
      <c r="H206" s="105"/>
      <c r="I206" s="105"/>
      <c r="J206" s="105"/>
      <c r="K206" s="105"/>
      <c r="L206" s="105"/>
      <c r="M206" s="106"/>
      <c r="N206" s="106"/>
      <c r="O206" s="106"/>
      <c r="P206" s="111"/>
      <c r="Q206" s="108"/>
      <c r="R206" s="5"/>
      <c r="S206" s="5"/>
      <c r="T206" s="5"/>
      <c r="U206" s="5"/>
      <c r="V206" s="5"/>
      <c r="W206" s="5"/>
      <c r="X206" s="5"/>
      <c r="Y206" s="5"/>
      <c r="Z206" s="216"/>
      <c r="AA206" s="105"/>
      <c r="AB206" s="105"/>
      <c r="AC206" s="105"/>
      <c r="AD206" s="105"/>
      <c r="AE206" s="105"/>
      <c r="AF206" s="105"/>
    </row>
    <row r="207" spans="1:32" s="7" customFormat="1" x14ac:dyDescent="0.2">
      <c r="A207" s="105"/>
      <c r="B207" s="105"/>
      <c r="C207" s="105"/>
      <c r="D207" s="105"/>
      <c r="E207" s="105"/>
      <c r="F207" s="105"/>
      <c r="G207" s="105"/>
      <c r="H207" s="105"/>
      <c r="I207" s="105"/>
      <c r="J207" s="105"/>
      <c r="K207" s="105"/>
      <c r="L207" s="105"/>
      <c r="M207" s="106"/>
      <c r="N207" s="106"/>
      <c r="O207" s="106"/>
      <c r="P207" s="111"/>
      <c r="Q207" s="108"/>
      <c r="R207" s="5"/>
      <c r="S207" s="5"/>
      <c r="T207" s="5"/>
      <c r="U207" s="5"/>
      <c r="V207" s="5"/>
      <c r="W207" s="5"/>
      <c r="X207" s="5"/>
      <c r="Y207" s="5"/>
      <c r="Z207" s="216"/>
      <c r="AA207" s="105"/>
      <c r="AB207" s="105"/>
      <c r="AC207" s="105"/>
      <c r="AD207" s="105"/>
      <c r="AE207" s="105"/>
      <c r="AF207" s="105"/>
    </row>
    <row r="208" spans="1:32" s="7" customFormat="1" x14ac:dyDescent="0.2">
      <c r="A208" s="105"/>
      <c r="B208" s="105"/>
      <c r="C208" s="105"/>
      <c r="D208" s="105"/>
      <c r="E208" s="105"/>
      <c r="F208" s="105"/>
      <c r="G208" s="105"/>
      <c r="H208" s="105"/>
      <c r="I208" s="105"/>
      <c r="J208" s="105"/>
      <c r="K208" s="105"/>
      <c r="L208" s="105"/>
      <c r="M208" s="106"/>
      <c r="N208" s="106"/>
      <c r="O208" s="106"/>
      <c r="P208" s="111"/>
      <c r="Q208" s="108"/>
      <c r="R208" s="5"/>
      <c r="S208" s="5"/>
      <c r="T208" s="5"/>
      <c r="U208" s="5"/>
      <c r="V208" s="5"/>
      <c r="W208" s="5"/>
      <c r="X208" s="5"/>
      <c r="Y208" s="5"/>
      <c r="Z208" s="216"/>
      <c r="AA208" s="105"/>
      <c r="AB208" s="105"/>
      <c r="AC208" s="105"/>
      <c r="AD208" s="105"/>
      <c r="AE208" s="105"/>
      <c r="AF208" s="105"/>
    </row>
    <row r="209" spans="1:32" s="7" customFormat="1" x14ac:dyDescent="0.2">
      <c r="A209" s="105"/>
      <c r="B209" s="105"/>
      <c r="C209" s="105"/>
      <c r="D209" s="105"/>
      <c r="E209" s="105"/>
      <c r="F209" s="105"/>
      <c r="G209" s="105"/>
      <c r="H209" s="105"/>
      <c r="I209" s="105"/>
      <c r="J209" s="105"/>
      <c r="K209" s="105"/>
      <c r="L209" s="105"/>
      <c r="M209" s="106"/>
      <c r="N209" s="106"/>
      <c r="O209" s="106"/>
      <c r="P209" s="111"/>
      <c r="Q209" s="108"/>
      <c r="R209" s="5"/>
      <c r="S209" s="5"/>
      <c r="T209" s="5"/>
      <c r="U209" s="5"/>
      <c r="V209" s="5"/>
      <c r="W209" s="5"/>
      <c r="X209" s="5"/>
      <c r="Y209" s="5"/>
      <c r="Z209" s="216"/>
      <c r="AA209" s="105"/>
      <c r="AB209" s="105"/>
      <c r="AC209" s="105"/>
      <c r="AD209" s="105"/>
      <c r="AE209" s="105"/>
      <c r="AF209" s="105"/>
    </row>
  </sheetData>
  <mergeCells count="77">
    <mergeCell ref="A1:K1"/>
    <mergeCell ref="A2:K2"/>
    <mergeCell ref="AI7:AK7"/>
    <mergeCell ref="BW8:BW9"/>
    <mergeCell ref="BF8:BF9"/>
    <mergeCell ref="AX7:BA7"/>
    <mergeCell ref="BD8:BD9"/>
    <mergeCell ref="BC8:BC9"/>
    <mergeCell ref="BN8:BN9"/>
    <mergeCell ref="BT7:BY7"/>
    <mergeCell ref="CG8:CG9"/>
    <mergeCell ref="CE8:CE9"/>
    <mergeCell ref="BT8:BT9"/>
    <mergeCell ref="BU8:BU9"/>
    <mergeCell ref="BV8:BV9"/>
    <mergeCell ref="CD8:CD9"/>
    <mergeCell ref="BX8:BX9"/>
    <mergeCell ref="CA8:CA9"/>
    <mergeCell ref="BY8:BY9"/>
    <mergeCell ref="BG8:BG9"/>
    <mergeCell ref="BJ8:BJ9"/>
    <mergeCell ref="BS8:BS9"/>
    <mergeCell ref="BB7:BC7"/>
    <mergeCell ref="BO8:BO9"/>
    <mergeCell ref="BH8:BH9"/>
    <mergeCell ref="BI8:BI9"/>
    <mergeCell ref="BR7:BS7"/>
    <mergeCell ref="BK8:BK9"/>
    <mergeCell ref="BL8:BL9"/>
    <mergeCell ref="CA7:CC7"/>
    <mergeCell ref="BM8:BM9"/>
    <mergeCell ref="CC8:CC9"/>
    <mergeCell ref="BZ8:BZ9"/>
    <mergeCell ref="BQ8:BQ9"/>
    <mergeCell ref="BP8:BP9"/>
    <mergeCell ref="BR8:BR9"/>
    <mergeCell ref="BO7:BQ7"/>
    <mergeCell ref="AG8:AG9"/>
    <mergeCell ref="AH8:AH9"/>
    <mergeCell ref="AT8:AT9"/>
    <mergeCell ref="R8:Y8"/>
    <mergeCell ref="AI8:AI9"/>
    <mergeCell ref="AM8:AM9"/>
    <mergeCell ref="AP8:AP9"/>
    <mergeCell ref="AQ8:AQ9"/>
    <mergeCell ref="AN8:AN9"/>
    <mergeCell ref="AO8:AO9"/>
    <mergeCell ref="AX8:AX9"/>
    <mergeCell ref="AY8:AY9"/>
    <mergeCell ref="AJ8:AJ9"/>
    <mergeCell ref="AZ8:AZ9"/>
    <mergeCell ref="AR8:AR9"/>
    <mergeCell ref="AU8:AU9"/>
    <mergeCell ref="AV8:AV9"/>
    <mergeCell ref="AW8:AW9"/>
    <mergeCell ref="AK8:AK9"/>
    <mergeCell ref="AL8:AL9"/>
    <mergeCell ref="D5:E5"/>
    <mergeCell ref="A4:F4"/>
    <mergeCell ref="X2:AD4"/>
    <mergeCell ref="Z8:AF8"/>
    <mergeCell ref="A3:I3"/>
    <mergeCell ref="A6:I6"/>
    <mergeCell ref="A7:AF7"/>
    <mergeCell ref="A8:L8"/>
    <mergeCell ref="M8:Q8"/>
    <mergeCell ref="N2:V2"/>
    <mergeCell ref="CI8:CI9"/>
    <mergeCell ref="CJ8:CJ9"/>
    <mergeCell ref="AG6:CJ6"/>
    <mergeCell ref="CH8:CH9"/>
    <mergeCell ref="BA8:BA9"/>
    <mergeCell ref="BB8:BB9"/>
    <mergeCell ref="CE7:CF7"/>
    <mergeCell ref="CF8:CF9"/>
    <mergeCell ref="CB8:CB9"/>
    <mergeCell ref="BK7:BM7"/>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3.placeConditionalOrder">
                <anchor moveWithCells="1">
                  <from>
                    <xdr:col>2</xdr:col>
                    <xdr:colOff>314325</xdr:colOff>
                    <xdr:row>1</xdr:row>
                    <xdr:rowOff>76200</xdr:rowOff>
                  </from>
                  <to>
                    <xdr:col>4</xdr:col>
                    <xdr:colOff>123825</xdr:colOff>
                    <xdr:row>1</xdr:row>
                    <xdr:rowOff>276225</xdr:rowOff>
                  </to>
                </anchor>
              </controlPr>
            </control>
          </mc:Choice>
        </mc:AlternateContent>
        <mc:AlternateContent xmlns:mc="http://schemas.openxmlformats.org/markup-compatibility/2006">
          <mc:Choice Requires="x14">
            <control shapeId="13314" r:id="rId5" name="Button 2">
              <controlPr defaultSize="0" print="0" autoFill="0" autoPict="0" macro="[0]!Sheet3.cancelConditionalOrder">
                <anchor moveWithCells="1">
                  <from>
                    <xdr:col>8</xdr:col>
                    <xdr:colOff>295275</xdr:colOff>
                    <xdr:row>1</xdr:row>
                    <xdr:rowOff>76200</xdr:rowOff>
                  </from>
                  <to>
                    <xdr:col>9</xdr:col>
                    <xdr:colOff>152400</xdr:colOff>
                    <xdr:row>1</xdr:row>
                    <xdr:rowOff>276225</xdr:rowOff>
                  </to>
                </anchor>
              </controlPr>
            </control>
          </mc:Choice>
        </mc:AlternateContent>
        <mc:AlternateContent xmlns:mc="http://schemas.openxmlformats.org/markup-compatibility/2006">
          <mc:Choice Requires="x14">
            <control shapeId="13315" r:id="rId6" name="Button 3">
              <controlPr defaultSize="0" print="0" autoFill="0" autoPict="0" macro="[0]!Sheet3.onShowError">
                <anchor moveWithCells="1">
                  <from>
                    <xdr:col>9</xdr:col>
                    <xdr:colOff>485775</xdr:colOff>
                    <xdr:row>1</xdr:row>
                    <xdr:rowOff>76200</xdr:rowOff>
                  </from>
                  <to>
                    <xdr:col>10</xdr:col>
                    <xdr:colOff>857250</xdr:colOff>
                    <xdr:row>1</xdr:row>
                    <xdr:rowOff>276225</xdr:rowOff>
                  </to>
                </anchor>
              </controlPr>
            </control>
          </mc:Choice>
        </mc:AlternateContent>
        <mc:AlternateContent xmlns:mc="http://schemas.openxmlformats.org/markup-compatibility/2006">
          <mc:Choice Requires="x14">
            <control shapeId="13316" r:id="rId7" name="Button 4">
              <controlPr defaultSize="0" print="0" autoFill="0" autoPict="0" macro="[0]!createComboLegs">
                <anchor moveWithCells="1">
                  <from>
                    <xdr:col>0</xdr:col>
                    <xdr:colOff>123825</xdr:colOff>
                    <xdr:row>1</xdr:row>
                    <xdr:rowOff>76200</xdr:rowOff>
                  </from>
                  <to>
                    <xdr:col>2</xdr:col>
                    <xdr:colOff>152400</xdr:colOff>
                    <xdr:row>1</xdr:row>
                    <xdr:rowOff>276225</xdr:rowOff>
                  </to>
                </anchor>
              </controlPr>
            </control>
          </mc:Choice>
        </mc:AlternateContent>
        <mc:AlternateContent xmlns:mc="http://schemas.openxmlformats.org/markup-compatibility/2006">
          <mc:Choice Requires="x14">
            <control shapeId="13317" r:id="rId8" name="Button 5">
              <controlPr defaultSize="0" print="0" autoFill="0" autoPict="0" macro="[0]!Sheet3.applyTemplate">
                <anchor moveWithCells="1">
                  <from>
                    <xdr:col>5</xdr:col>
                    <xdr:colOff>533400</xdr:colOff>
                    <xdr:row>1</xdr:row>
                    <xdr:rowOff>76200</xdr:rowOff>
                  </from>
                  <to>
                    <xdr:col>7</xdr:col>
                    <xdr:colOff>714375</xdr:colOff>
                    <xdr:row>1</xdr:row>
                    <xdr:rowOff>276225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C209"/>
  <sheetViews>
    <sheetView zoomScale="80" zoomScaleNormal="80" workbookViewId="0">
      <pane ySplit="9" topLeftCell="A10" activePane="bottomLeft" state="frozen"/>
      <selection activeCell="A3" sqref="A3:I4"/>
      <selection pane="bottomLeft" activeCell="D5" sqref="D5:E5"/>
    </sheetView>
  </sheetViews>
  <sheetFormatPr defaultRowHeight="12.75" x14ac:dyDescent="0.2"/>
  <cols>
    <col min="1" max="1" width="18.85546875" bestFit="1" customWidth="1"/>
    <col min="2" max="2" width="6" bestFit="1" customWidth="1"/>
    <col min="3" max="3" width="14.140625" customWidth="1"/>
    <col min="4" max="4" width="5.85546875" bestFit="1" customWidth="1"/>
    <col min="5" max="5" width="4.28515625" customWidth="1"/>
    <col min="6" max="6" width="8.42578125" customWidth="1"/>
    <col min="7" max="7" width="12.28515625" customWidth="1"/>
    <col min="8" max="8" width="11.140625" customWidth="1"/>
    <col min="9" max="9" width="15.85546875" customWidth="1"/>
    <col min="10" max="10" width="10.42578125" customWidth="1"/>
    <col min="11" max="11" width="12.140625" customWidth="1"/>
    <col min="12" max="12" width="10" customWidth="1"/>
    <col min="13" max="13" width="10.85546875" customWidth="1"/>
    <col min="14" max="14" width="10.140625" bestFit="1" customWidth="1"/>
    <col min="15" max="15" width="11.85546875" customWidth="1"/>
    <col min="17" max="17" width="8.85546875" bestFit="1" customWidth="1"/>
    <col min="18" max="18" width="13.42578125" bestFit="1" customWidth="1"/>
    <col min="19" max="19" width="13.5703125" bestFit="1" customWidth="1"/>
    <col min="20" max="21" width="10.7109375" customWidth="1"/>
    <col min="22" max="22" width="12.7109375" customWidth="1"/>
    <col min="23" max="23" width="12.5703125" customWidth="1"/>
    <col min="24" max="24" width="9.85546875" customWidth="1"/>
    <col min="26" max="27" width="9.140625" style="7"/>
    <col min="28" max="28" width="11.140625" style="7" customWidth="1"/>
    <col min="29" max="32" width="9.140625" style="7"/>
    <col min="33" max="33" width="10.5703125" style="7" customWidth="1"/>
    <col min="34" max="34" width="10.140625" style="7" customWidth="1"/>
    <col min="35" max="36" width="9.140625" style="7"/>
    <col min="37" max="37" width="0" style="7" hidden="1" customWidth="1"/>
    <col min="38" max="38" width="9.140625" style="7"/>
    <col min="39" max="39" width="12.42578125" style="7" customWidth="1"/>
    <col min="40" max="40" width="10.5703125" style="7" customWidth="1"/>
    <col min="41" max="48" width="9.140625" style="7"/>
    <col min="49" max="49" width="0" style="7" hidden="1" customWidth="1"/>
    <col min="50" max="50" width="9.140625" style="7"/>
    <col min="51" max="51" width="11.85546875" style="7" customWidth="1"/>
    <col min="52" max="52" width="10.42578125" style="7" customWidth="1"/>
    <col min="53" max="54" width="9.140625" style="7"/>
    <col min="55" max="55" width="15.5703125" style="7" customWidth="1"/>
    <col min="56" max="56" width="11.85546875" style="7" customWidth="1"/>
    <col min="57" max="57" width="9.140625" style="7"/>
    <col min="58" max="58" width="15.5703125" style="7" customWidth="1"/>
    <col min="59" max="59" width="9" style="7" customWidth="1"/>
    <col min="60" max="62" width="9.140625" style="7"/>
    <col min="63" max="63" width="12.5703125" style="7" customWidth="1"/>
    <col min="64" max="64" width="12.7109375" style="7" customWidth="1"/>
    <col min="65" max="66" width="9.140625" style="7"/>
    <col min="67" max="67" width="10.42578125" style="7" customWidth="1"/>
    <col min="68" max="68" width="9.140625" style="7"/>
    <col min="69" max="69" width="11.140625" style="7" customWidth="1"/>
    <col min="70" max="70" width="9.140625" style="7"/>
    <col min="71" max="71" width="12.5703125" style="7" customWidth="1"/>
    <col min="72" max="72" width="12.5703125" style="7" hidden="1" customWidth="1"/>
    <col min="73" max="75" width="12.5703125" style="7" customWidth="1"/>
    <col min="76" max="76" width="13" style="7" customWidth="1"/>
    <col min="77" max="77" width="15.42578125" style="7" customWidth="1"/>
    <col min="78" max="79" width="9.140625" style="7"/>
    <col min="80" max="80" width="10.28515625" style="7" customWidth="1"/>
    <col min="81" max="81" width="10.7109375" style="7" customWidth="1"/>
    <col min="82" max="16384" width="9.140625" style="7"/>
  </cols>
  <sheetData>
    <row r="1" spans="1:81" x14ac:dyDescent="0.2">
      <c r="A1" s="293" t="s">
        <v>47</v>
      </c>
      <c r="B1" s="294"/>
      <c r="C1" s="294"/>
      <c r="D1" s="294"/>
      <c r="E1" s="294"/>
      <c r="F1" s="294"/>
      <c r="G1" s="294"/>
      <c r="H1" s="294"/>
      <c r="I1" s="294"/>
      <c r="J1" s="294"/>
      <c r="K1" s="69"/>
      <c r="L1" s="47"/>
      <c r="M1" s="69"/>
      <c r="P1" s="7"/>
      <c r="Q1" s="7"/>
      <c r="R1" s="7"/>
      <c r="S1" s="7"/>
      <c r="T1" s="7"/>
      <c r="U1" s="7"/>
      <c r="V1" s="7"/>
      <c r="W1" s="7"/>
      <c r="X1" s="7"/>
      <c r="Y1" s="7"/>
    </row>
    <row r="2" spans="1:81" ht="27.75" customHeight="1" x14ac:dyDescent="0.2">
      <c r="A2" s="303"/>
      <c r="B2" s="304"/>
      <c r="C2" s="304"/>
      <c r="D2" s="304"/>
      <c r="E2" s="304"/>
      <c r="F2" s="304"/>
      <c r="G2" s="304"/>
      <c r="H2" s="304"/>
      <c r="I2" s="304"/>
      <c r="J2" s="304"/>
      <c r="K2" s="77"/>
      <c r="L2" s="272" t="s">
        <v>374</v>
      </c>
      <c r="M2" s="295"/>
      <c r="N2" s="295"/>
      <c r="O2" s="295"/>
      <c r="P2" s="295"/>
      <c r="Q2" s="295"/>
      <c r="R2" s="295"/>
      <c r="S2" s="296"/>
      <c r="U2" s="77"/>
      <c r="V2" s="77"/>
      <c r="W2" s="77"/>
      <c r="Y2" s="7"/>
    </row>
    <row r="3" spans="1:81" x14ac:dyDescent="0.2">
      <c r="A3" s="19"/>
      <c r="B3" s="19"/>
      <c r="C3" s="19"/>
      <c r="D3" s="19"/>
      <c r="E3" s="19"/>
      <c r="F3" s="19"/>
      <c r="G3" s="19"/>
      <c r="H3" s="19"/>
      <c r="I3" s="19"/>
      <c r="J3" s="19"/>
      <c r="K3" s="19"/>
      <c r="L3" s="47"/>
      <c r="Y3" s="7"/>
    </row>
    <row r="4" spans="1:81" ht="12.75" customHeight="1" x14ac:dyDescent="0.2">
      <c r="A4" s="82" t="s">
        <v>51</v>
      </c>
      <c r="B4" s="83"/>
      <c r="C4" s="83"/>
      <c r="D4" s="83"/>
      <c r="E4" s="99"/>
      <c r="F4" s="83"/>
      <c r="G4" s="47"/>
      <c r="L4" s="373" t="s">
        <v>380</v>
      </c>
      <c r="M4" s="374"/>
      <c r="N4" s="374"/>
      <c r="O4" s="374"/>
      <c r="P4" s="374"/>
      <c r="Q4" s="374"/>
      <c r="R4" s="374"/>
      <c r="S4" s="375"/>
      <c r="Y4" s="7"/>
    </row>
    <row r="5" spans="1:81" x14ac:dyDescent="0.2">
      <c r="A5" s="71" t="s">
        <v>58</v>
      </c>
      <c r="B5" s="72"/>
      <c r="C5" s="72"/>
      <c r="D5" s="302"/>
      <c r="E5" s="372"/>
      <c r="F5" s="33"/>
      <c r="L5" s="376"/>
      <c r="M5" s="377"/>
      <c r="N5" s="377"/>
      <c r="O5" s="377"/>
      <c r="P5" s="377"/>
      <c r="Q5" s="377"/>
      <c r="R5" s="377"/>
      <c r="S5" s="378"/>
      <c r="Y5" s="7"/>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c r="BT5" s="25"/>
      <c r="BU5" s="25"/>
      <c r="BV5" s="25"/>
      <c r="BW5" s="25"/>
      <c r="BX5" s="25"/>
      <c r="BY5" s="25"/>
    </row>
    <row r="6" spans="1:81" x14ac:dyDescent="0.2">
      <c r="A6" s="79"/>
      <c r="B6" s="80"/>
      <c r="C6" s="80"/>
      <c r="D6" s="78"/>
      <c r="E6" s="78"/>
      <c r="F6" s="78"/>
      <c r="L6" s="47"/>
      <c r="Q6" s="25"/>
      <c r="R6" s="25"/>
      <c r="S6" s="25"/>
      <c r="T6" s="25"/>
      <c r="Z6" s="288" t="s">
        <v>69</v>
      </c>
      <c r="AA6" s="288"/>
      <c r="AB6" s="288"/>
      <c r="AC6" s="288"/>
      <c r="AD6" s="288"/>
      <c r="AE6" s="288"/>
      <c r="AF6" s="288"/>
      <c r="AG6" s="288"/>
      <c r="AH6" s="288"/>
      <c r="AI6" s="288"/>
      <c r="AJ6" s="288"/>
      <c r="AK6" s="288"/>
      <c r="AL6" s="288"/>
      <c r="AM6" s="288"/>
      <c r="AN6" s="288"/>
      <c r="AO6" s="288"/>
      <c r="AP6" s="288"/>
      <c r="AQ6" s="288"/>
      <c r="AR6" s="288"/>
      <c r="AS6" s="288"/>
      <c r="AT6" s="288"/>
      <c r="AU6" s="288"/>
      <c r="AV6" s="288"/>
      <c r="AW6" s="288"/>
      <c r="AX6" s="288"/>
      <c r="AY6" s="288"/>
      <c r="AZ6" s="288"/>
      <c r="BA6" s="288"/>
      <c r="BB6" s="288"/>
      <c r="BC6" s="288"/>
      <c r="BD6" s="288"/>
      <c r="BE6" s="288"/>
      <c r="BF6" s="288"/>
      <c r="BG6" s="288"/>
      <c r="BH6" s="288"/>
      <c r="BI6" s="288"/>
      <c r="BJ6" s="288"/>
      <c r="BK6" s="288"/>
      <c r="BL6" s="288"/>
      <c r="BM6" s="288"/>
      <c r="BN6" s="288"/>
      <c r="BO6" s="288"/>
      <c r="BP6" s="288"/>
      <c r="BQ6" s="288"/>
      <c r="BR6" s="288"/>
      <c r="BS6" s="288"/>
      <c r="BT6" s="288"/>
      <c r="BU6" s="288"/>
      <c r="BV6" s="288"/>
      <c r="BW6" s="288"/>
      <c r="BX6" s="288"/>
      <c r="BY6" s="288"/>
      <c r="BZ6" s="288"/>
      <c r="CA6" s="288"/>
      <c r="CB6" s="288"/>
      <c r="CC6" s="288"/>
    </row>
    <row r="7" spans="1:81" s="114" customFormat="1" x14ac:dyDescent="0.2">
      <c r="A7" s="306" t="s">
        <v>48</v>
      </c>
      <c r="B7" s="307"/>
      <c r="C7" s="307"/>
      <c r="D7" s="307"/>
      <c r="E7" s="307"/>
      <c r="F7" s="307"/>
      <c r="G7" s="307"/>
      <c r="H7" s="307"/>
      <c r="I7" s="307"/>
      <c r="J7" s="307"/>
      <c r="K7" s="307"/>
      <c r="L7" s="307"/>
      <c r="M7" s="307"/>
      <c r="N7" s="307"/>
      <c r="O7" s="307"/>
      <c r="P7" s="307"/>
      <c r="Q7" s="307"/>
      <c r="R7" s="307"/>
      <c r="S7" s="307"/>
      <c r="T7" s="307"/>
      <c r="U7" s="307"/>
      <c r="V7" s="307"/>
      <c r="W7" s="307"/>
      <c r="X7" s="307"/>
      <c r="Y7" s="307"/>
      <c r="Z7" s="117"/>
      <c r="AA7" s="117"/>
      <c r="AB7" s="284" t="s">
        <v>280</v>
      </c>
      <c r="AC7" s="289"/>
      <c r="AD7" s="290"/>
      <c r="AE7" s="117"/>
      <c r="AF7" s="117"/>
      <c r="AG7" s="117"/>
      <c r="AH7" s="117"/>
      <c r="AI7" s="117"/>
      <c r="AJ7" s="117"/>
      <c r="AK7" s="117"/>
      <c r="AL7" s="117"/>
      <c r="AM7" s="117"/>
      <c r="AN7" s="116" t="s">
        <v>67</v>
      </c>
      <c r="AO7" s="117"/>
      <c r="AP7" s="117"/>
      <c r="AQ7" s="284" t="s">
        <v>279</v>
      </c>
      <c r="AR7" s="289"/>
      <c r="AS7" s="289"/>
      <c r="AT7" s="290"/>
      <c r="AU7" s="284" t="s">
        <v>280</v>
      </c>
      <c r="AV7" s="290"/>
      <c r="AW7" s="117"/>
      <c r="AX7" s="117"/>
      <c r="AY7" s="117"/>
      <c r="AZ7" s="116" t="s">
        <v>280</v>
      </c>
      <c r="BA7" s="117"/>
      <c r="BB7" s="118"/>
      <c r="BC7" s="116" t="s">
        <v>284</v>
      </c>
      <c r="BD7" s="284" t="s">
        <v>283</v>
      </c>
      <c r="BE7" s="291"/>
      <c r="BF7" s="291"/>
      <c r="BG7" s="115" t="s">
        <v>302</v>
      </c>
      <c r="BH7" s="284" t="s">
        <v>281</v>
      </c>
      <c r="BI7" s="305"/>
      <c r="BJ7" s="285"/>
      <c r="BK7" s="284" t="s">
        <v>295</v>
      </c>
      <c r="BL7" s="290"/>
      <c r="BM7" s="284" t="s">
        <v>282</v>
      </c>
      <c r="BN7" s="289"/>
      <c r="BO7" s="289"/>
      <c r="BP7" s="289"/>
      <c r="BQ7" s="289"/>
      <c r="BR7" s="290"/>
      <c r="BS7" s="116" t="s">
        <v>265</v>
      </c>
      <c r="BT7" s="284" t="s">
        <v>356</v>
      </c>
      <c r="BU7" s="291"/>
      <c r="BV7" s="292"/>
      <c r="BW7" s="149"/>
      <c r="BX7" s="284" t="s">
        <v>280</v>
      </c>
      <c r="BY7" s="285"/>
      <c r="BZ7" s="149"/>
      <c r="CA7" s="149"/>
      <c r="CB7" s="149"/>
      <c r="CC7" s="149"/>
    </row>
    <row r="8" spans="1:81" ht="12.75" customHeight="1" x14ac:dyDescent="0.2">
      <c r="A8" s="258" t="s">
        <v>27</v>
      </c>
      <c r="B8" s="256"/>
      <c r="C8" s="256"/>
      <c r="D8" s="256"/>
      <c r="E8" s="256"/>
      <c r="F8" s="256"/>
      <c r="G8" s="256"/>
      <c r="H8" s="256"/>
      <c r="I8" s="256"/>
      <c r="J8" s="256"/>
      <c r="K8" s="256"/>
      <c r="L8" s="265"/>
      <c r="M8" s="75"/>
      <c r="N8" s="75"/>
      <c r="O8" s="74" t="s">
        <v>28</v>
      </c>
      <c r="P8" s="75"/>
      <c r="Q8" s="76"/>
      <c r="R8" s="258" t="s">
        <v>29</v>
      </c>
      <c r="S8" s="259"/>
      <c r="T8" s="259"/>
      <c r="U8" s="259"/>
      <c r="V8" s="259"/>
      <c r="W8" s="259"/>
      <c r="X8" s="259"/>
      <c r="Y8" s="280"/>
      <c r="Z8" s="282" t="s">
        <v>266</v>
      </c>
      <c r="AA8" s="282" t="s">
        <v>71</v>
      </c>
      <c r="AB8" s="282" t="s">
        <v>72</v>
      </c>
      <c r="AC8" s="282" t="s">
        <v>267</v>
      </c>
      <c r="AD8" s="282" t="s">
        <v>268</v>
      </c>
      <c r="AE8" s="282" t="s">
        <v>73</v>
      </c>
      <c r="AF8" s="282" t="s">
        <v>269</v>
      </c>
      <c r="AG8" s="282" t="s">
        <v>82</v>
      </c>
      <c r="AH8" s="282" t="s">
        <v>270</v>
      </c>
      <c r="AI8" s="282" t="s">
        <v>271</v>
      </c>
      <c r="AJ8" s="282" t="s">
        <v>96</v>
      </c>
      <c r="AK8" s="282" t="s">
        <v>97</v>
      </c>
      <c r="AL8" s="178"/>
      <c r="AM8" s="282" t="s">
        <v>272</v>
      </c>
      <c r="AN8" s="282" t="s">
        <v>273</v>
      </c>
      <c r="AO8" s="282" t="s">
        <v>135</v>
      </c>
      <c r="AP8" s="282" t="s">
        <v>136</v>
      </c>
      <c r="AQ8" s="282" t="s">
        <v>137</v>
      </c>
      <c r="AR8" s="282" t="s">
        <v>138</v>
      </c>
      <c r="AS8" s="282" t="s">
        <v>139</v>
      </c>
      <c r="AT8" s="282" t="s">
        <v>140</v>
      </c>
      <c r="AU8" s="282" t="s">
        <v>274</v>
      </c>
      <c r="AV8" s="282" t="s">
        <v>275</v>
      </c>
      <c r="AW8" s="282" t="s">
        <v>156</v>
      </c>
      <c r="AX8" s="178"/>
      <c r="AY8" s="282" t="s">
        <v>157</v>
      </c>
      <c r="AZ8" s="282" t="s">
        <v>158</v>
      </c>
      <c r="BA8" s="282" t="s">
        <v>276</v>
      </c>
      <c r="BB8" s="282" t="s">
        <v>167</v>
      </c>
      <c r="BC8" s="282" t="s">
        <v>159</v>
      </c>
      <c r="BD8" s="282" t="s">
        <v>277</v>
      </c>
      <c r="BE8" s="282" t="s">
        <v>278</v>
      </c>
      <c r="BF8" s="282" t="s">
        <v>160</v>
      </c>
      <c r="BG8" s="282" t="s">
        <v>161</v>
      </c>
      <c r="BH8" s="282" t="s">
        <v>162</v>
      </c>
      <c r="BI8" s="282" t="s">
        <v>163</v>
      </c>
      <c r="BJ8" s="282" t="s">
        <v>164</v>
      </c>
      <c r="BK8" s="286" t="s">
        <v>423</v>
      </c>
      <c r="BL8" s="286" t="s">
        <v>424</v>
      </c>
      <c r="BM8" s="282" t="s">
        <v>202</v>
      </c>
      <c r="BN8" s="282" t="s">
        <v>205</v>
      </c>
      <c r="BO8" s="282" t="s">
        <v>206</v>
      </c>
      <c r="BP8" s="282" t="s">
        <v>209</v>
      </c>
      <c r="BQ8" s="282" t="s">
        <v>204</v>
      </c>
      <c r="BR8" s="282" t="s">
        <v>210</v>
      </c>
      <c r="BS8" s="282" t="s">
        <v>264</v>
      </c>
      <c r="BT8" s="282" t="s">
        <v>359</v>
      </c>
      <c r="BU8" s="282" t="s">
        <v>360</v>
      </c>
      <c r="BV8" s="282" t="s">
        <v>361</v>
      </c>
      <c r="BW8" s="282" t="s">
        <v>364</v>
      </c>
      <c r="BX8" s="282" t="s">
        <v>433</v>
      </c>
      <c r="BY8" s="286" t="s">
        <v>460</v>
      </c>
      <c r="BZ8" s="286" t="s">
        <v>466</v>
      </c>
      <c r="CA8" s="286" t="s">
        <v>492</v>
      </c>
      <c r="CB8" s="286" t="s">
        <v>494</v>
      </c>
      <c r="CC8" s="286" t="s">
        <v>495</v>
      </c>
    </row>
    <row r="9" spans="1:81" x14ac:dyDescent="0.2">
      <c r="A9" s="1" t="s">
        <v>9</v>
      </c>
      <c r="B9" s="1" t="s">
        <v>21</v>
      </c>
      <c r="C9" s="1" t="s">
        <v>497</v>
      </c>
      <c r="D9" s="1" t="s">
        <v>10</v>
      </c>
      <c r="E9" s="49" t="s">
        <v>23</v>
      </c>
      <c r="F9" s="1" t="s">
        <v>86</v>
      </c>
      <c r="G9" s="1" t="s">
        <v>85</v>
      </c>
      <c r="H9" s="2" t="s">
        <v>12</v>
      </c>
      <c r="I9" s="16" t="s">
        <v>143</v>
      </c>
      <c r="J9" s="2" t="s">
        <v>40</v>
      </c>
      <c r="K9" s="2" t="s">
        <v>117</v>
      </c>
      <c r="L9" s="2" t="s">
        <v>141</v>
      </c>
      <c r="M9" s="2" t="s">
        <v>13</v>
      </c>
      <c r="N9" s="1" t="s">
        <v>14</v>
      </c>
      <c r="O9" s="1" t="s">
        <v>15</v>
      </c>
      <c r="P9" s="1" t="s">
        <v>16</v>
      </c>
      <c r="Q9" s="1" t="s">
        <v>17</v>
      </c>
      <c r="R9" s="151" t="s">
        <v>22</v>
      </c>
      <c r="S9" s="151" t="s">
        <v>24</v>
      </c>
      <c r="T9" s="151" t="s">
        <v>18</v>
      </c>
      <c r="U9" s="151" t="s">
        <v>19</v>
      </c>
      <c r="V9" s="151" t="s">
        <v>20</v>
      </c>
      <c r="W9" s="151" t="s">
        <v>114</v>
      </c>
      <c r="X9" s="151" t="s">
        <v>115</v>
      </c>
      <c r="Y9" s="151" t="s">
        <v>83</v>
      </c>
      <c r="Z9" s="283"/>
      <c r="AA9" s="283"/>
      <c r="AB9" s="283"/>
      <c r="AC9" s="283"/>
      <c r="AD9" s="283"/>
      <c r="AE9" s="283"/>
      <c r="AF9" s="283"/>
      <c r="AG9" s="283"/>
      <c r="AH9" s="283"/>
      <c r="AI9" s="283"/>
      <c r="AJ9" s="283"/>
      <c r="AK9" s="283"/>
      <c r="AL9" s="179"/>
      <c r="AM9" s="283"/>
      <c r="AN9" s="283"/>
      <c r="AO9" s="283"/>
      <c r="AP9" s="283"/>
      <c r="AQ9" s="283"/>
      <c r="AR9" s="283"/>
      <c r="AS9" s="283"/>
      <c r="AT9" s="283"/>
      <c r="AU9" s="283"/>
      <c r="AV9" s="283"/>
      <c r="AW9" s="283"/>
      <c r="AX9" s="179"/>
      <c r="AY9" s="283"/>
      <c r="AZ9" s="283"/>
      <c r="BA9" s="283"/>
      <c r="BB9" s="283"/>
      <c r="BC9" s="283"/>
      <c r="BD9" s="283"/>
      <c r="BE9" s="283"/>
      <c r="BF9" s="283"/>
      <c r="BG9" s="283"/>
      <c r="BH9" s="283"/>
      <c r="BI9" s="283"/>
      <c r="BJ9" s="283"/>
      <c r="BK9" s="283"/>
      <c r="BL9" s="283"/>
      <c r="BM9" s="283"/>
      <c r="BN9" s="283"/>
      <c r="BO9" s="283"/>
      <c r="BP9" s="283"/>
      <c r="BQ9" s="283"/>
      <c r="BR9" s="283"/>
      <c r="BS9" s="283"/>
      <c r="BT9" s="283"/>
      <c r="BU9" s="283"/>
      <c r="BV9" s="283"/>
      <c r="BW9" s="283"/>
      <c r="BX9" s="283"/>
      <c r="BY9" s="283"/>
      <c r="BZ9" s="287"/>
      <c r="CA9" s="287"/>
      <c r="CB9" s="287"/>
      <c r="CC9" s="287"/>
    </row>
    <row r="10" spans="1:81" x14ac:dyDescent="0.2">
      <c r="A10" s="5"/>
      <c r="B10" s="5"/>
      <c r="C10" s="5"/>
      <c r="D10" s="5"/>
      <c r="E10" s="60"/>
      <c r="F10" s="5"/>
      <c r="G10" s="5"/>
      <c r="H10" s="5"/>
      <c r="I10" s="5"/>
      <c r="J10" s="5"/>
      <c r="K10" s="5"/>
      <c r="L10" s="5"/>
      <c r="M10" s="6"/>
      <c r="N10" s="6"/>
      <c r="O10" s="6"/>
      <c r="P10" s="6"/>
      <c r="Q10" s="108"/>
      <c r="R10" s="5"/>
      <c r="S10" s="5"/>
      <c r="T10" s="5"/>
      <c r="U10" s="5"/>
      <c r="V10" s="5"/>
      <c r="W10" s="5"/>
      <c r="X10" s="5"/>
      <c r="Y10" s="5"/>
      <c r="Z10" s="167"/>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6"/>
      <c r="BW10" s="6"/>
      <c r="BX10" s="6"/>
      <c r="BY10" s="6"/>
      <c r="BZ10" s="6"/>
      <c r="CA10" s="6"/>
      <c r="CB10" s="6"/>
      <c r="CC10" s="6"/>
    </row>
    <row r="11" spans="1:81" x14ac:dyDescent="0.2">
      <c r="A11" s="369" t="s">
        <v>377</v>
      </c>
      <c r="B11" s="370"/>
      <c r="C11" s="370"/>
      <c r="D11" s="371"/>
      <c r="E11" s="60"/>
      <c r="F11" s="5"/>
      <c r="G11" s="5"/>
      <c r="H11" s="5"/>
      <c r="I11" s="5"/>
      <c r="J11" s="5"/>
      <c r="K11" s="35"/>
      <c r="L11" s="5"/>
      <c r="M11" s="6"/>
      <c r="N11" s="6"/>
      <c r="O11" s="6"/>
      <c r="P11" s="6"/>
      <c r="Q11" s="108"/>
      <c r="R11" s="5"/>
      <c r="S11" s="5"/>
      <c r="T11" s="5"/>
      <c r="U11" s="5"/>
      <c r="V11" s="5"/>
      <c r="W11" s="5"/>
      <c r="X11" s="5"/>
      <c r="Y11" s="5"/>
      <c r="Z11" s="167"/>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c r="BQ11" s="6"/>
      <c r="BR11" s="6"/>
      <c r="BS11" s="6"/>
      <c r="BT11" s="6"/>
      <c r="BU11" s="6"/>
      <c r="BV11" s="6"/>
      <c r="BW11" s="6"/>
      <c r="BX11" s="6"/>
      <c r="BY11" s="6"/>
      <c r="BZ11" s="6"/>
      <c r="CA11" s="6"/>
      <c r="CB11" s="6"/>
      <c r="CC11" s="6"/>
    </row>
    <row r="12" spans="1:81" x14ac:dyDescent="0.2">
      <c r="A12" s="363" t="s">
        <v>388</v>
      </c>
      <c r="B12" s="364"/>
      <c r="C12" s="364"/>
      <c r="D12" s="364"/>
      <c r="E12" s="364"/>
      <c r="F12" s="364"/>
      <c r="G12" s="193"/>
      <c r="H12" s="5"/>
      <c r="I12" s="5"/>
      <c r="J12" s="5"/>
      <c r="K12" s="35"/>
      <c r="L12" s="5"/>
      <c r="M12" s="6"/>
      <c r="N12" s="6"/>
      <c r="O12" s="6"/>
      <c r="P12" s="6"/>
      <c r="Q12" s="108"/>
      <c r="R12" s="5"/>
      <c r="S12" s="5"/>
      <c r="T12" s="5"/>
      <c r="U12" s="5"/>
      <c r="V12" s="5"/>
      <c r="W12" s="5"/>
      <c r="X12" s="5"/>
      <c r="Y12" s="5"/>
      <c r="Z12" s="167"/>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c r="CA12" s="6"/>
      <c r="CB12" s="6"/>
      <c r="CC12" s="6"/>
    </row>
    <row r="13" spans="1:81" x14ac:dyDescent="0.2">
      <c r="A13" s="5" t="s">
        <v>368</v>
      </c>
      <c r="B13" s="5" t="s">
        <v>11</v>
      </c>
      <c r="C13" s="5"/>
      <c r="D13" s="5"/>
      <c r="E13" s="60"/>
      <c r="F13" s="5"/>
      <c r="G13" s="3"/>
      <c r="H13" s="13" t="s">
        <v>67</v>
      </c>
      <c r="I13" s="5"/>
      <c r="J13" s="5" t="s">
        <v>43</v>
      </c>
      <c r="K13" s="97"/>
      <c r="L13" s="5"/>
      <c r="M13" s="4" t="s">
        <v>149</v>
      </c>
      <c r="N13" s="6">
        <v>100</v>
      </c>
      <c r="O13" s="6" t="s">
        <v>372</v>
      </c>
      <c r="P13" s="6"/>
      <c r="Q13" s="109"/>
      <c r="R13" s="5"/>
      <c r="S13" s="5"/>
      <c r="T13" s="5"/>
      <c r="U13" s="5"/>
      <c r="V13" s="5"/>
      <c r="W13" s="5"/>
      <c r="X13" s="5"/>
      <c r="Y13" s="5"/>
      <c r="Z13" s="167"/>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c r="BQ13" s="6"/>
      <c r="BR13" s="6"/>
      <c r="BS13" s="6"/>
      <c r="BT13" s="6"/>
      <c r="BU13" s="6"/>
      <c r="BV13" s="6"/>
      <c r="BW13" s="6"/>
      <c r="BX13" s="6"/>
      <c r="BY13" s="6"/>
      <c r="BZ13" s="6"/>
      <c r="CA13" s="6"/>
      <c r="CB13" s="6"/>
      <c r="CC13" s="6"/>
    </row>
    <row r="14" spans="1:81" x14ac:dyDescent="0.2">
      <c r="A14" s="5" t="s">
        <v>368</v>
      </c>
      <c r="B14" s="5" t="s">
        <v>11</v>
      </c>
      <c r="C14" s="5"/>
      <c r="D14" s="5"/>
      <c r="E14" s="60"/>
      <c r="F14" s="5"/>
      <c r="G14" s="5"/>
      <c r="H14" s="13" t="s">
        <v>67</v>
      </c>
      <c r="I14" s="5"/>
      <c r="J14" s="5" t="s">
        <v>43</v>
      </c>
      <c r="K14" s="97"/>
      <c r="L14" s="5"/>
      <c r="M14" s="4" t="s">
        <v>151</v>
      </c>
      <c r="N14" s="6">
        <v>100</v>
      </c>
      <c r="O14" s="6" t="s">
        <v>373</v>
      </c>
      <c r="P14" s="6"/>
      <c r="Q14" s="109"/>
      <c r="R14" s="5"/>
      <c r="S14" s="5"/>
      <c r="T14" s="5"/>
      <c r="U14" s="5"/>
      <c r="V14" s="5"/>
      <c r="W14" s="5"/>
      <c r="X14" s="5"/>
      <c r="Y14" s="5"/>
      <c r="Z14" s="167"/>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row>
    <row r="15" spans="1:81" x14ac:dyDescent="0.2">
      <c r="A15" s="5" t="s">
        <v>368</v>
      </c>
      <c r="B15" s="5" t="s">
        <v>11</v>
      </c>
      <c r="C15" s="5"/>
      <c r="D15" s="5"/>
      <c r="E15" s="60"/>
      <c r="F15" s="5"/>
      <c r="G15" s="5"/>
      <c r="H15" s="13" t="s">
        <v>67</v>
      </c>
      <c r="I15" s="5"/>
      <c r="J15" s="5" t="s">
        <v>43</v>
      </c>
      <c r="K15" s="97"/>
      <c r="L15" s="5"/>
      <c r="M15" s="4" t="s">
        <v>151</v>
      </c>
      <c r="N15" s="6">
        <v>100</v>
      </c>
      <c r="O15" s="6" t="s">
        <v>372</v>
      </c>
      <c r="P15" s="6"/>
      <c r="Q15" s="109"/>
      <c r="R15" s="5"/>
      <c r="S15" s="5"/>
      <c r="T15" s="5"/>
      <c r="U15" s="5"/>
      <c r="V15" s="5"/>
      <c r="W15" s="5"/>
      <c r="X15" s="5"/>
      <c r="Y15" s="5"/>
      <c r="Z15" s="167"/>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row>
    <row r="16" spans="1:81" x14ac:dyDescent="0.2">
      <c r="A16" s="5"/>
      <c r="B16" s="5"/>
      <c r="C16" s="5"/>
      <c r="D16" s="5"/>
      <c r="E16" s="60"/>
      <c r="F16" s="5"/>
      <c r="G16" s="5"/>
      <c r="H16" s="13"/>
      <c r="I16" s="5"/>
      <c r="J16" s="5"/>
      <c r="K16" s="97"/>
      <c r="L16" s="5"/>
      <c r="M16" s="4"/>
      <c r="N16" s="6"/>
      <c r="O16" s="6"/>
      <c r="P16" s="6"/>
      <c r="Q16" s="109"/>
      <c r="R16" s="5"/>
      <c r="S16" s="5"/>
      <c r="T16" s="5"/>
      <c r="U16" s="5"/>
      <c r="V16" s="5"/>
      <c r="W16" s="5"/>
      <c r="X16" s="5"/>
      <c r="Y16" s="5"/>
      <c r="Z16" s="167"/>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row>
    <row r="17" spans="1:81" x14ac:dyDescent="0.2">
      <c r="A17" s="8" t="s">
        <v>382</v>
      </c>
      <c r="B17" s="8"/>
      <c r="C17" s="8"/>
      <c r="D17" s="8"/>
      <c r="E17" s="8"/>
      <c r="F17" s="8"/>
      <c r="G17" s="8"/>
      <c r="H17" s="8"/>
      <c r="I17" s="5"/>
      <c r="J17" s="5"/>
      <c r="K17" s="35"/>
      <c r="L17" s="5"/>
      <c r="M17" s="6"/>
      <c r="N17" s="6"/>
      <c r="O17" s="6"/>
      <c r="P17" s="6"/>
      <c r="Q17" s="108"/>
      <c r="R17" s="5"/>
      <c r="S17" s="5"/>
      <c r="T17" s="5"/>
      <c r="U17" s="5"/>
      <c r="V17" s="5"/>
      <c r="W17" s="5"/>
      <c r="X17" s="5"/>
      <c r="Y17" s="5"/>
      <c r="Z17" s="167"/>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row>
    <row r="18" spans="1:81" x14ac:dyDescent="0.2">
      <c r="A18" s="363" t="s">
        <v>388</v>
      </c>
      <c r="B18" s="364"/>
      <c r="C18" s="364"/>
      <c r="D18" s="364"/>
      <c r="E18" s="364"/>
      <c r="F18" s="365"/>
      <c r="G18" s="194"/>
      <c r="H18" s="13"/>
      <c r="I18" s="13"/>
      <c r="J18" s="13"/>
      <c r="K18" s="35"/>
      <c r="L18" s="5"/>
      <c r="M18" s="6"/>
      <c r="N18" s="6"/>
      <c r="O18" s="6"/>
      <c r="P18" s="6"/>
      <c r="Q18" s="108"/>
      <c r="R18" s="5"/>
      <c r="S18" s="5"/>
      <c r="T18" s="5"/>
      <c r="U18" s="5"/>
      <c r="V18" s="5"/>
      <c r="W18" s="5"/>
      <c r="X18" s="5"/>
      <c r="Y18" s="5"/>
      <c r="Z18" s="167"/>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row>
    <row r="19" spans="1:81" x14ac:dyDescent="0.2">
      <c r="A19" s="13" t="s">
        <v>194</v>
      </c>
      <c r="B19" s="13" t="s">
        <v>30</v>
      </c>
      <c r="C19" s="13">
        <v>201101</v>
      </c>
      <c r="D19" s="13">
        <v>470</v>
      </c>
      <c r="E19" s="59" t="s">
        <v>35</v>
      </c>
      <c r="F19" s="13">
        <v>100</v>
      </c>
      <c r="G19" s="13"/>
      <c r="H19" s="13" t="s">
        <v>67</v>
      </c>
      <c r="I19" s="13"/>
      <c r="J19" s="13" t="s">
        <v>43</v>
      </c>
      <c r="K19" s="35"/>
      <c r="L19" s="5"/>
      <c r="M19" s="6" t="s">
        <v>149</v>
      </c>
      <c r="N19" s="6">
        <v>1</v>
      </c>
      <c r="O19" s="6" t="s">
        <v>379</v>
      </c>
      <c r="P19" s="6"/>
      <c r="Q19" s="108"/>
      <c r="R19" s="5"/>
      <c r="S19" s="5"/>
      <c r="T19" s="5"/>
      <c r="U19" s="5"/>
      <c r="V19" s="5"/>
      <c r="W19" s="5"/>
      <c r="X19" s="5"/>
      <c r="Y19" s="5"/>
      <c r="Z19" s="167"/>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row>
    <row r="20" spans="1:81" x14ac:dyDescent="0.2">
      <c r="A20" s="14" t="s">
        <v>68</v>
      </c>
      <c r="B20" s="13" t="s">
        <v>30</v>
      </c>
      <c r="C20" s="13">
        <v>201101</v>
      </c>
      <c r="D20" s="13">
        <v>20</v>
      </c>
      <c r="E20" s="59" t="s">
        <v>35</v>
      </c>
      <c r="F20" s="13">
        <v>100</v>
      </c>
      <c r="G20" s="13"/>
      <c r="H20" s="13" t="s">
        <v>67</v>
      </c>
      <c r="I20" s="13" t="s">
        <v>207</v>
      </c>
      <c r="J20" s="13" t="s">
        <v>43</v>
      </c>
      <c r="K20" s="35"/>
      <c r="L20" s="5"/>
      <c r="M20" s="6" t="s">
        <v>149</v>
      </c>
      <c r="N20" s="6">
        <v>1</v>
      </c>
      <c r="O20" s="6" t="s">
        <v>379</v>
      </c>
      <c r="P20" s="6"/>
      <c r="Q20" s="108"/>
      <c r="R20" s="5"/>
      <c r="S20" s="5"/>
      <c r="T20" s="5"/>
      <c r="U20" s="5"/>
      <c r="V20" s="5"/>
      <c r="W20" s="5"/>
      <c r="X20" s="5"/>
      <c r="Y20" s="5"/>
      <c r="Z20" s="167"/>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row>
    <row r="21" spans="1:81" x14ac:dyDescent="0.2">
      <c r="A21" s="14"/>
      <c r="B21" s="13"/>
      <c r="C21" s="13"/>
      <c r="D21" s="13"/>
      <c r="E21" s="59"/>
      <c r="F21" s="13"/>
      <c r="G21" s="14"/>
      <c r="H21" s="13"/>
      <c r="I21" s="13"/>
      <c r="J21" s="13"/>
      <c r="K21" s="35"/>
      <c r="L21" s="5"/>
      <c r="M21" s="6"/>
      <c r="N21" s="6"/>
      <c r="O21" s="6"/>
      <c r="P21" s="6"/>
      <c r="Q21" s="108"/>
      <c r="R21" s="5"/>
      <c r="S21" s="5"/>
      <c r="T21" s="5"/>
      <c r="U21" s="5"/>
      <c r="V21" s="5"/>
      <c r="W21" s="5"/>
      <c r="X21" s="5"/>
      <c r="Y21" s="5"/>
      <c r="Z21" s="167"/>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c r="CC21" s="6"/>
    </row>
    <row r="22" spans="1:81" x14ac:dyDescent="0.2">
      <c r="A22" s="366" t="s">
        <v>378</v>
      </c>
      <c r="B22" s="367"/>
      <c r="C22" s="367"/>
      <c r="D22" s="367"/>
      <c r="E22" s="367"/>
      <c r="F22" s="368"/>
      <c r="G22" s="195"/>
      <c r="H22" s="5"/>
      <c r="I22" s="5"/>
      <c r="J22" s="5"/>
      <c r="K22" s="35"/>
      <c r="L22" s="5"/>
      <c r="M22" s="6"/>
      <c r="N22" s="6"/>
      <c r="O22" s="6"/>
      <c r="P22" s="6"/>
      <c r="Q22" s="108"/>
      <c r="R22" s="5"/>
      <c r="S22" s="5"/>
      <c r="T22" s="5"/>
      <c r="U22" s="5"/>
      <c r="V22" s="5"/>
      <c r="W22" s="5"/>
      <c r="X22" s="5"/>
      <c r="Y22" s="5"/>
      <c r="Z22" s="167"/>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c r="CA22" s="6"/>
      <c r="CB22" s="6"/>
      <c r="CC22" s="6"/>
    </row>
    <row r="23" spans="1:81" ht="12.75" customHeight="1" x14ac:dyDescent="0.2">
      <c r="A23" s="363" t="s">
        <v>388</v>
      </c>
      <c r="B23" s="364"/>
      <c r="C23" s="364"/>
      <c r="D23" s="364"/>
      <c r="E23" s="364"/>
      <c r="F23" s="365"/>
      <c r="G23" s="194"/>
      <c r="H23" s="5"/>
      <c r="I23" s="5"/>
      <c r="J23" s="5"/>
      <c r="K23" s="35"/>
      <c r="L23" s="5"/>
      <c r="M23" s="6"/>
      <c r="N23" s="6"/>
      <c r="O23" s="6"/>
      <c r="P23" s="6"/>
      <c r="Q23" s="108"/>
      <c r="R23" s="5"/>
      <c r="S23" s="5"/>
      <c r="T23" s="5"/>
      <c r="U23" s="5"/>
      <c r="V23" s="5"/>
      <c r="W23" s="5"/>
      <c r="X23" s="5"/>
      <c r="Y23" s="5"/>
      <c r="Z23" s="167"/>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row>
    <row r="24" spans="1:81" x14ac:dyDescent="0.2">
      <c r="A24" s="3" t="s">
        <v>430</v>
      </c>
      <c r="B24" s="3" t="s">
        <v>11</v>
      </c>
      <c r="C24" s="5"/>
      <c r="D24" s="5"/>
      <c r="E24" s="60"/>
      <c r="F24" s="5"/>
      <c r="G24" s="5"/>
      <c r="H24" s="3" t="s">
        <v>67</v>
      </c>
      <c r="I24" s="5"/>
      <c r="J24" s="3" t="s">
        <v>43</v>
      </c>
      <c r="K24" s="97"/>
      <c r="L24" s="5"/>
      <c r="M24" s="6" t="s">
        <v>151</v>
      </c>
      <c r="N24" s="6">
        <v>100</v>
      </c>
      <c r="O24" s="6" t="s">
        <v>265</v>
      </c>
      <c r="P24" s="6"/>
      <c r="Q24" s="108"/>
      <c r="R24" s="5"/>
      <c r="S24" s="5"/>
      <c r="T24" s="5"/>
      <c r="U24" s="5"/>
      <c r="V24" s="5"/>
      <c r="W24" s="5"/>
      <c r="X24" s="5"/>
      <c r="Y24" s="5"/>
      <c r="Z24" s="167"/>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c r="BU24" s="6"/>
      <c r="BV24" s="6"/>
      <c r="BW24" s="6"/>
      <c r="BX24" s="6"/>
      <c r="BY24" s="6"/>
      <c r="BZ24" s="6"/>
      <c r="CA24" s="6"/>
      <c r="CB24" s="6"/>
      <c r="CC24" s="6"/>
    </row>
    <row r="25" spans="1:81" x14ac:dyDescent="0.2">
      <c r="A25" s="8"/>
      <c r="B25" s="5"/>
      <c r="C25" s="5"/>
      <c r="D25" s="5"/>
      <c r="E25" s="60"/>
      <c r="F25" s="5"/>
      <c r="G25" s="5"/>
      <c r="H25" s="5"/>
      <c r="I25" s="5"/>
      <c r="J25" s="5"/>
      <c r="K25" s="97"/>
      <c r="L25" s="5"/>
      <c r="M25" s="4"/>
      <c r="N25" s="6"/>
      <c r="O25" s="6"/>
      <c r="P25" s="4"/>
      <c r="Q25" s="109"/>
      <c r="R25" s="5"/>
      <c r="S25" s="5"/>
      <c r="T25" s="5"/>
      <c r="U25" s="5"/>
      <c r="V25" s="5"/>
      <c r="W25" s="5"/>
      <c r="X25" s="5"/>
      <c r="Y25" s="5"/>
      <c r="Z25" s="167"/>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c r="CA25" s="6"/>
      <c r="CB25" s="6"/>
      <c r="CC25" s="6"/>
    </row>
    <row r="26" spans="1:81" x14ac:dyDescent="0.2">
      <c r="A26" s="8"/>
      <c r="B26" s="5"/>
      <c r="C26" s="5"/>
      <c r="D26" s="5"/>
      <c r="E26" s="60"/>
      <c r="F26" s="5"/>
      <c r="G26" s="5"/>
      <c r="H26" s="5"/>
      <c r="I26" s="5"/>
      <c r="J26" s="5"/>
      <c r="K26" s="97"/>
      <c r="L26" s="5"/>
      <c r="M26" s="4"/>
      <c r="N26" s="6"/>
      <c r="O26" s="6"/>
      <c r="P26" s="4"/>
      <c r="Q26" s="109"/>
      <c r="R26" s="5"/>
      <c r="S26" s="5"/>
      <c r="T26" s="5"/>
      <c r="U26" s="5"/>
      <c r="V26" s="5"/>
      <c r="W26" s="5"/>
      <c r="X26" s="5"/>
      <c r="Y26" s="5"/>
      <c r="Z26" s="167"/>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c r="CC26" s="6"/>
    </row>
    <row r="27" spans="1:81" ht="12.75" customHeight="1" x14ac:dyDescent="0.2">
      <c r="A27" s="8" t="s">
        <v>381</v>
      </c>
      <c r="B27" s="5"/>
      <c r="C27" s="5"/>
      <c r="D27" s="5"/>
      <c r="E27" s="60"/>
      <c r="F27" s="5"/>
      <c r="G27" s="5"/>
      <c r="H27" s="5"/>
      <c r="I27" s="5"/>
      <c r="J27" s="5"/>
      <c r="K27" s="97"/>
      <c r="L27" s="5"/>
      <c r="M27" s="4"/>
      <c r="N27" s="6"/>
      <c r="O27" s="6"/>
      <c r="P27" s="4"/>
      <c r="Q27" s="109"/>
      <c r="R27" s="5"/>
      <c r="S27" s="5"/>
      <c r="T27" s="5"/>
      <c r="U27" s="5"/>
      <c r="V27" s="5"/>
      <c r="W27" s="5"/>
      <c r="X27" s="5"/>
      <c r="Y27" s="5"/>
      <c r="Z27" s="167"/>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row>
    <row r="28" spans="1:81" ht="15" customHeight="1" x14ac:dyDescent="0.2">
      <c r="A28" s="363" t="s">
        <v>388</v>
      </c>
      <c r="B28" s="364"/>
      <c r="C28" s="364"/>
      <c r="D28" s="364"/>
      <c r="E28" s="364"/>
      <c r="F28" s="365"/>
      <c r="G28" s="194"/>
      <c r="H28" s="5"/>
      <c r="I28" s="5"/>
      <c r="J28" s="5"/>
      <c r="K28" s="97"/>
      <c r="L28" s="5"/>
      <c r="M28" s="4"/>
      <c r="N28" s="6"/>
      <c r="O28" s="6"/>
      <c r="P28" s="4"/>
      <c r="Q28" s="109"/>
      <c r="R28" s="5"/>
      <c r="S28" s="5"/>
      <c r="T28" s="5"/>
      <c r="U28" s="5"/>
      <c r="V28" s="5"/>
      <c r="W28" s="5"/>
      <c r="X28" s="5"/>
      <c r="Y28" s="5"/>
      <c r="Z28" s="167"/>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row>
    <row r="29" spans="1:81" x14ac:dyDescent="0.2">
      <c r="A29" s="5" t="s">
        <v>25</v>
      </c>
      <c r="B29" s="5" t="s">
        <v>11</v>
      </c>
      <c r="C29" s="5"/>
      <c r="D29" s="5"/>
      <c r="E29" s="60"/>
      <c r="F29" s="5"/>
      <c r="G29" s="5"/>
      <c r="H29" s="3" t="s">
        <v>67</v>
      </c>
      <c r="I29" s="5"/>
      <c r="J29" s="3" t="s">
        <v>43</v>
      </c>
      <c r="K29" s="97"/>
      <c r="L29" s="5"/>
      <c r="M29" s="4" t="s">
        <v>149</v>
      </c>
      <c r="N29" s="6">
        <v>10000</v>
      </c>
      <c r="O29" s="6" t="s">
        <v>372</v>
      </c>
      <c r="P29" s="4"/>
      <c r="Q29" s="109"/>
      <c r="R29" s="5"/>
      <c r="S29" s="5"/>
      <c r="T29" s="5"/>
      <c r="U29" s="5"/>
      <c r="V29" s="5"/>
      <c r="W29" s="5"/>
      <c r="X29" s="5"/>
      <c r="Y29" s="5"/>
      <c r="Z29" s="167"/>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c r="CA29" s="6"/>
      <c r="CB29" s="6"/>
      <c r="CC29" s="6"/>
    </row>
    <row r="30" spans="1:81" x14ac:dyDescent="0.2">
      <c r="A30" s="8"/>
      <c r="B30" s="5"/>
      <c r="C30" s="5"/>
      <c r="D30" s="5"/>
      <c r="E30" s="60"/>
      <c r="F30" s="5"/>
      <c r="G30" s="5"/>
      <c r="H30" s="5"/>
      <c r="I30" s="5"/>
      <c r="J30" s="5"/>
      <c r="K30" s="97"/>
      <c r="L30" s="5"/>
      <c r="M30" s="4"/>
      <c r="N30" s="6"/>
      <c r="O30" s="6"/>
      <c r="P30" s="4"/>
      <c r="Q30" s="109"/>
      <c r="R30" s="5"/>
      <c r="S30" s="5"/>
      <c r="T30" s="5"/>
      <c r="U30" s="5"/>
      <c r="V30" s="5"/>
      <c r="W30" s="5"/>
      <c r="X30" s="5"/>
      <c r="Y30" s="5"/>
      <c r="Z30" s="167"/>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c r="CA30" s="6"/>
      <c r="CB30" s="6"/>
      <c r="CC30" s="6"/>
    </row>
    <row r="31" spans="1:81" x14ac:dyDescent="0.2">
      <c r="A31" s="8"/>
      <c r="B31" s="5"/>
      <c r="C31" s="5"/>
      <c r="D31" s="5"/>
      <c r="E31" s="60"/>
      <c r="F31" s="5"/>
      <c r="G31" s="5"/>
      <c r="H31" s="13"/>
      <c r="I31" s="13"/>
      <c r="J31" s="13"/>
      <c r="K31" s="97"/>
      <c r="L31" s="5"/>
      <c r="M31" s="6"/>
      <c r="N31" s="6"/>
      <c r="O31" s="6"/>
      <c r="P31" s="4"/>
      <c r="Q31" s="109"/>
      <c r="R31" s="5"/>
      <c r="S31" s="5"/>
      <c r="T31" s="5"/>
      <c r="U31" s="5"/>
      <c r="V31" s="5"/>
      <c r="W31" s="5"/>
      <c r="X31" s="5"/>
      <c r="Y31" s="5"/>
      <c r="Z31" s="167"/>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row>
    <row r="32" spans="1:81" x14ac:dyDescent="0.2">
      <c r="A32" s="8" t="s">
        <v>429</v>
      </c>
      <c r="B32" s="13"/>
      <c r="C32" s="13"/>
      <c r="D32" s="13"/>
      <c r="E32" s="59"/>
      <c r="F32" s="13"/>
      <c r="G32" s="13"/>
      <c r="H32" s="13"/>
      <c r="I32" s="13"/>
      <c r="J32" s="13"/>
      <c r="K32" s="97"/>
      <c r="L32" s="5"/>
      <c r="M32" s="4"/>
      <c r="N32" s="6"/>
      <c r="O32" s="6"/>
      <c r="P32" s="4"/>
      <c r="Q32" s="109"/>
      <c r="R32" s="5"/>
      <c r="S32" s="5"/>
      <c r="T32" s="5"/>
      <c r="U32" s="5"/>
      <c r="V32" s="5"/>
      <c r="W32" s="5"/>
      <c r="X32" s="5"/>
      <c r="Y32" s="5"/>
      <c r="Z32" s="167"/>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c r="CA32" s="6"/>
      <c r="CB32" s="6"/>
      <c r="CC32" s="6"/>
    </row>
    <row r="33" spans="1:81" x14ac:dyDescent="0.2">
      <c r="A33" s="363" t="s">
        <v>388</v>
      </c>
      <c r="B33" s="364"/>
      <c r="C33" s="364"/>
      <c r="D33" s="364"/>
      <c r="E33" s="364"/>
      <c r="F33" s="365"/>
      <c r="G33" s="194"/>
      <c r="H33" s="13"/>
      <c r="I33" s="13"/>
      <c r="J33" s="13"/>
      <c r="K33" s="97"/>
      <c r="L33" s="5"/>
      <c r="M33" s="4"/>
      <c r="N33" s="6"/>
      <c r="O33" s="6"/>
      <c r="P33" s="4"/>
      <c r="Q33" s="109"/>
      <c r="R33" s="5"/>
      <c r="S33" s="5"/>
      <c r="T33" s="5"/>
      <c r="U33" s="5"/>
      <c r="V33" s="5"/>
      <c r="W33" s="5"/>
      <c r="X33" s="5"/>
      <c r="Y33" s="5"/>
      <c r="Z33" s="167"/>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row>
    <row r="34" spans="1:81" x14ac:dyDescent="0.2">
      <c r="A34" s="14" t="s">
        <v>194</v>
      </c>
      <c r="B34" s="14" t="s">
        <v>11</v>
      </c>
      <c r="C34" s="13"/>
      <c r="D34" s="13"/>
      <c r="E34" s="59"/>
      <c r="F34" s="13"/>
      <c r="G34" s="13"/>
      <c r="H34" s="14" t="s">
        <v>67</v>
      </c>
      <c r="I34" s="13"/>
      <c r="J34" s="14" t="s">
        <v>43</v>
      </c>
      <c r="K34" s="97"/>
      <c r="L34" s="5"/>
      <c r="M34" s="4" t="s">
        <v>149</v>
      </c>
      <c r="N34" s="6">
        <v>100</v>
      </c>
      <c r="O34" s="6" t="s">
        <v>428</v>
      </c>
      <c r="P34" s="4"/>
      <c r="Q34" s="109"/>
      <c r="R34" s="5"/>
      <c r="S34" s="5"/>
      <c r="T34" s="5"/>
      <c r="U34" s="5"/>
      <c r="V34" s="5"/>
      <c r="W34" s="5"/>
      <c r="X34" s="5"/>
      <c r="Y34" s="5"/>
      <c r="Z34" s="167"/>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c r="CA34" s="6"/>
      <c r="CB34" s="6"/>
      <c r="CC34" s="6"/>
    </row>
    <row r="35" spans="1:81" x14ac:dyDescent="0.2">
      <c r="A35" s="14"/>
      <c r="B35" s="14"/>
      <c r="C35" s="13"/>
      <c r="D35" s="13"/>
      <c r="E35" s="59"/>
      <c r="F35" s="13"/>
      <c r="G35" s="13"/>
      <c r="H35" s="14"/>
      <c r="I35" s="13"/>
      <c r="J35" s="14"/>
      <c r="K35" s="97"/>
      <c r="L35" s="5"/>
      <c r="M35" s="4"/>
      <c r="N35" s="6"/>
      <c r="O35" s="6"/>
      <c r="P35" s="4"/>
      <c r="Q35" s="109"/>
      <c r="R35" s="5"/>
      <c r="S35" s="5"/>
      <c r="T35" s="5"/>
      <c r="U35" s="5"/>
      <c r="V35" s="5"/>
      <c r="W35" s="5"/>
      <c r="X35" s="5"/>
      <c r="Y35" s="5"/>
      <c r="Z35" s="167"/>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row>
    <row r="36" spans="1:81" x14ac:dyDescent="0.2">
      <c r="A36" s="14"/>
      <c r="B36" s="13"/>
      <c r="C36" s="13"/>
      <c r="D36" s="13"/>
      <c r="E36" s="59"/>
      <c r="F36" s="13"/>
      <c r="G36" s="13"/>
      <c r="H36" s="13"/>
      <c r="I36" s="13"/>
      <c r="J36" s="13"/>
      <c r="K36" s="157"/>
      <c r="L36" s="35"/>
      <c r="M36" s="6"/>
      <c r="N36" s="6"/>
      <c r="O36" s="6"/>
      <c r="P36" s="6"/>
      <c r="Q36" s="109"/>
      <c r="R36" s="5"/>
      <c r="S36" s="5"/>
      <c r="T36" s="5"/>
      <c r="U36" s="5"/>
      <c r="V36" s="5"/>
      <c r="W36" s="5"/>
      <c r="X36" s="5"/>
      <c r="Y36" s="5"/>
      <c r="Z36" s="167"/>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c r="CA36" s="6"/>
      <c r="CB36" s="6"/>
      <c r="CC36" s="6"/>
    </row>
    <row r="37" spans="1:81" x14ac:dyDescent="0.2">
      <c r="A37" s="14"/>
      <c r="B37" s="13"/>
      <c r="C37" s="13"/>
      <c r="D37" s="13"/>
      <c r="E37" s="59"/>
      <c r="F37" s="13"/>
      <c r="G37" s="13"/>
      <c r="H37" s="13"/>
      <c r="I37" s="13"/>
      <c r="J37" s="13"/>
      <c r="K37" s="157"/>
      <c r="L37" s="35"/>
      <c r="M37" s="4"/>
      <c r="N37" s="6"/>
      <c r="O37" s="6"/>
      <c r="P37" s="4"/>
      <c r="Q37" s="109"/>
      <c r="R37" s="5"/>
      <c r="S37" s="5"/>
      <c r="T37" s="5"/>
      <c r="U37" s="5"/>
      <c r="V37" s="5"/>
      <c r="W37" s="5"/>
      <c r="X37" s="5"/>
      <c r="Y37" s="5"/>
      <c r="Z37" s="167"/>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c r="CA37" s="6"/>
      <c r="CB37" s="6"/>
      <c r="CC37" s="6"/>
    </row>
    <row r="38" spans="1:81" x14ac:dyDescent="0.2">
      <c r="A38" s="5"/>
      <c r="B38" s="5"/>
      <c r="C38" s="5"/>
      <c r="D38" s="5"/>
      <c r="E38" s="60"/>
      <c r="F38" s="5"/>
      <c r="G38" s="5"/>
      <c r="H38" s="5"/>
      <c r="I38" s="5"/>
      <c r="J38" s="5"/>
      <c r="K38" s="97"/>
      <c r="L38" s="5"/>
      <c r="M38" s="4"/>
      <c r="N38" s="6"/>
      <c r="O38" s="6"/>
      <c r="P38" s="4"/>
      <c r="Q38" s="109"/>
      <c r="R38" s="5"/>
      <c r="S38" s="5"/>
      <c r="T38" s="5"/>
      <c r="U38" s="5"/>
      <c r="V38" s="5"/>
      <c r="W38" s="5"/>
      <c r="X38" s="5"/>
      <c r="Y38" s="5"/>
      <c r="Z38" s="167"/>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c r="CA38" s="6"/>
      <c r="CB38" s="6"/>
      <c r="CC38" s="6"/>
    </row>
    <row r="39" spans="1:81" x14ac:dyDescent="0.2">
      <c r="A39" s="5"/>
      <c r="B39" s="5"/>
      <c r="C39" s="5"/>
      <c r="D39" s="5"/>
      <c r="E39" s="60"/>
      <c r="F39" s="5"/>
      <c r="G39" s="5"/>
      <c r="H39" s="5"/>
      <c r="I39" s="5"/>
      <c r="J39" s="5"/>
      <c r="K39" s="97"/>
      <c r="L39" s="5"/>
      <c r="M39" s="4"/>
      <c r="N39" s="6"/>
      <c r="O39" s="6"/>
      <c r="P39" s="4"/>
      <c r="Q39" s="109"/>
      <c r="R39" s="5"/>
      <c r="S39" s="5"/>
      <c r="T39" s="5"/>
      <c r="U39" s="5"/>
      <c r="V39" s="5"/>
      <c r="W39" s="5"/>
      <c r="X39" s="5"/>
      <c r="Y39" s="5"/>
      <c r="Z39" s="167"/>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c r="BU39" s="6"/>
      <c r="BV39" s="6"/>
      <c r="BW39" s="6"/>
      <c r="BX39" s="6"/>
      <c r="BY39" s="6"/>
      <c r="BZ39" s="6"/>
      <c r="CA39" s="6"/>
      <c r="CB39" s="6"/>
      <c r="CC39" s="6"/>
    </row>
    <row r="40" spans="1:81" x14ac:dyDescent="0.2">
      <c r="A40" s="5"/>
      <c r="B40" s="5"/>
      <c r="C40" s="5"/>
      <c r="D40" s="5"/>
      <c r="E40" s="60"/>
      <c r="F40" s="5"/>
      <c r="G40" s="5"/>
      <c r="H40" s="13"/>
      <c r="I40" s="13"/>
      <c r="J40" s="13"/>
      <c r="K40" s="97"/>
      <c r="L40" s="5"/>
      <c r="M40" s="4"/>
      <c r="N40" s="6"/>
      <c r="O40" s="6"/>
      <c r="P40" s="4"/>
      <c r="Q40" s="109"/>
      <c r="R40" s="5"/>
      <c r="S40" s="5"/>
      <c r="T40" s="5"/>
      <c r="U40" s="5"/>
      <c r="V40" s="5"/>
      <c r="W40" s="5"/>
      <c r="X40" s="5"/>
      <c r="Y40" s="5"/>
      <c r="Z40" s="167"/>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row>
    <row r="41" spans="1:81" x14ac:dyDescent="0.2">
      <c r="A41" s="3"/>
      <c r="B41" s="3"/>
      <c r="C41" s="5"/>
      <c r="D41" s="5"/>
      <c r="E41" s="60"/>
      <c r="F41" s="5"/>
      <c r="G41" s="5"/>
      <c r="H41" s="3"/>
      <c r="I41" s="5"/>
      <c r="J41" s="3"/>
      <c r="K41" s="97"/>
      <c r="L41" s="5"/>
      <c r="M41" s="6"/>
      <c r="N41" s="6"/>
      <c r="O41" s="6"/>
      <c r="P41" s="6"/>
      <c r="Q41" s="108"/>
      <c r="R41" s="5"/>
      <c r="S41" s="5"/>
      <c r="T41" s="5"/>
      <c r="U41" s="5"/>
      <c r="V41" s="5"/>
      <c r="W41" s="5"/>
      <c r="X41" s="5"/>
      <c r="Y41" s="5"/>
      <c r="Z41" s="167"/>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row>
    <row r="42" spans="1:81" x14ac:dyDescent="0.2">
      <c r="A42" s="3"/>
      <c r="B42" s="3"/>
      <c r="C42" s="5"/>
      <c r="D42" s="5"/>
      <c r="E42" s="5"/>
      <c r="F42" s="5"/>
      <c r="G42" s="5"/>
      <c r="H42" s="3"/>
      <c r="I42" s="5"/>
      <c r="J42" s="3"/>
      <c r="K42" s="5"/>
      <c r="L42" s="35"/>
      <c r="M42" s="4"/>
      <c r="N42" s="6"/>
      <c r="O42" s="6"/>
      <c r="P42" s="4"/>
      <c r="Q42" s="108"/>
      <c r="R42" s="5"/>
      <c r="S42" s="5"/>
      <c r="T42" s="5"/>
      <c r="U42" s="5"/>
      <c r="V42" s="5"/>
      <c r="W42" s="5"/>
      <c r="X42" s="5"/>
      <c r="Y42" s="5"/>
      <c r="Z42" s="167"/>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c r="BH42" s="6"/>
      <c r="BI42" s="6"/>
      <c r="BJ42" s="6"/>
      <c r="BK42" s="6"/>
      <c r="BL42" s="6"/>
      <c r="BM42" s="6"/>
      <c r="BN42" s="6"/>
      <c r="BO42" s="6"/>
      <c r="BP42" s="6"/>
      <c r="BQ42" s="6"/>
      <c r="BR42" s="6"/>
      <c r="BS42" s="6"/>
      <c r="BT42" s="6"/>
      <c r="BU42" s="6"/>
      <c r="BV42" s="6"/>
      <c r="BW42" s="6"/>
      <c r="BX42" s="6"/>
      <c r="BY42" s="6"/>
      <c r="BZ42" s="6"/>
      <c r="CA42" s="6"/>
      <c r="CB42" s="6"/>
      <c r="CC42" s="6"/>
    </row>
    <row r="43" spans="1:81" x14ac:dyDescent="0.2">
      <c r="A43" s="3"/>
      <c r="B43" s="3"/>
      <c r="C43" s="5"/>
      <c r="D43" s="5"/>
      <c r="E43" s="5"/>
      <c r="F43" s="5"/>
      <c r="G43" s="5"/>
      <c r="H43" s="3"/>
      <c r="I43" s="5"/>
      <c r="J43" s="3"/>
      <c r="K43" s="5"/>
      <c r="L43" s="35"/>
      <c r="M43" s="4"/>
      <c r="N43" s="6"/>
      <c r="O43" s="6"/>
      <c r="P43" s="4"/>
      <c r="Q43" s="109"/>
      <c r="R43" s="5"/>
      <c r="S43" s="5"/>
      <c r="T43" s="5"/>
      <c r="U43" s="5"/>
      <c r="V43" s="5"/>
      <c r="W43" s="5"/>
      <c r="X43" s="5"/>
      <c r="Y43" s="5"/>
      <c r="Z43" s="167"/>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P43" s="6"/>
      <c r="BQ43" s="6"/>
      <c r="BR43" s="6"/>
      <c r="BS43" s="6"/>
      <c r="BT43" s="6"/>
      <c r="BU43" s="6"/>
      <c r="BV43" s="6"/>
      <c r="BW43" s="6"/>
      <c r="BX43" s="6"/>
      <c r="BY43" s="6"/>
      <c r="BZ43" s="6"/>
      <c r="CA43" s="6"/>
      <c r="CB43" s="6"/>
      <c r="CC43" s="6"/>
    </row>
    <row r="44" spans="1:81" x14ac:dyDescent="0.2">
      <c r="A44" s="13"/>
      <c r="B44" s="13"/>
      <c r="C44" s="13"/>
      <c r="D44" s="13"/>
      <c r="E44" s="59"/>
      <c r="F44" s="13"/>
      <c r="G44" s="13"/>
      <c r="H44" s="13"/>
      <c r="I44" s="13"/>
      <c r="J44" s="13"/>
      <c r="K44" s="97"/>
      <c r="L44" s="5"/>
      <c r="M44" s="4"/>
      <c r="N44" s="6"/>
      <c r="O44" s="6"/>
      <c r="P44" s="4"/>
      <c r="Q44" s="109"/>
      <c r="R44" s="5"/>
      <c r="S44" s="5"/>
      <c r="T44" s="5"/>
      <c r="U44" s="5"/>
      <c r="V44" s="5"/>
      <c r="W44" s="5"/>
      <c r="X44" s="5"/>
      <c r="Y44" s="5"/>
      <c r="Z44" s="167"/>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c r="BU44" s="6"/>
      <c r="BV44" s="6"/>
      <c r="BW44" s="6"/>
      <c r="BX44" s="6"/>
      <c r="BY44" s="6"/>
      <c r="BZ44" s="6"/>
      <c r="CA44" s="6"/>
      <c r="CB44" s="6"/>
      <c r="CC44" s="6"/>
    </row>
    <row r="45" spans="1:81" x14ac:dyDescent="0.2">
      <c r="A45" s="13"/>
      <c r="B45" s="13"/>
      <c r="C45" s="13"/>
      <c r="D45" s="13"/>
      <c r="E45" s="59"/>
      <c r="F45" s="13"/>
      <c r="G45" s="13"/>
      <c r="H45" s="13"/>
      <c r="I45" s="13"/>
      <c r="J45" s="13"/>
      <c r="K45" s="97"/>
      <c r="L45" s="5"/>
      <c r="M45" s="4"/>
      <c r="N45" s="6"/>
      <c r="O45" s="6"/>
      <c r="P45" s="4"/>
      <c r="Q45" s="109"/>
      <c r="R45" s="5"/>
      <c r="S45" s="5"/>
      <c r="T45" s="5"/>
      <c r="U45" s="5"/>
      <c r="V45" s="5"/>
      <c r="W45" s="5"/>
      <c r="X45" s="5"/>
      <c r="Y45" s="5"/>
      <c r="Z45" s="167"/>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c r="BU45" s="6"/>
      <c r="BV45" s="6"/>
      <c r="BW45" s="6"/>
      <c r="BX45" s="6"/>
      <c r="BY45" s="6"/>
      <c r="BZ45" s="6"/>
      <c r="CA45" s="6"/>
      <c r="CB45" s="6"/>
      <c r="CC45" s="6"/>
    </row>
    <row r="46" spans="1:81" x14ac:dyDescent="0.2">
      <c r="A46" s="13"/>
      <c r="B46" s="13"/>
      <c r="C46" s="13"/>
      <c r="D46" s="13"/>
      <c r="E46" s="59"/>
      <c r="F46" s="13"/>
      <c r="G46" s="13"/>
      <c r="H46" s="5"/>
      <c r="I46" s="5"/>
      <c r="J46" s="5"/>
      <c r="K46" s="97"/>
      <c r="L46" s="5"/>
      <c r="M46" s="4"/>
      <c r="N46" s="6"/>
      <c r="O46" s="6"/>
      <c r="P46" s="4"/>
      <c r="Q46" s="109"/>
      <c r="R46" s="5"/>
      <c r="S46" s="5"/>
      <c r="T46" s="5"/>
      <c r="U46" s="5"/>
      <c r="V46" s="5"/>
      <c r="W46" s="5"/>
      <c r="X46" s="5"/>
      <c r="Y46" s="5"/>
      <c r="Z46" s="167"/>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c r="BU46" s="6"/>
      <c r="BV46" s="6"/>
      <c r="BW46" s="6"/>
      <c r="BX46" s="6"/>
      <c r="BY46" s="6"/>
      <c r="BZ46" s="6"/>
      <c r="CA46" s="6"/>
      <c r="CB46" s="6"/>
      <c r="CC46" s="6"/>
    </row>
    <row r="47" spans="1:81" x14ac:dyDescent="0.2">
      <c r="A47" s="13"/>
      <c r="B47" s="13"/>
      <c r="C47" s="13"/>
      <c r="D47" s="13"/>
      <c r="E47" s="59"/>
      <c r="F47" s="13"/>
      <c r="G47" s="13"/>
      <c r="H47" s="13"/>
      <c r="I47" s="13"/>
      <c r="J47" s="13"/>
      <c r="K47" s="97"/>
      <c r="L47" s="5"/>
      <c r="M47" s="4"/>
      <c r="N47" s="6"/>
      <c r="O47" s="6"/>
      <c r="P47" s="4"/>
      <c r="Q47" s="109"/>
      <c r="R47" s="5"/>
      <c r="S47" s="5"/>
      <c r="T47" s="5"/>
      <c r="U47" s="5"/>
      <c r="V47" s="5"/>
      <c r="W47" s="5"/>
      <c r="X47" s="5"/>
      <c r="Y47" s="5"/>
      <c r="Z47" s="167"/>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c r="CA47" s="6"/>
      <c r="CB47" s="6"/>
      <c r="CC47" s="6"/>
    </row>
    <row r="48" spans="1:81" x14ac:dyDescent="0.2">
      <c r="A48" s="5"/>
      <c r="B48" s="5"/>
      <c r="C48" s="5"/>
      <c r="D48" s="5"/>
      <c r="E48" s="60"/>
      <c r="F48" s="5"/>
      <c r="G48" s="5"/>
      <c r="H48" s="13"/>
      <c r="I48" s="13"/>
      <c r="J48" s="13"/>
      <c r="K48" s="97"/>
      <c r="L48" s="5"/>
      <c r="M48" s="4"/>
      <c r="N48" s="6"/>
      <c r="O48" s="6"/>
      <c r="P48" s="4"/>
      <c r="Q48" s="109"/>
      <c r="R48" s="5"/>
      <c r="S48" s="5"/>
      <c r="T48" s="5"/>
      <c r="U48" s="5"/>
      <c r="V48" s="5"/>
      <c r="W48" s="5"/>
      <c r="X48" s="5"/>
      <c r="Y48" s="5"/>
      <c r="Z48" s="167"/>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c r="BJ48" s="6"/>
      <c r="BK48" s="6"/>
      <c r="BL48" s="6"/>
      <c r="BM48" s="6"/>
      <c r="BN48" s="6"/>
      <c r="BO48" s="6"/>
      <c r="BP48" s="6"/>
      <c r="BQ48" s="6"/>
      <c r="BR48" s="6"/>
      <c r="BS48" s="6"/>
      <c r="BT48" s="6"/>
      <c r="BU48" s="6"/>
      <c r="BV48" s="6"/>
      <c r="BW48" s="6"/>
      <c r="BX48" s="6"/>
      <c r="BY48" s="6"/>
      <c r="BZ48" s="6"/>
      <c r="CA48" s="6"/>
      <c r="CB48" s="6"/>
      <c r="CC48" s="6"/>
    </row>
    <row r="49" spans="1:81" x14ac:dyDescent="0.2">
      <c r="A49" s="12"/>
      <c r="B49" s="13"/>
      <c r="C49" s="13"/>
      <c r="D49" s="13"/>
      <c r="E49" s="59"/>
      <c r="F49" s="13"/>
      <c r="G49" s="13"/>
      <c r="H49" s="13"/>
      <c r="I49" s="13"/>
      <c r="J49" s="13"/>
      <c r="K49" s="97"/>
      <c r="L49" s="5"/>
      <c r="M49" s="4"/>
      <c r="N49" s="6"/>
      <c r="O49" s="6"/>
      <c r="P49" s="6"/>
      <c r="Q49" s="109"/>
      <c r="R49" s="5"/>
      <c r="S49" s="5"/>
      <c r="T49" s="5"/>
      <c r="U49" s="5"/>
      <c r="V49" s="5"/>
      <c r="W49" s="5"/>
      <c r="X49" s="5"/>
      <c r="Y49" s="5"/>
      <c r="Z49" s="167"/>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c r="BJ49" s="6"/>
      <c r="BK49" s="6"/>
      <c r="BL49" s="6"/>
      <c r="BM49" s="6"/>
      <c r="BN49" s="6"/>
      <c r="BO49" s="6"/>
      <c r="BP49" s="6"/>
      <c r="BQ49" s="6"/>
      <c r="BR49" s="6"/>
      <c r="BS49" s="6"/>
      <c r="BT49" s="6"/>
      <c r="BU49" s="6"/>
      <c r="BV49" s="6"/>
      <c r="BW49" s="6"/>
      <c r="BX49" s="6"/>
      <c r="BY49" s="6"/>
      <c r="BZ49" s="6"/>
      <c r="CA49" s="6"/>
      <c r="CB49" s="6"/>
      <c r="CC49" s="6"/>
    </row>
    <row r="50" spans="1:81" x14ac:dyDescent="0.2">
      <c r="A50" s="13"/>
      <c r="B50" s="13"/>
      <c r="C50" s="13"/>
      <c r="D50" s="13"/>
      <c r="E50" s="59"/>
      <c r="F50" s="13"/>
      <c r="G50" s="13"/>
      <c r="H50" s="13"/>
      <c r="I50" s="13"/>
      <c r="J50" s="13"/>
      <c r="K50" s="13"/>
      <c r="L50" s="13"/>
      <c r="M50" s="4"/>
      <c r="N50" s="6"/>
      <c r="O50" s="6"/>
      <c r="P50" s="4"/>
      <c r="Q50" s="108"/>
      <c r="R50" s="5"/>
      <c r="S50" s="5"/>
      <c r="T50" s="5"/>
      <c r="U50" s="5"/>
      <c r="V50" s="5"/>
      <c r="W50" s="5"/>
      <c r="X50" s="5"/>
      <c r="Y50" s="5"/>
      <c r="Z50" s="167"/>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c r="CA50" s="6"/>
      <c r="CB50" s="6"/>
      <c r="CC50" s="6"/>
    </row>
    <row r="51" spans="1:81" x14ac:dyDescent="0.2">
      <c r="A51" s="13"/>
      <c r="B51" s="13"/>
      <c r="C51" s="13"/>
      <c r="D51" s="13"/>
      <c r="E51" s="59"/>
      <c r="F51" s="13"/>
      <c r="G51" s="13"/>
      <c r="H51" s="13"/>
      <c r="I51" s="13"/>
      <c r="J51" s="13"/>
      <c r="K51" s="13"/>
      <c r="L51" s="13"/>
      <c r="M51" s="4"/>
      <c r="N51" s="6"/>
      <c r="O51" s="6"/>
      <c r="P51" s="4"/>
      <c r="Q51" s="109"/>
      <c r="R51" s="5"/>
      <c r="S51" s="5"/>
      <c r="T51" s="5"/>
      <c r="U51" s="5"/>
      <c r="V51" s="5"/>
      <c r="W51" s="5"/>
      <c r="X51" s="5"/>
      <c r="Y51" s="5"/>
      <c r="Z51" s="167"/>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row>
    <row r="52" spans="1:81" x14ac:dyDescent="0.2">
      <c r="A52" s="13"/>
      <c r="B52" s="13"/>
      <c r="C52" s="13"/>
      <c r="D52" s="13"/>
      <c r="E52" s="59"/>
      <c r="F52" s="13"/>
      <c r="G52" s="13"/>
      <c r="H52" s="13"/>
      <c r="I52" s="13"/>
      <c r="J52" s="13"/>
      <c r="K52" s="13"/>
      <c r="L52" s="13"/>
      <c r="M52" s="4"/>
      <c r="N52" s="6"/>
      <c r="O52" s="6"/>
      <c r="P52" s="4"/>
      <c r="Q52" s="109"/>
      <c r="R52" s="5"/>
      <c r="S52" s="5"/>
      <c r="T52" s="5"/>
      <c r="U52" s="5"/>
      <c r="V52" s="5"/>
      <c r="W52" s="5"/>
      <c r="X52" s="5"/>
      <c r="Y52" s="5"/>
      <c r="Z52" s="167"/>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c r="BJ52" s="6"/>
      <c r="BK52" s="6"/>
      <c r="BL52" s="6"/>
      <c r="BM52" s="6"/>
      <c r="BN52" s="6"/>
      <c r="BO52" s="6"/>
      <c r="BP52" s="6"/>
      <c r="BQ52" s="6"/>
      <c r="BR52" s="6"/>
      <c r="BS52" s="6"/>
      <c r="BT52" s="6"/>
      <c r="BU52" s="6"/>
      <c r="BV52" s="6"/>
      <c r="BW52" s="6"/>
      <c r="BX52" s="6"/>
      <c r="BY52" s="6"/>
      <c r="BZ52" s="6"/>
      <c r="CA52" s="6"/>
      <c r="CB52" s="6"/>
      <c r="CC52" s="6"/>
    </row>
    <row r="53" spans="1:81" x14ac:dyDescent="0.2">
      <c r="A53" s="13"/>
      <c r="B53" s="13"/>
      <c r="C53" s="13"/>
      <c r="D53" s="13"/>
      <c r="E53" s="59"/>
      <c r="F53" s="13"/>
      <c r="G53" s="13"/>
      <c r="H53" s="13"/>
      <c r="I53" s="13"/>
      <c r="J53" s="13"/>
      <c r="K53" s="97"/>
      <c r="L53" s="5"/>
      <c r="M53" s="4"/>
      <c r="N53" s="6"/>
      <c r="O53" s="6"/>
      <c r="P53" s="103"/>
      <c r="Q53" s="200"/>
      <c r="R53" s="5"/>
      <c r="S53" s="5"/>
      <c r="T53" s="5"/>
      <c r="U53" s="5"/>
      <c r="V53" s="5"/>
      <c r="W53" s="5"/>
      <c r="X53" s="5"/>
      <c r="Y53" s="5"/>
      <c r="Z53" s="167"/>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c r="BJ53" s="6"/>
      <c r="BK53" s="6"/>
      <c r="BL53" s="6"/>
      <c r="BM53" s="6"/>
      <c r="BN53" s="6"/>
      <c r="BO53" s="6"/>
      <c r="BP53" s="6"/>
      <c r="BQ53" s="6"/>
      <c r="BR53" s="6"/>
      <c r="BS53" s="6"/>
      <c r="BT53" s="6"/>
      <c r="BU53" s="6"/>
      <c r="BV53" s="6"/>
      <c r="BW53" s="6"/>
      <c r="BX53" s="6"/>
      <c r="BY53" s="6"/>
      <c r="BZ53" s="6"/>
      <c r="CA53" s="6"/>
      <c r="CB53" s="6"/>
      <c r="CC53" s="6"/>
    </row>
    <row r="54" spans="1:81" x14ac:dyDescent="0.2">
      <c r="A54" s="12"/>
      <c r="B54" s="13"/>
      <c r="C54" s="13"/>
      <c r="D54" s="13"/>
      <c r="E54" s="59"/>
      <c r="F54" s="13"/>
      <c r="G54" s="13"/>
      <c r="H54" s="13"/>
      <c r="I54" s="13"/>
      <c r="J54" s="13"/>
      <c r="K54" s="97"/>
      <c r="L54" s="5"/>
      <c r="M54" s="103"/>
      <c r="N54" s="103"/>
      <c r="O54" s="103"/>
      <c r="P54" s="103"/>
      <c r="Q54" s="200"/>
      <c r="R54" s="5"/>
      <c r="S54" s="5"/>
      <c r="T54" s="5"/>
      <c r="U54" s="5"/>
      <c r="V54" s="5"/>
      <c r="W54" s="5"/>
      <c r="X54" s="5"/>
      <c r="Y54" s="5"/>
      <c r="Z54" s="167"/>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c r="BU54" s="6"/>
      <c r="BV54" s="6"/>
      <c r="BW54" s="6"/>
      <c r="BX54" s="6"/>
      <c r="BY54" s="6"/>
      <c r="BZ54" s="6"/>
      <c r="CA54" s="6"/>
      <c r="CB54" s="6"/>
      <c r="CC54" s="6"/>
    </row>
    <row r="55" spans="1:81" x14ac:dyDescent="0.2">
      <c r="A55" s="13"/>
      <c r="B55" s="13"/>
      <c r="C55" s="13"/>
      <c r="D55" s="13"/>
      <c r="E55" s="59"/>
      <c r="F55" s="13"/>
      <c r="G55" s="13"/>
      <c r="H55" s="13"/>
      <c r="I55" s="13"/>
      <c r="J55" s="13"/>
      <c r="K55" s="97"/>
      <c r="L55" s="5"/>
      <c r="M55" s="103"/>
      <c r="N55" s="103"/>
      <c r="O55" s="103"/>
      <c r="P55" s="103"/>
      <c r="Q55" s="200"/>
      <c r="R55" s="5"/>
      <c r="S55" s="5"/>
      <c r="T55" s="5"/>
      <c r="U55" s="5"/>
      <c r="V55" s="5"/>
      <c r="W55" s="5"/>
      <c r="X55" s="5"/>
      <c r="Y55" s="5"/>
      <c r="Z55" s="167"/>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c r="BJ55" s="6"/>
      <c r="BK55" s="6"/>
      <c r="BL55" s="6"/>
      <c r="BM55" s="6"/>
      <c r="BN55" s="6"/>
      <c r="BO55" s="6"/>
      <c r="BP55" s="6"/>
      <c r="BQ55" s="6"/>
      <c r="BR55" s="6"/>
      <c r="BS55" s="6"/>
      <c r="BT55" s="6"/>
      <c r="BU55" s="6"/>
      <c r="BV55" s="6"/>
      <c r="BW55" s="6"/>
      <c r="BX55" s="6"/>
      <c r="BY55" s="6"/>
      <c r="BZ55" s="6"/>
      <c r="CA55" s="6"/>
      <c r="CB55" s="6"/>
      <c r="CC55" s="6"/>
    </row>
    <row r="56" spans="1:81" x14ac:dyDescent="0.2">
      <c r="A56" s="13"/>
      <c r="B56" s="13"/>
      <c r="C56" s="13"/>
      <c r="D56" s="13"/>
      <c r="E56" s="59"/>
      <c r="F56" s="13"/>
      <c r="G56" s="13"/>
      <c r="H56" s="13"/>
      <c r="I56" s="13"/>
      <c r="J56" s="13"/>
      <c r="K56" s="97"/>
      <c r="L56" s="97"/>
      <c r="M56" s="103"/>
      <c r="N56" s="103"/>
      <c r="O56" s="103"/>
      <c r="P56" s="103"/>
      <c r="Q56" s="200"/>
      <c r="R56" s="5"/>
      <c r="S56" s="5"/>
      <c r="T56" s="5"/>
      <c r="U56" s="5"/>
      <c r="V56" s="5"/>
      <c r="W56" s="5"/>
      <c r="X56" s="5"/>
      <c r="Y56" s="5"/>
      <c r="Z56" s="167"/>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c r="BJ56" s="6"/>
      <c r="BK56" s="6"/>
      <c r="BL56" s="6"/>
      <c r="BM56" s="6"/>
      <c r="BN56" s="6"/>
      <c r="BO56" s="6"/>
      <c r="BP56" s="6"/>
      <c r="BQ56" s="6"/>
      <c r="BR56" s="6"/>
      <c r="BS56" s="6"/>
      <c r="BT56" s="6"/>
      <c r="BU56" s="6"/>
      <c r="BV56" s="6"/>
      <c r="BW56" s="6"/>
      <c r="BX56" s="6"/>
      <c r="BY56" s="6"/>
      <c r="BZ56" s="6"/>
      <c r="CA56" s="6"/>
      <c r="CB56" s="6"/>
      <c r="CC56" s="6"/>
    </row>
    <row r="57" spans="1:81" x14ac:dyDescent="0.2">
      <c r="A57" s="13"/>
      <c r="B57" s="13"/>
      <c r="C57" s="13"/>
      <c r="D57" s="13"/>
      <c r="E57" s="59"/>
      <c r="F57" s="13"/>
      <c r="G57" s="13"/>
      <c r="H57" s="13"/>
      <c r="I57" s="13"/>
      <c r="J57" s="13"/>
      <c r="K57" s="97"/>
      <c r="L57" s="97"/>
      <c r="M57" s="103"/>
      <c r="N57" s="103"/>
      <c r="O57" s="103"/>
      <c r="P57" s="103"/>
      <c r="Q57" s="200"/>
      <c r="R57" s="5"/>
      <c r="S57" s="5"/>
      <c r="T57" s="5"/>
      <c r="U57" s="5"/>
      <c r="V57" s="5"/>
      <c r="W57" s="5"/>
      <c r="X57" s="5"/>
      <c r="Y57" s="5"/>
      <c r="Z57" s="167"/>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c r="BJ57" s="6"/>
      <c r="BK57" s="6"/>
      <c r="BL57" s="6"/>
      <c r="BM57" s="6"/>
      <c r="BN57" s="6"/>
      <c r="BO57" s="6"/>
      <c r="BP57" s="6"/>
      <c r="BQ57" s="6"/>
      <c r="BR57" s="6"/>
      <c r="BS57" s="6"/>
      <c r="BT57" s="6"/>
      <c r="BU57" s="6"/>
      <c r="BV57" s="6"/>
      <c r="BW57" s="6"/>
      <c r="BX57" s="6"/>
      <c r="BY57" s="6"/>
      <c r="BZ57" s="6"/>
      <c r="CA57" s="6"/>
      <c r="CB57" s="6"/>
      <c r="CC57" s="6"/>
    </row>
    <row r="58" spans="1:81" x14ac:dyDescent="0.2">
      <c r="A58" s="12"/>
      <c r="B58" s="13"/>
      <c r="C58" s="13"/>
      <c r="D58" s="13"/>
      <c r="E58" s="59"/>
      <c r="F58" s="13"/>
      <c r="G58" s="13"/>
      <c r="H58" s="13"/>
      <c r="I58" s="13"/>
      <c r="J58" s="13"/>
      <c r="K58" s="97"/>
      <c r="L58" s="5"/>
      <c r="M58" s="103"/>
      <c r="N58" s="103"/>
      <c r="O58" s="103"/>
      <c r="P58" s="103"/>
      <c r="Q58" s="200"/>
      <c r="R58" s="5"/>
      <c r="S58" s="5"/>
      <c r="T58" s="5"/>
      <c r="U58" s="5"/>
      <c r="V58" s="5"/>
      <c r="W58" s="5"/>
      <c r="X58" s="5"/>
      <c r="Y58" s="5"/>
      <c r="Z58" s="150"/>
      <c r="AA58" s="103"/>
      <c r="AB58" s="103"/>
      <c r="AC58" s="103"/>
      <c r="AD58" s="103"/>
      <c r="AE58" s="103"/>
      <c r="AF58" s="103"/>
      <c r="AG58" s="103"/>
      <c r="AH58" s="103"/>
      <c r="AI58" s="103"/>
      <c r="AJ58" s="103"/>
      <c r="AK58" s="103"/>
      <c r="AL58" s="103"/>
      <c r="AM58" s="103"/>
      <c r="AN58" s="103"/>
      <c r="AO58" s="103"/>
      <c r="AP58" s="103"/>
      <c r="AQ58" s="103"/>
      <c r="AR58" s="103"/>
      <c r="AS58" s="103"/>
      <c r="AT58" s="103"/>
      <c r="AU58" s="103"/>
      <c r="AV58" s="103"/>
      <c r="AW58" s="103"/>
      <c r="AX58" s="103"/>
      <c r="AY58" s="103"/>
      <c r="AZ58" s="103"/>
      <c r="BA58" s="103"/>
      <c r="BB58" s="103"/>
      <c r="BC58" s="103"/>
      <c r="BD58" s="103"/>
      <c r="BE58" s="103"/>
      <c r="BF58" s="103"/>
      <c r="BG58" s="103"/>
      <c r="BH58" s="103"/>
      <c r="BI58" s="103"/>
      <c r="BJ58" s="103"/>
      <c r="BK58" s="103"/>
      <c r="BL58" s="103"/>
      <c r="BM58" s="103"/>
      <c r="BN58" s="103"/>
      <c r="BO58" s="103"/>
      <c r="BP58" s="103"/>
      <c r="BQ58" s="103"/>
      <c r="BR58" s="103"/>
      <c r="BS58" s="103"/>
      <c r="BT58" s="103"/>
      <c r="BU58" s="103"/>
      <c r="BV58" s="103"/>
      <c r="BW58" s="103"/>
      <c r="BX58" s="6"/>
      <c r="BY58" s="6"/>
      <c r="BZ58" s="103"/>
      <c r="CA58" s="103"/>
      <c r="CB58" s="103"/>
      <c r="CC58" s="103"/>
    </row>
    <row r="59" spans="1:81" x14ac:dyDescent="0.2">
      <c r="A59" s="13"/>
      <c r="B59" s="13"/>
      <c r="C59" s="13"/>
      <c r="D59" s="13"/>
      <c r="E59" s="59"/>
      <c r="F59" s="13"/>
      <c r="G59" s="13"/>
      <c r="H59" s="13"/>
      <c r="I59" s="13"/>
      <c r="J59" s="13"/>
      <c r="K59" s="97"/>
      <c r="L59" s="5"/>
      <c r="M59" s="103"/>
      <c r="N59" s="103"/>
      <c r="O59" s="103"/>
      <c r="P59" s="103"/>
      <c r="Q59" s="200"/>
      <c r="R59" s="5"/>
      <c r="S59" s="5"/>
      <c r="T59" s="5"/>
      <c r="U59" s="5"/>
      <c r="V59" s="5"/>
      <c r="W59" s="5"/>
      <c r="X59" s="5"/>
      <c r="Y59" s="5"/>
      <c r="Z59" s="167"/>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6"/>
      <c r="BX59" s="6"/>
      <c r="BY59" s="6"/>
      <c r="BZ59" s="6"/>
      <c r="CA59" s="6"/>
      <c r="CB59" s="6"/>
      <c r="CC59" s="6"/>
    </row>
    <row r="60" spans="1:81" x14ac:dyDescent="0.2">
      <c r="A60" s="13"/>
      <c r="B60" s="13"/>
      <c r="C60" s="13"/>
      <c r="D60" s="13"/>
      <c r="E60" s="59"/>
      <c r="F60" s="13"/>
      <c r="G60" s="13"/>
      <c r="H60" s="13"/>
      <c r="I60" s="13"/>
      <c r="J60" s="13"/>
      <c r="K60" s="97"/>
      <c r="L60" s="5"/>
      <c r="M60" s="103"/>
      <c r="N60" s="103"/>
      <c r="O60" s="103"/>
      <c r="P60" s="103"/>
      <c r="Q60" s="200"/>
      <c r="R60" s="5"/>
      <c r="S60" s="5"/>
      <c r="T60" s="5"/>
      <c r="U60" s="5"/>
      <c r="V60" s="5"/>
      <c r="W60" s="5"/>
      <c r="X60" s="5"/>
      <c r="Y60" s="5"/>
      <c r="Z60" s="167"/>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6"/>
      <c r="BX60" s="6"/>
      <c r="BY60" s="6"/>
      <c r="BZ60" s="6"/>
      <c r="CA60" s="6"/>
      <c r="CB60" s="6"/>
      <c r="CC60" s="6"/>
    </row>
    <row r="61" spans="1:81" x14ac:dyDescent="0.2">
      <c r="A61" s="13"/>
      <c r="B61" s="13"/>
      <c r="C61" s="13"/>
      <c r="D61" s="13"/>
      <c r="E61" s="59"/>
      <c r="F61" s="13"/>
      <c r="G61" s="13"/>
      <c r="H61" s="13"/>
      <c r="I61" s="13"/>
      <c r="J61" s="13"/>
      <c r="K61" s="97"/>
      <c r="L61" s="5"/>
      <c r="M61" s="103"/>
      <c r="N61" s="103"/>
      <c r="O61" s="103"/>
      <c r="P61" s="103"/>
      <c r="Q61" s="200"/>
      <c r="R61" s="5"/>
      <c r="S61" s="5"/>
      <c r="T61" s="5"/>
      <c r="U61" s="5"/>
      <c r="V61" s="5"/>
      <c r="W61" s="5"/>
      <c r="X61" s="5"/>
      <c r="Y61" s="5"/>
      <c r="Z61" s="167"/>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6"/>
      <c r="BX61" s="6"/>
      <c r="BY61" s="6"/>
      <c r="BZ61" s="6"/>
      <c r="CA61" s="6"/>
      <c r="CB61" s="6"/>
      <c r="CC61" s="6"/>
    </row>
    <row r="62" spans="1:81" x14ac:dyDescent="0.2">
      <c r="A62" s="12"/>
      <c r="B62" s="13"/>
      <c r="C62" s="13"/>
      <c r="D62" s="13"/>
      <c r="E62" s="59"/>
      <c r="F62" s="13"/>
      <c r="G62" s="13"/>
      <c r="H62" s="13"/>
      <c r="I62" s="13"/>
      <c r="J62" s="13"/>
      <c r="K62" s="35"/>
      <c r="L62" s="5"/>
      <c r="M62" s="103"/>
      <c r="N62" s="103"/>
      <c r="O62" s="103"/>
      <c r="P62" s="103"/>
      <c r="Q62" s="200"/>
      <c r="R62" s="5"/>
      <c r="S62" s="5"/>
      <c r="T62" s="5"/>
      <c r="U62" s="5"/>
      <c r="V62" s="5"/>
      <c r="W62" s="5"/>
      <c r="X62" s="5"/>
      <c r="Y62" s="5"/>
      <c r="Z62" s="167"/>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6"/>
      <c r="BX62" s="6"/>
      <c r="BY62" s="6"/>
      <c r="BZ62" s="6"/>
      <c r="CA62" s="6"/>
      <c r="CB62" s="6"/>
      <c r="CC62" s="6"/>
    </row>
    <row r="63" spans="1:81" x14ac:dyDescent="0.2">
      <c r="A63" s="13"/>
      <c r="B63" s="13"/>
      <c r="C63" s="13"/>
      <c r="D63" s="13"/>
      <c r="E63" s="59"/>
      <c r="F63" s="13"/>
      <c r="G63" s="13"/>
      <c r="H63" s="13"/>
      <c r="I63" s="13"/>
      <c r="J63" s="13"/>
      <c r="K63" s="97"/>
      <c r="L63" s="5"/>
      <c r="M63" s="103"/>
      <c r="N63" s="103"/>
      <c r="O63" s="103"/>
      <c r="P63" s="103"/>
      <c r="Q63" s="200"/>
      <c r="R63" s="5"/>
      <c r="S63" s="5"/>
      <c r="T63" s="5"/>
      <c r="U63" s="5"/>
      <c r="V63" s="5"/>
      <c r="W63" s="5"/>
      <c r="X63" s="5"/>
      <c r="Y63" s="5"/>
      <c r="Z63" s="167"/>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6"/>
      <c r="BX63" s="6"/>
      <c r="BY63" s="6"/>
      <c r="BZ63" s="6"/>
      <c r="CA63" s="6"/>
      <c r="CB63" s="6"/>
      <c r="CC63" s="6"/>
    </row>
    <row r="64" spans="1:81" x14ac:dyDescent="0.2">
      <c r="A64" s="13"/>
      <c r="B64" s="13"/>
      <c r="C64" s="13"/>
      <c r="D64" s="13"/>
      <c r="E64" s="59"/>
      <c r="F64" s="13"/>
      <c r="G64" s="13"/>
      <c r="H64" s="13"/>
      <c r="I64" s="13"/>
      <c r="J64" s="13"/>
      <c r="K64" s="97"/>
      <c r="L64" s="5"/>
      <c r="M64" s="103"/>
      <c r="N64" s="103"/>
      <c r="O64" s="103"/>
      <c r="P64" s="103"/>
      <c r="Q64" s="200"/>
      <c r="R64" s="5"/>
      <c r="S64" s="5"/>
      <c r="T64" s="5"/>
      <c r="U64" s="5"/>
      <c r="V64" s="5"/>
      <c r="W64" s="5"/>
      <c r="X64" s="5"/>
      <c r="Y64" s="5"/>
      <c r="Z64" s="167"/>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6"/>
      <c r="BX64" s="6"/>
      <c r="BY64" s="6"/>
      <c r="BZ64" s="6"/>
      <c r="CA64" s="6"/>
      <c r="CB64" s="6"/>
      <c r="CC64" s="6"/>
    </row>
    <row r="65" spans="1:81" x14ac:dyDescent="0.2">
      <c r="A65" s="13"/>
      <c r="B65" s="13"/>
      <c r="C65" s="13"/>
      <c r="D65" s="13"/>
      <c r="E65" s="59"/>
      <c r="F65" s="13"/>
      <c r="G65" s="13"/>
      <c r="H65" s="13"/>
      <c r="I65" s="13"/>
      <c r="J65" s="13"/>
      <c r="K65" s="97"/>
      <c r="L65" s="5"/>
      <c r="M65" s="103"/>
      <c r="N65" s="103"/>
      <c r="O65" s="103"/>
      <c r="P65" s="103"/>
      <c r="Q65" s="200"/>
      <c r="R65" s="5"/>
      <c r="S65" s="5"/>
      <c r="T65" s="5"/>
      <c r="U65" s="5"/>
      <c r="V65" s="5"/>
      <c r="W65" s="5"/>
      <c r="X65" s="5"/>
      <c r="Y65" s="5"/>
      <c r="Z65" s="150"/>
      <c r="AA65" s="103"/>
      <c r="AB65" s="103"/>
      <c r="AC65" s="103"/>
      <c r="AD65" s="103"/>
      <c r="AE65" s="103"/>
      <c r="AF65" s="103"/>
      <c r="AG65" s="103"/>
      <c r="AH65" s="103"/>
      <c r="AI65" s="103"/>
      <c r="AJ65" s="103"/>
      <c r="AK65" s="103"/>
      <c r="AL65" s="103"/>
      <c r="AM65" s="103"/>
      <c r="AN65" s="103"/>
      <c r="AO65" s="103"/>
      <c r="AP65" s="103"/>
      <c r="AQ65" s="103"/>
      <c r="AR65" s="103"/>
      <c r="AS65" s="103"/>
      <c r="AT65" s="103"/>
      <c r="AU65" s="103"/>
      <c r="AV65" s="103"/>
      <c r="AW65" s="103"/>
      <c r="AX65" s="103"/>
      <c r="AY65" s="103"/>
      <c r="AZ65" s="103"/>
      <c r="BA65" s="103"/>
      <c r="BB65" s="103"/>
      <c r="BC65" s="103"/>
      <c r="BD65" s="103"/>
      <c r="BE65" s="103"/>
      <c r="BF65" s="103"/>
      <c r="BG65" s="103"/>
      <c r="BH65" s="103"/>
      <c r="BI65" s="103"/>
      <c r="BJ65" s="103"/>
      <c r="BK65" s="103"/>
      <c r="BL65" s="103"/>
      <c r="BM65" s="103"/>
      <c r="BN65" s="103"/>
      <c r="BO65" s="103"/>
      <c r="BP65" s="103"/>
      <c r="BQ65" s="103"/>
      <c r="BR65" s="103"/>
      <c r="BS65" s="103"/>
      <c r="BT65" s="103"/>
      <c r="BU65" s="103"/>
      <c r="BV65" s="103"/>
      <c r="BW65" s="103"/>
      <c r="BX65" s="6"/>
      <c r="BY65" s="6"/>
      <c r="BZ65" s="103"/>
      <c r="CA65" s="103"/>
      <c r="CB65" s="103"/>
      <c r="CC65" s="103"/>
    </row>
    <row r="66" spans="1:81" x14ac:dyDescent="0.2">
      <c r="A66" s="12"/>
      <c r="B66" s="13"/>
      <c r="C66" s="13"/>
      <c r="D66" s="13"/>
      <c r="E66" s="59"/>
      <c r="F66" s="13"/>
      <c r="G66" s="13"/>
      <c r="H66" s="13"/>
      <c r="I66" s="13"/>
      <c r="J66" s="13"/>
      <c r="K66" s="5"/>
      <c r="L66" s="5"/>
      <c r="M66" s="103"/>
      <c r="N66" s="103"/>
      <c r="O66" s="103"/>
      <c r="P66" s="103"/>
      <c r="Q66" s="200"/>
      <c r="R66" s="5"/>
      <c r="S66" s="5"/>
      <c r="T66" s="5"/>
      <c r="U66" s="5"/>
      <c r="V66" s="5"/>
      <c r="W66" s="5"/>
      <c r="X66" s="5"/>
      <c r="Y66" s="5"/>
      <c r="Z66" s="150"/>
      <c r="AA66" s="103"/>
      <c r="AB66" s="103"/>
      <c r="AC66" s="103"/>
      <c r="AD66" s="103"/>
      <c r="AE66" s="103"/>
      <c r="AF66" s="103"/>
      <c r="AG66" s="103"/>
      <c r="AH66" s="103"/>
      <c r="AI66" s="103"/>
      <c r="AJ66" s="103"/>
      <c r="AK66" s="103"/>
      <c r="AL66" s="103"/>
      <c r="AM66" s="103"/>
      <c r="AN66" s="103"/>
      <c r="AO66" s="103"/>
      <c r="AP66" s="103"/>
      <c r="AQ66" s="103"/>
      <c r="AR66" s="103"/>
      <c r="AS66" s="103"/>
      <c r="AT66" s="103"/>
      <c r="AU66" s="103"/>
      <c r="AV66" s="103"/>
      <c r="AW66" s="103"/>
      <c r="AX66" s="103"/>
      <c r="AY66" s="103"/>
      <c r="AZ66" s="103"/>
      <c r="BA66" s="103"/>
      <c r="BB66" s="103"/>
      <c r="BC66" s="103"/>
      <c r="BD66" s="103"/>
      <c r="BE66" s="103"/>
      <c r="BF66" s="103"/>
      <c r="BG66" s="103"/>
      <c r="BH66" s="103"/>
      <c r="BI66" s="103"/>
      <c r="BJ66" s="103"/>
      <c r="BK66" s="103"/>
      <c r="BL66" s="103"/>
      <c r="BM66" s="103"/>
      <c r="BN66" s="103"/>
      <c r="BO66" s="103"/>
      <c r="BP66" s="103"/>
      <c r="BQ66" s="103"/>
      <c r="BR66" s="103"/>
      <c r="BS66" s="103"/>
      <c r="BT66" s="103"/>
      <c r="BU66" s="103"/>
      <c r="BV66" s="103"/>
      <c r="BW66" s="103"/>
      <c r="BX66" s="6"/>
      <c r="BY66" s="6"/>
      <c r="BZ66" s="103"/>
      <c r="CA66" s="103"/>
      <c r="CB66" s="103"/>
      <c r="CC66" s="103"/>
    </row>
    <row r="67" spans="1:81" x14ac:dyDescent="0.2">
      <c r="A67" s="13"/>
      <c r="B67" s="13"/>
      <c r="C67" s="13"/>
      <c r="D67" s="13"/>
      <c r="E67" s="59"/>
      <c r="F67" s="13"/>
      <c r="G67" s="97"/>
      <c r="H67" s="97"/>
      <c r="I67" s="97"/>
      <c r="J67" s="97"/>
      <c r="K67" s="5"/>
      <c r="L67" s="5"/>
      <c r="M67" s="103"/>
      <c r="N67" s="103"/>
      <c r="O67" s="103"/>
      <c r="P67" s="103"/>
      <c r="Q67" s="200"/>
      <c r="R67" s="5"/>
      <c r="S67" s="5"/>
      <c r="T67" s="5"/>
      <c r="U67" s="5"/>
      <c r="V67" s="5"/>
      <c r="W67" s="5"/>
      <c r="X67" s="5"/>
      <c r="Y67" s="5"/>
      <c r="Z67" s="150"/>
      <c r="AA67" s="103"/>
      <c r="AB67" s="103"/>
      <c r="AC67" s="103"/>
      <c r="AD67" s="103"/>
      <c r="AE67" s="103"/>
      <c r="AF67" s="103"/>
      <c r="AG67" s="103"/>
      <c r="AH67" s="103"/>
      <c r="AI67" s="103"/>
      <c r="AJ67" s="103"/>
      <c r="AK67" s="103"/>
      <c r="AL67" s="103"/>
      <c r="AM67" s="103"/>
      <c r="AN67" s="103"/>
      <c r="AO67" s="103"/>
      <c r="AP67" s="103"/>
      <c r="AQ67" s="103"/>
      <c r="AR67" s="103"/>
      <c r="AS67" s="103"/>
      <c r="AT67" s="103"/>
      <c r="AU67" s="103"/>
      <c r="AV67" s="103"/>
      <c r="AW67" s="103"/>
      <c r="AX67" s="103"/>
      <c r="AY67" s="103"/>
      <c r="AZ67" s="103"/>
      <c r="BA67" s="103"/>
      <c r="BB67" s="103"/>
      <c r="BC67" s="103"/>
      <c r="BD67" s="103"/>
      <c r="BE67" s="103"/>
      <c r="BF67" s="103"/>
      <c r="BG67" s="103"/>
      <c r="BH67" s="103"/>
      <c r="BI67" s="103"/>
      <c r="BJ67" s="103"/>
      <c r="BK67" s="103"/>
      <c r="BL67" s="103"/>
      <c r="BM67" s="103"/>
      <c r="BN67" s="103"/>
      <c r="BO67" s="103"/>
      <c r="BP67" s="103"/>
      <c r="BQ67" s="103"/>
      <c r="BR67" s="103"/>
      <c r="BS67" s="103"/>
      <c r="BT67" s="103"/>
      <c r="BU67" s="103"/>
      <c r="BV67" s="103"/>
      <c r="BW67" s="103"/>
      <c r="BX67" s="6"/>
      <c r="BY67" s="6"/>
      <c r="BZ67" s="103"/>
      <c r="CA67" s="103"/>
      <c r="CB67" s="103"/>
      <c r="CC67" s="103"/>
    </row>
    <row r="68" spans="1:81" x14ac:dyDescent="0.2">
      <c r="A68" s="13"/>
      <c r="B68" s="13"/>
      <c r="C68" s="13"/>
      <c r="D68" s="13"/>
      <c r="E68" s="59"/>
      <c r="F68" s="13"/>
      <c r="G68" s="97"/>
      <c r="H68" s="97"/>
      <c r="I68" s="97"/>
      <c r="J68" s="97"/>
      <c r="K68" s="5"/>
      <c r="L68" s="5"/>
      <c r="M68" s="103"/>
      <c r="N68" s="103"/>
      <c r="O68" s="103"/>
      <c r="P68" s="103"/>
      <c r="Q68" s="200"/>
      <c r="R68" s="5"/>
      <c r="S68" s="5"/>
      <c r="T68" s="5"/>
      <c r="U68" s="5"/>
      <c r="V68" s="5"/>
      <c r="W68" s="5"/>
      <c r="X68" s="5"/>
      <c r="Y68" s="5"/>
      <c r="Z68" s="150"/>
      <c r="AA68" s="103"/>
      <c r="AB68" s="103"/>
      <c r="AC68" s="103"/>
      <c r="AD68" s="103"/>
      <c r="AE68" s="103"/>
      <c r="AF68" s="103"/>
      <c r="AG68" s="103"/>
      <c r="AH68" s="103"/>
      <c r="AI68" s="103"/>
      <c r="AJ68" s="103"/>
      <c r="AK68" s="103"/>
      <c r="AL68" s="103"/>
      <c r="AM68" s="103"/>
      <c r="AN68" s="103"/>
      <c r="AO68" s="103"/>
      <c r="AP68" s="103"/>
      <c r="AQ68" s="103"/>
      <c r="AR68" s="103"/>
      <c r="AS68" s="103"/>
      <c r="AT68" s="103"/>
      <c r="AU68" s="103"/>
      <c r="AV68" s="103"/>
      <c r="AW68" s="103"/>
      <c r="AX68" s="103"/>
      <c r="AY68" s="103"/>
      <c r="AZ68" s="103"/>
      <c r="BA68" s="103"/>
      <c r="BB68" s="103"/>
      <c r="BC68" s="103"/>
      <c r="BD68" s="103"/>
      <c r="BE68" s="103"/>
      <c r="BF68" s="103"/>
      <c r="BG68" s="103"/>
      <c r="BH68" s="103"/>
      <c r="BI68" s="103"/>
      <c r="BJ68" s="103"/>
      <c r="BK68" s="103"/>
      <c r="BL68" s="103"/>
      <c r="BM68" s="103"/>
      <c r="BN68" s="103"/>
      <c r="BO68" s="103"/>
      <c r="BP68" s="103"/>
      <c r="BQ68" s="103"/>
      <c r="BR68" s="103"/>
      <c r="BS68" s="103"/>
      <c r="BT68" s="103"/>
      <c r="BU68" s="103"/>
      <c r="BV68" s="103"/>
      <c r="BW68" s="103"/>
      <c r="BX68" s="6"/>
      <c r="BY68" s="6"/>
      <c r="BZ68" s="103"/>
      <c r="CA68" s="103"/>
      <c r="CB68" s="103"/>
      <c r="CC68" s="103"/>
    </row>
    <row r="69" spans="1:81" x14ac:dyDescent="0.2">
      <c r="A69" s="13"/>
      <c r="B69" s="97"/>
      <c r="C69" s="97"/>
      <c r="D69" s="97"/>
      <c r="E69" s="97"/>
      <c r="F69" s="97"/>
      <c r="G69" s="97"/>
      <c r="H69" s="13"/>
      <c r="I69" s="13"/>
      <c r="J69" s="13"/>
      <c r="K69" s="5"/>
      <c r="L69" s="5"/>
      <c r="M69" s="103"/>
      <c r="N69" s="103"/>
      <c r="O69" s="103"/>
      <c r="P69" s="103"/>
      <c r="Q69" s="200"/>
      <c r="R69" s="5"/>
      <c r="S69" s="5"/>
      <c r="T69" s="5"/>
      <c r="U69" s="5"/>
      <c r="V69" s="5"/>
      <c r="W69" s="5"/>
      <c r="X69" s="5"/>
      <c r="Y69" s="5"/>
      <c r="Z69" s="150"/>
      <c r="AA69" s="103"/>
      <c r="AB69" s="103"/>
      <c r="AC69" s="103"/>
      <c r="AD69" s="103"/>
      <c r="AE69" s="103"/>
      <c r="AF69" s="103"/>
      <c r="AG69" s="103"/>
      <c r="AH69" s="103"/>
      <c r="AI69" s="103"/>
      <c r="AJ69" s="103"/>
      <c r="AK69" s="103"/>
      <c r="AL69" s="103"/>
      <c r="AM69" s="103"/>
      <c r="AN69" s="103"/>
      <c r="AO69" s="103"/>
      <c r="AP69" s="103"/>
      <c r="AQ69" s="103"/>
      <c r="AR69" s="103"/>
      <c r="AS69" s="103"/>
      <c r="AT69" s="103"/>
      <c r="AU69" s="103"/>
      <c r="AV69" s="103"/>
      <c r="AW69" s="103"/>
      <c r="AX69" s="103"/>
      <c r="AY69" s="103"/>
      <c r="AZ69" s="103"/>
      <c r="BA69" s="103"/>
      <c r="BB69" s="103"/>
      <c r="BC69" s="103"/>
      <c r="BD69" s="103"/>
      <c r="BE69" s="103"/>
      <c r="BF69" s="103"/>
      <c r="BG69" s="103"/>
      <c r="BH69" s="103"/>
      <c r="BI69" s="103"/>
      <c r="BJ69" s="103"/>
      <c r="BK69" s="103"/>
      <c r="BL69" s="103"/>
      <c r="BM69" s="103"/>
      <c r="BN69" s="103"/>
      <c r="BO69" s="103"/>
      <c r="BP69" s="103"/>
      <c r="BQ69" s="103"/>
      <c r="BR69" s="103"/>
      <c r="BS69" s="103"/>
      <c r="BT69" s="103"/>
      <c r="BU69" s="103"/>
      <c r="BV69" s="103"/>
      <c r="BW69" s="103"/>
      <c r="BX69" s="6"/>
      <c r="BY69" s="6"/>
      <c r="BZ69" s="103"/>
      <c r="CA69" s="103"/>
      <c r="CB69" s="103"/>
      <c r="CC69" s="103"/>
    </row>
    <row r="70" spans="1:81" x14ac:dyDescent="0.2">
      <c r="A70" s="12"/>
      <c r="B70" s="97"/>
      <c r="C70" s="97"/>
      <c r="D70" s="97"/>
      <c r="E70" s="97"/>
      <c r="F70" s="97"/>
      <c r="G70" s="97"/>
      <c r="H70" s="13"/>
      <c r="I70" s="13"/>
      <c r="J70" s="13"/>
      <c r="K70" s="5"/>
      <c r="L70" s="5"/>
      <c r="M70" s="103"/>
      <c r="N70" s="103"/>
      <c r="O70" s="103"/>
      <c r="P70" s="103"/>
      <c r="Q70" s="200"/>
      <c r="R70" s="5"/>
      <c r="S70" s="5"/>
      <c r="T70" s="5"/>
      <c r="U70" s="5"/>
      <c r="V70" s="5"/>
      <c r="W70" s="5"/>
      <c r="X70" s="5"/>
      <c r="Y70" s="5"/>
      <c r="Z70" s="150"/>
      <c r="AA70" s="103"/>
      <c r="AB70" s="103"/>
      <c r="AC70" s="103"/>
      <c r="AD70" s="103"/>
      <c r="AE70" s="103"/>
      <c r="AF70" s="103"/>
      <c r="AG70" s="103"/>
      <c r="AH70" s="103"/>
      <c r="AI70" s="103"/>
      <c r="AJ70" s="103"/>
      <c r="AK70" s="103"/>
      <c r="AL70" s="103"/>
      <c r="AM70" s="103"/>
      <c r="AN70" s="103"/>
      <c r="AO70" s="103"/>
      <c r="AP70" s="103"/>
      <c r="AQ70" s="103"/>
      <c r="AR70" s="103"/>
      <c r="AS70" s="103"/>
      <c r="AT70" s="103"/>
      <c r="AU70" s="103"/>
      <c r="AV70" s="103"/>
      <c r="AW70" s="103"/>
      <c r="AX70" s="103"/>
      <c r="AY70" s="103"/>
      <c r="AZ70" s="103"/>
      <c r="BA70" s="103"/>
      <c r="BB70" s="103"/>
      <c r="BC70" s="103"/>
      <c r="BD70" s="103"/>
      <c r="BE70" s="103"/>
      <c r="BF70" s="103"/>
      <c r="BG70" s="103"/>
      <c r="BH70" s="103"/>
      <c r="BI70" s="103"/>
      <c r="BJ70" s="103"/>
      <c r="BK70" s="103"/>
      <c r="BL70" s="103"/>
      <c r="BM70" s="103"/>
      <c r="BN70" s="103"/>
      <c r="BO70" s="103"/>
      <c r="BP70" s="103"/>
      <c r="BQ70" s="103"/>
      <c r="BR70" s="103"/>
      <c r="BS70" s="103"/>
      <c r="BT70" s="103"/>
      <c r="BU70" s="103"/>
      <c r="BV70" s="103"/>
      <c r="BW70" s="103"/>
      <c r="BX70" s="6"/>
      <c r="BY70" s="6"/>
      <c r="BZ70" s="103"/>
      <c r="CA70" s="103"/>
      <c r="CB70" s="103"/>
      <c r="CC70" s="103"/>
    </row>
    <row r="71" spans="1:81" x14ac:dyDescent="0.2">
      <c r="A71" s="13"/>
      <c r="B71" s="13"/>
      <c r="C71" s="13"/>
      <c r="D71" s="13"/>
      <c r="E71" s="59"/>
      <c r="F71" s="13"/>
      <c r="G71" s="13"/>
      <c r="H71" s="13"/>
      <c r="I71" s="13"/>
      <c r="J71" s="13"/>
      <c r="K71" s="5"/>
      <c r="L71" s="5"/>
      <c r="M71" s="103"/>
      <c r="N71" s="103"/>
      <c r="O71" s="103"/>
      <c r="P71" s="103"/>
      <c r="Q71" s="200"/>
      <c r="R71" s="5"/>
      <c r="S71" s="5"/>
      <c r="T71" s="5"/>
      <c r="U71" s="5"/>
      <c r="V71" s="5"/>
      <c r="W71" s="5"/>
      <c r="X71" s="5"/>
      <c r="Y71" s="5"/>
      <c r="Z71" s="150"/>
      <c r="AA71" s="103"/>
      <c r="AB71" s="103"/>
      <c r="AC71" s="103"/>
      <c r="AD71" s="103"/>
      <c r="AE71" s="103"/>
      <c r="AF71" s="103"/>
      <c r="AG71" s="103"/>
      <c r="AH71" s="103"/>
      <c r="AI71" s="103"/>
      <c r="AJ71" s="103"/>
      <c r="AK71" s="103"/>
      <c r="AL71" s="103"/>
      <c r="AM71" s="103"/>
      <c r="AN71" s="103"/>
      <c r="AO71" s="103"/>
      <c r="AP71" s="103"/>
      <c r="AQ71" s="103"/>
      <c r="AR71" s="103"/>
      <c r="AS71" s="103"/>
      <c r="AT71" s="103"/>
      <c r="AU71" s="103"/>
      <c r="AV71" s="103"/>
      <c r="AW71" s="103"/>
      <c r="AX71" s="103"/>
      <c r="AY71" s="103"/>
      <c r="AZ71" s="103"/>
      <c r="BA71" s="103"/>
      <c r="BB71" s="103"/>
      <c r="BC71" s="103"/>
      <c r="BD71" s="103"/>
      <c r="BE71" s="103"/>
      <c r="BF71" s="103"/>
      <c r="BG71" s="103"/>
      <c r="BH71" s="103"/>
      <c r="BI71" s="103"/>
      <c r="BJ71" s="103"/>
      <c r="BK71" s="103"/>
      <c r="BL71" s="103"/>
      <c r="BM71" s="103"/>
      <c r="BN71" s="103"/>
      <c r="BO71" s="103"/>
      <c r="BP71" s="103"/>
      <c r="BQ71" s="103"/>
      <c r="BR71" s="103"/>
      <c r="BS71" s="103"/>
      <c r="BT71" s="103"/>
      <c r="BU71" s="103"/>
      <c r="BV71" s="103"/>
      <c r="BW71" s="103"/>
      <c r="BX71" s="6"/>
      <c r="BY71" s="6"/>
      <c r="BZ71" s="103"/>
      <c r="CA71" s="103"/>
      <c r="CB71" s="103"/>
      <c r="CC71" s="103"/>
    </row>
    <row r="72" spans="1:81" x14ac:dyDescent="0.2">
      <c r="A72" s="13"/>
      <c r="B72" s="13"/>
      <c r="C72" s="13"/>
      <c r="D72" s="13"/>
      <c r="E72" s="59"/>
      <c r="F72" s="13"/>
      <c r="G72" s="13"/>
      <c r="H72" s="13"/>
      <c r="I72" s="13"/>
      <c r="J72" s="13"/>
      <c r="K72" s="5"/>
      <c r="L72" s="5"/>
      <c r="M72" s="103"/>
      <c r="N72" s="103"/>
      <c r="O72" s="103"/>
      <c r="P72" s="103"/>
      <c r="Q72" s="200"/>
      <c r="R72" s="5"/>
      <c r="S72" s="5"/>
      <c r="T72" s="5"/>
      <c r="U72" s="5"/>
      <c r="V72" s="5"/>
      <c r="W72" s="5"/>
      <c r="X72" s="5"/>
      <c r="Y72" s="5"/>
      <c r="Z72" s="150"/>
      <c r="AA72" s="103"/>
      <c r="AB72" s="103"/>
      <c r="AC72" s="103"/>
      <c r="AD72" s="103"/>
      <c r="AE72" s="103"/>
      <c r="AF72" s="103"/>
      <c r="AG72" s="103"/>
      <c r="AH72" s="103"/>
      <c r="AI72" s="103"/>
      <c r="AJ72" s="103"/>
      <c r="AK72" s="103"/>
      <c r="AL72" s="103"/>
      <c r="AM72" s="103"/>
      <c r="AN72" s="103"/>
      <c r="AO72" s="103"/>
      <c r="AP72" s="103"/>
      <c r="AQ72" s="103"/>
      <c r="AR72" s="103"/>
      <c r="AS72" s="103"/>
      <c r="AT72" s="103"/>
      <c r="AU72" s="103"/>
      <c r="AV72" s="103"/>
      <c r="AW72" s="103"/>
      <c r="AX72" s="103"/>
      <c r="AY72" s="103"/>
      <c r="AZ72" s="103"/>
      <c r="BA72" s="103"/>
      <c r="BB72" s="103"/>
      <c r="BC72" s="103"/>
      <c r="BD72" s="103"/>
      <c r="BE72" s="103"/>
      <c r="BF72" s="103"/>
      <c r="BG72" s="103"/>
      <c r="BH72" s="103"/>
      <c r="BI72" s="103"/>
      <c r="BJ72" s="103"/>
      <c r="BK72" s="103"/>
      <c r="BL72" s="103"/>
      <c r="BM72" s="103"/>
      <c r="BN72" s="103"/>
      <c r="BO72" s="103"/>
      <c r="BP72" s="103"/>
      <c r="BQ72" s="103"/>
      <c r="BR72" s="103"/>
      <c r="BS72" s="103"/>
      <c r="BT72" s="103"/>
      <c r="BU72" s="103"/>
      <c r="BV72" s="103"/>
      <c r="BW72" s="103"/>
      <c r="BX72" s="6"/>
      <c r="BY72" s="6"/>
      <c r="BZ72" s="103"/>
      <c r="CA72" s="103"/>
      <c r="CB72" s="103"/>
      <c r="CC72" s="103"/>
    </row>
    <row r="73" spans="1:81" x14ac:dyDescent="0.2">
      <c r="A73" s="13"/>
      <c r="B73" s="13"/>
      <c r="C73" s="13"/>
      <c r="D73" s="13"/>
      <c r="E73" s="59"/>
      <c r="F73" s="13"/>
      <c r="G73" s="13"/>
      <c r="H73" s="5"/>
      <c r="I73" s="5"/>
      <c r="J73" s="5"/>
      <c r="K73" s="5"/>
      <c r="L73" s="5"/>
      <c r="M73" s="103"/>
      <c r="N73" s="103"/>
      <c r="O73" s="103"/>
      <c r="P73" s="103"/>
      <c r="Q73" s="200"/>
      <c r="R73" s="5"/>
      <c r="S73" s="5"/>
      <c r="T73" s="5"/>
      <c r="U73" s="5"/>
      <c r="V73" s="5"/>
      <c r="W73" s="5"/>
      <c r="X73" s="5"/>
      <c r="Y73" s="5"/>
      <c r="Z73" s="150"/>
      <c r="AA73" s="103"/>
      <c r="AB73" s="103"/>
      <c r="AC73" s="103"/>
      <c r="AD73" s="103"/>
      <c r="AE73" s="103"/>
      <c r="AF73" s="103"/>
      <c r="AG73" s="103"/>
      <c r="AH73" s="103"/>
      <c r="AI73" s="103"/>
      <c r="AJ73" s="103"/>
      <c r="AK73" s="103"/>
      <c r="AL73" s="103"/>
      <c r="AM73" s="103"/>
      <c r="AN73" s="103"/>
      <c r="AO73" s="103"/>
      <c r="AP73" s="103"/>
      <c r="AQ73" s="103"/>
      <c r="AR73" s="103"/>
      <c r="AS73" s="103"/>
      <c r="AT73" s="103"/>
      <c r="AU73" s="103"/>
      <c r="AV73" s="103"/>
      <c r="AW73" s="103"/>
      <c r="AX73" s="103"/>
      <c r="AY73" s="103"/>
      <c r="AZ73" s="103"/>
      <c r="BA73" s="103"/>
      <c r="BB73" s="103"/>
      <c r="BC73" s="103"/>
      <c r="BD73" s="103"/>
      <c r="BE73" s="103"/>
      <c r="BF73" s="103"/>
      <c r="BG73" s="103"/>
      <c r="BH73" s="103"/>
      <c r="BI73" s="103"/>
      <c r="BJ73" s="103"/>
      <c r="BK73" s="103"/>
      <c r="BL73" s="103"/>
      <c r="BM73" s="103"/>
      <c r="BN73" s="103"/>
      <c r="BO73" s="103"/>
      <c r="BP73" s="103"/>
      <c r="BQ73" s="103"/>
      <c r="BR73" s="103"/>
      <c r="BS73" s="103"/>
      <c r="BT73" s="103"/>
      <c r="BU73" s="103"/>
      <c r="BV73" s="103"/>
      <c r="BW73" s="103"/>
      <c r="BX73" s="6"/>
      <c r="BY73" s="6"/>
      <c r="BZ73" s="103"/>
      <c r="CA73" s="103"/>
      <c r="CB73" s="103"/>
      <c r="CC73" s="103"/>
    </row>
    <row r="74" spans="1:81" x14ac:dyDescent="0.2">
      <c r="A74" s="13"/>
      <c r="B74" s="13"/>
      <c r="C74" s="13"/>
      <c r="D74" s="13"/>
      <c r="E74" s="59"/>
      <c r="F74" s="13"/>
      <c r="G74" s="13"/>
      <c r="H74" s="13"/>
      <c r="I74" s="13"/>
      <c r="J74" s="13"/>
      <c r="K74" s="5"/>
      <c r="L74" s="5"/>
      <c r="M74" s="103"/>
      <c r="N74" s="103"/>
      <c r="O74" s="103"/>
      <c r="P74" s="103"/>
      <c r="Q74" s="200"/>
      <c r="R74" s="5"/>
      <c r="S74" s="5"/>
      <c r="T74" s="5"/>
      <c r="U74" s="5"/>
      <c r="V74" s="5"/>
      <c r="W74" s="5"/>
      <c r="X74" s="5"/>
      <c r="Y74" s="5"/>
      <c r="Z74" s="150"/>
      <c r="AA74" s="103"/>
      <c r="AB74" s="103"/>
      <c r="AC74" s="103"/>
      <c r="AD74" s="103"/>
      <c r="AE74" s="103"/>
      <c r="AF74" s="103"/>
      <c r="AG74" s="103"/>
      <c r="AH74" s="103"/>
      <c r="AI74" s="103"/>
      <c r="AJ74" s="103"/>
      <c r="AK74" s="103"/>
      <c r="AL74" s="103"/>
      <c r="AM74" s="103"/>
      <c r="AN74" s="103"/>
      <c r="AO74" s="103"/>
      <c r="AP74" s="103"/>
      <c r="AQ74" s="103"/>
      <c r="AR74" s="103"/>
      <c r="AS74" s="103"/>
      <c r="AT74" s="103"/>
      <c r="AU74" s="103"/>
      <c r="AV74" s="103"/>
      <c r="AW74" s="103"/>
      <c r="AX74" s="103"/>
      <c r="AY74" s="103"/>
      <c r="AZ74" s="103"/>
      <c r="BA74" s="103"/>
      <c r="BB74" s="103"/>
      <c r="BC74" s="103"/>
      <c r="BD74" s="103"/>
      <c r="BE74" s="103"/>
      <c r="BF74" s="103"/>
      <c r="BG74" s="103"/>
      <c r="BH74" s="103"/>
      <c r="BI74" s="103"/>
      <c r="BJ74" s="103"/>
      <c r="BK74" s="103"/>
      <c r="BL74" s="103"/>
      <c r="BM74" s="103"/>
      <c r="BN74" s="103"/>
      <c r="BO74" s="103"/>
      <c r="BP74" s="103"/>
      <c r="BQ74" s="103"/>
      <c r="BR74" s="103"/>
      <c r="BS74" s="103"/>
      <c r="BT74" s="103"/>
      <c r="BU74" s="103"/>
      <c r="BV74" s="103"/>
      <c r="BW74" s="103"/>
      <c r="BX74" s="6"/>
      <c r="BY74" s="6"/>
      <c r="BZ74" s="103"/>
      <c r="CA74" s="103"/>
      <c r="CB74" s="103"/>
      <c r="CC74" s="103"/>
    </row>
    <row r="75" spans="1:81" x14ac:dyDescent="0.2">
      <c r="A75" s="5"/>
      <c r="B75" s="5"/>
      <c r="C75" s="5"/>
      <c r="D75" s="5"/>
      <c r="E75" s="5"/>
      <c r="F75" s="5"/>
      <c r="G75" s="5"/>
      <c r="H75" s="13"/>
      <c r="I75" s="13"/>
      <c r="J75" s="13"/>
      <c r="K75" s="5"/>
      <c r="L75" s="5"/>
      <c r="M75" s="103"/>
      <c r="N75" s="103"/>
      <c r="O75" s="103"/>
      <c r="P75" s="103"/>
      <c r="Q75" s="200"/>
      <c r="R75" s="5"/>
      <c r="S75" s="5"/>
      <c r="T75" s="5"/>
      <c r="U75" s="5"/>
      <c r="V75" s="5"/>
      <c r="W75" s="5"/>
      <c r="X75" s="5"/>
      <c r="Y75" s="5"/>
      <c r="Z75" s="150"/>
      <c r="AA75" s="103"/>
      <c r="AB75" s="103"/>
      <c r="AC75" s="103"/>
      <c r="AD75" s="103"/>
      <c r="AE75" s="103"/>
      <c r="AF75" s="103"/>
      <c r="AG75" s="103"/>
      <c r="AH75" s="103"/>
      <c r="AI75" s="103"/>
      <c r="AJ75" s="103"/>
      <c r="AK75" s="103"/>
      <c r="AL75" s="103"/>
      <c r="AM75" s="103"/>
      <c r="AN75" s="103"/>
      <c r="AO75" s="103"/>
      <c r="AP75" s="103"/>
      <c r="AQ75" s="103"/>
      <c r="AR75" s="103"/>
      <c r="AS75" s="103"/>
      <c r="AT75" s="103"/>
      <c r="AU75" s="103"/>
      <c r="AV75" s="103"/>
      <c r="AW75" s="103"/>
      <c r="AX75" s="103"/>
      <c r="AY75" s="103"/>
      <c r="AZ75" s="103"/>
      <c r="BA75" s="103"/>
      <c r="BB75" s="103"/>
      <c r="BC75" s="103"/>
      <c r="BD75" s="103"/>
      <c r="BE75" s="103"/>
      <c r="BF75" s="103"/>
      <c r="BG75" s="103"/>
      <c r="BH75" s="103"/>
      <c r="BI75" s="103"/>
      <c r="BJ75" s="103"/>
      <c r="BK75" s="103"/>
      <c r="BL75" s="103"/>
      <c r="BM75" s="103"/>
      <c r="BN75" s="103"/>
      <c r="BO75" s="103"/>
      <c r="BP75" s="103"/>
      <c r="BQ75" s="103"/>
      <c r="BR75" s="103"/>
      <c r="BS75" s="103"/>
      <c r="BT75" s="103"/>
      <c r="BU75" s="103"/>
      <c r="BV75" s="103"/>
      <c r="BW75" s="103"/>
      <c r="BX75" s="6"/>
      <c r="BY75" s="6"/>
      <c r="BZ75" s="103"/>
      <c r="CA75" s="103"/>
      <c r="CB75" s="103"/>
      <c r="CC75" s="103"/>
    </row>
    <row r="76" spans="1:81" x14ac:dyDescent="0.2">
      <c r="A76" s="13"/>
      <c r="B76" s="13"/>
      <c r="C76" s="13"/>
      <c r="D76" s="13"/>
      <c r="E76" s="59"/>
      <c r="F76" s="13"/>
      <c r="G76" s="13"/>
      <c r="H76" s="13"/>
      <c r="I76" s="13"/>
      <c r="J76" s="13"/>
      <c r="K76" s="5"/>
      <c r="L76" s="5"/>
      <c r="M76" s="103"/>
      <c r="N76" s="103"/>
      <c r="O76" s="103"/>
      <c r="P76" s="103"/>
      <c r="Q76" s="200"/>
      <c r="R76" s="5"/>
      <c r="S76" s="5"/>
      <c r="T76" s="5"/>
      <c r="U76" s="5"/>
      <c r="V76" s="5"/>
      <c r="W76" s="5"/>
      <c r="X76" s="5"/>
      <c r="Y76" s="5"/>
      <c r="Z76" s="150"/>
      <c r="AA76" s="103"/>
      <c r="AB76" s="103"/>
      <c r="AC76" s="103"/>
      <c r="AD76" s="103"/>
      <c r="AE76" s="103"/>
      <c r="AF76" s="103"/>
      <c r="AG76" s="103"/>
      <c r="AH76" s="103"/>
      <c r="AI76" s="103"/>
      <c r="AJ76" s="103"/>
      <c r="AK76" s="103"/>
      <c r="AL76" s="103"/>
      <c r="AM76" s="103"/>
      <c r="AN76" s="103"/>
      <c r="AO76" s="103"/>
      <c r="AP76" s="103"/>
      <c r="AQ76" s="103"/>
      <c r="AR76" s="103"/>
      <c r="AS76" s="103"/>
      <c r="AT76" s="103"/>
      <c r="AU76" s="103"/>
      <c r="AV76" s="103"/>
      <c r="AW76" s="103"/>
      <c r="AX76" s="103"/>
      <c r="AY76" s="103"/>
      <c r="AZ76" s="103"/>
      <c r="BA76" s="103"/>
      <c r="BB76" s="103"/>
      <c r="BC76" s="103"/>
      <c r="BD76" s="103"/>
      <c r="BE76" s="103"/>
      <c r="BF76" s="103"/>
      <c r="BG76" s="103"/>
      <c r="BH76" s="103"/>
      <c r="BI76" s="103"/>
      <c r="BJ76" s="103"/>
      <c r="BK76" s="103"/>
      <c r="BL76" s="103"/>
      <c r="BM76" s="103"/>
      <c r="BN76" s="103"/>
      <c r="BO76" s="103"/>
      <c r="BP76" s="103"/>
      <c r="BQ76" s="103"/>
      <c r="BR76" s="103"/>
      <c r="BS76" s="103"/>
      <c r="BT76" s="103"/>
      <c r="BU76" s="103"/>
      <c r="BV76" s="103"/>
      <c r="BW76" s="103"/>
      <c r="BX76" s="6"/>
      <c r="BY76" s="6"/>
      <c r="BZ76" s="103"/>
      <c r="CA76" s="103"/>
      <c r="CB76" s="103"/>
      <c r="CC76" s="103"/>
    </row>
    <row r="77" spans="1:81" x14ac:dyDescent="0.2">
      <c r="A77" s="14"/>
      <c r="B77" s="13"/>
      <c r="C77" s="13"/>
      <c r="D77" s="13"/>
      <c r="E77" s="59"/>
      <c r="F77" s="13"/>
      <c r="G77" s="13"/>
      <c r="H77" s="5"/>
      <c r="I77" s="5"/>
      <c r="J77" s="5"/>
      <c r="K77" s="5"/>
      <c r="L77" s="5"/>
      <c r="M77" s="103"/>
      <c r="N77" s="103"/>
      <c r="O77" s="103"/>
      <c r="P77" s="103"/>
      <c r="Q77" s="200"/>
      <c r="R77" s="5"/>
      <c r="S77" s="5"/>
      <c r="T77" s="5"/>
      <c r="U77" s="5"/>
      <c r="V77" s="5"/>
      <c r="W77" s="5"/>
      <c r="X77" s="5"/>
      <c r="Y77" s="5"/>
      <c r="Z77" s="150"/>
      <c r="AA77" s="103"/>
      <c r="AB77" s="103"/>
      <c r="AC77" s="103"/>
      <c r="AD77" s="103"/>
      <c r="AE77" s="103"/>
      <c r="AF77" s="103"/>
      <c r="AG77" s="103"/>
      <c r="AH77" s="103"/>
      <c r="AI77" s="103"/>
      <c r="AJ77" s="103"/>
      <c r="AK77" s="103"/>
      <c r="AL77" s="103"/>
      <c r="AM77" s="103"/>
      <c r="AN77" s="103"/>
      <c r="AO77" s="103"/>
      <c r="AP77" s="103"/>
      <c r="AQ77" s="103"/>
      <c r="AR77" s="103"/>
      <c r="AS77" s="103"/>
      <c r="AT77" s="103"/>
      <c r="AU77" s="103"/>
      <c r="AV77" s="103"/>
      <c r="AW77" s="103"/>
      <c r="AX77" s="103"/>
      <c r="AY77" s="103"/>
      <c r="AZ77" s="103"/>
      <c r="BA77" s="103"/>
      <c r="BB77" s="103"/>
      <c r="BC77" s="103"/>
      <c r="BD77" s="103"/>
      <c r="BE77" s="103"/>
      <c r="BF77" s="103"/>
      <c r="BG77" s="103"/>
      <c r="BH77" s="103"/>
      <c r="BI77" s="103"/>
      <c r="BJ77" s="103"/>
      <c r="BK77" s="103"/>
      <c r="BL77" s="103"/>
      <c r="BM77" s="103"/>
      <c r="BN77" s="103"/>
      <c r="BO77" s="103"/>
      <c r="BP77" s="103"/>
      <c r="BQ77" s="103"/>
      <c r="BR77" s="103"/>
      <c r="BS77" s="103"/>
      <c r="BT77" s="103"/>
      <c r="BU77" s="103"/>
      <c r="BV77" s="103"/>
      <c r="BW77" s="103"/>
      <c r="BX77" s="6"/>
      <c r="BY77" s="6"/>
      <c r="BZ77" s="103"/>
      <c r="CA77" s="103"/>
      <c r="CB77" s="103"/>
      <c r="CC77" s="103"/>
    </row>
    <row r="78" spans="1:81" x14ac:dyDescent="0.2">
      <c r="A78" s="14"/>
      <c r="B78" s="13"/>
      <c r="C78" s="13"/>
      <c r="D78" s="13"/>
      <c r="E78" s="59"/>
      <c r="F78" s="13"/>
      <c r="G78" s="13"/>
      <c r="H78" s="5"/>
      <c r="I78" s="5"/>
      <c r="J78" s="5"/>
      <c r="K78" s="5"/>
      <c r="L78" s="5"/>
      <c r="M78" s="103"/>
      <c r="N78" s="103"/>
      <c r="O78" s="103"/>
      <c r="P78" s="103"/>
      <c r="Q78" s="200"/>
      <c r="R78" s="5"/>
      <c r="S78" s="5"/>
      <c r="T78" s="5"/>
      <c r="U78" s="5"/>
      <c r="V78" s="5"/>
      <c r="W78" s="5"/>
      <c r="X78" s="5"/>
      <c r="Y78" s="5"/>
      <c r="Z78" s="150"/>
      <c r="AA78" s="103"/>
      <c r="AB78" s="103"/>
      <c r="AC78" s="103"/>
      <c r="AD78" s="103"/>
      <c r="AE78" s="103"/>
      <c r="AF78" s="103"/>
      <c r="AG78" s="103"/>
      <c r="AH78" s="103"/>
      <c r="AI78" s="103"/>
      <c r="AJ78" s="103"/>
      <c r="AK78" s="103"/>
      <c r="AL78" s="103"/>
      <c r="AM78" s="103"/>
      <c r="AN78" s="103"/>
      <c r="AO78" s="103"/>
      <c r="AP78" s="103"/>
      <c r="AQ78" s="103"/>
      <c r="AR78" s="103"/>
      <c r="AS78" s="103"/>
      <c r="AT78" s="103"/>
      <c r="AU78" s="103"/>
      <c r="AV78" s="103"/>
      <c r="AW78" s="103"/>
      <c r="AX78" s="103"/>
      <c r="AY78" s="103"/>
      <c r="AZ78" s="103"/>
      <c r="BA78" s="103"/>
      <c r="BB78" s="103"/>
      <c r="BC78" s="103"/>
      <c r="BD78" s="103"/>
      <c r="BE78" s="103"/>
      <c r="BF78" s="103"/>
      <c r="BG78" s="103"/>
      <c r="BH78" s="103"/>
      <c r="BI78" s="103"/>
      <c r="BJ78" s="103"/>
      <c r="BK78" s="103"/>
      <c r="BL78" s="103"/>
      <c r="BM78" s="103"/>
      <c r="BN78" s="103"/>
      <c r="BO78" s="103"/>
      <c r="BP78" s="103"/>
      <c r="BQ78" s="103"/>
      <c r="BR78" s="103"/>
      <c r="BS78" s="103"/>
      <c r="BT78" s="103"/>
      <c r="BU78" s="103"/>
      <c r="BV78" s="103"/>
      <c r="BW78" s="103"/>
      <c r="BX78" s="6"/>
      <c r="BY78" s="6"/>
      <c r="BZ78" s="103"/>
      <c r="CA78" s="103"/>
      <c r="CB78" s="103"/>
      <c r="CC78" s="103"/>
    </row>
    <row r="79" spans="1:81" x14ac:dyDescent="0.2">
      <c r="A79" s="5"/>
      <c r="B79" s="5"/>
      <c r="C79" s="5"/>
      <c r="D79" s="5"/>
      <c r="E79" s="5"/>
      <c r="F79" s="5"/>
      <c r="G79" s="5"/>
      <c r="H79" s="5"/>
      <c r="I79" s="5"/>
      <c r="J79" s="5"/>
      <c r="K79" s="5"/>
      <c r="L79" s="5"/>
      <c r="M79" s="103"/>
      <c r="N79" s="103"/>
      <c r="O79" s="103"/>
      <c r="P79" s="103"/>
      <c r="Q79" s="200"/>
      <c r="R79" s="5"/>
      <c r="S79" s="5"/>
      <c r="T79" s="5"/>
      <c r="U79" s="5"/>
      <c r="V79" s="5"/>
      <c r="W79" s="5"/>
      <c r="X79" s="5"/>
      <c r="Y79" s="5"/>
      <c r="Z79" s="150"/>
      <c r="AA79" s="103"/>
      <c r="AB79" s="103"/>
      <c r="AC79" s="103"/>
      <c r="AD79" s="103"/>
      <c r="AE79" s="103"/>
      <c r="AF79" s="103"/>
      <c r="AG79" s="103"/>
      <c r="AH79" s="103"/>
      <c r="AI79" s="103"/>
      <c r="AJ79" s="103"/>
      <c r="AK79" s="103"/>
      <c r="AL79" s="103"/>
      <c r="AM79" s="103"/>
      <c r="AN79" s="103"/>
      <c r="AO79" s="103"/>
      <c r="AP79" s="103"/>
      <c r="AQ79" s="103"/>
      <c r="AR79" s="103"/>
      <c r="AS79" s="103"/>
      <c r="AT79" s="103"/>
      <c r="AU79" s="103"/>
      <c r="AV79" s="103"/>
      <c r="AW79" s="103"/>
      <c r="AX79" s="103"/>
      <c r="AY79" s="103"/>
      <c r="AZ79" s="103"/>
      <c r="BA79" s="103"/>
      <c r="BB79" s="103"/>
      <c r="BC79" s="103"/>
      <c r="BD79" s="103"/>
      <c r="BE79" s="103"/>
      <c r="BF79" s="103"/>
      <c r="BG79" s="103"/>
      <c r="BH79" s="103"/>
      <c r="BI79" s="103"/>
      <c r="BJ79" s="103"/>
      <c r="BK79" s="103"/>
      <c r="BL79" s="103"/>
      <c r="BM79" s="103"/>
      <c r="BN79" s="103"/>
      <c r="BO79" s="103"/>
      <c r="BP79" s="103"/>
      <c r="BQ79" s="103"/>
      <c r="BR79" s="103"/>
      <c r="BS79" s="103"/>
      <c r="BT79" s="103"/>
      <c r="BU79" s="103"/>
      <c r="BV79" s="103"/>
      <c r="BW79" s="103"/>
      <c r="BX79" s="6"/>
      <c r="BY79" s="6"/>
      <c r="BZ79" s="103"/>
      <c r="CA79" s="103"/>
      <c r="CB79" s="103"/>
      <c r="CC79" s="103"/>
    </row>
    <row r="80" spans="1:81" x14ac:dyDescent="0.2">
      <c r="A80" s="8"/>
      <c r="B80" s="5"/>
      <c r="C80" s="5"/>
      <c r="D80" s="5"/>
      <c r="E80" s="5"/>
      <c r="F80" s="5"/>
      <c r="G80" s="5"/>
      <c r="H80" s="5"/>
      <c r="I80" s="5"/>
      <c r="J80" s="5"/>
      <c r="K80" s="5"/>
      <c r="L80" s="5"/>
      <c r="M80" s="103"/>
      <c r="N80" s="103"/>
      <c r="O80" s="103"/>
      <c r="P80" s="103"/>
      <c r="Q80" s="200"/>
      <c r="R80" s="5"/>
      <c r="S80" s="5"/>
      <c r="T80" s="5"/>
      <c r="U80" s="5"/>
      <c r="V80" s="5"/>
      <c r="W80" s="5"/>
      <c r="X80" s="5"/>
      <c r="Y80" s="5"/>
      <c r="Z80" s="150"/>
      <c r="AA80" s="103"/>
      <c r="AB80" s="103"/>
      <c r="AC80" s="103"/>
      <c r="AD80" s="103"/>
      <c r="AE80" s="103"/>
      <c r="AF80" s="103"/>
      <c r="AG80" s="103"/>
      <c r="AH80" s="103"/>
      <c r="AI80" s="103"/>
      <c r="AJ80" s="103"/>
      <c r="AK80" s="103"/>
      <c r="AL80" s="103"/>
      <c r="AM80" s="103"/>
      <c r="AN80" s="103"/>
      <c r="AO80" s="103"/>
      <c r="AP80" s="103"/>
      <c r="AQ80" s="103"/>
      <c r="AR80" s="103"/>
      <c r="AS80" s="103"/>
      <c r="AT80" s="103"/>
      <c r="AU80" s="103"/>
      <c r="AV80" s="103"/>
      <c r="AW80" s="103"/>
      <c r="AX80" s="103"/>
      <c r="AY80" s="103"/>
      <c r="AZ80" s="103"/>
      <c r="BA80" s="103"/>
      <c r="BB80" s="103"/>
      <c r="BC80" s="103"/>
      <c r="BD80" s="103"/>
      <c r="BE80" s="103"/>
      <c r="BF80" s="103"/>
      <c r="BG80" s="103"/>
      <c r="BH80" s="103"/>
      <c r="BI80" s="103"/>
      <c r="BJ80" s="103"/>
      <c r="BK80" s="103"/>
      <c r="BL80" s="103"/>
      <c r="BM80" s="103"/>
      <c r="BN80" s="103"/>
      <c r="BO80" s="103"/>
      <c r="BP80" s="103"/>
      <c r="BQ80" s="103"/>
      <c r="BR80" s="103"/>
      <c r="BS80" s="103"/>
      <c r="BT80" s="103"/>
      <c r="BU80" s="103"/>
      <c r="BV80" s="103"/>
      <c r="BW80" s="103"/>
      <c r="BX80" s="6"/>
      <c r="BY80" s="6"/>
      <c r="BZ80" s="103"/>
      <c r="CA80" s="103"/>
      <c r="CB80" s="103"/>
      <c r="CC80" s="103"/>
    </row>
    <row r="81" spans="1:81" x14ac:dyDescent="0.2">
      <c r="A81" s="5"/>
      <c r="B81" s="5"/>
      <c r="C81" s="5"/>
      <c r="D81" s="5"/>
      <c r="E81" s="5"/>
      <c r="F81" s="5"/>
      <c r="G81" s="5"/>
      <c r="H81" s="5"/>
      <c r="I81" s="5"/>
      <c r="J81" s="5"/>
      <c r="K81" s="5"/>
      <c r="L81" s="5"/>
      <c r="M81" s="103"/>
      <c r="N81" s="103"/>
      <c r="O81" s="103"/>
      <c r="P81" s="103"/>
      <c r="Q81" s="200"/>
      <c r="R81" s="5"/>
      <c r="S81" s="5"/>
      <c r="T81" s="5"/>
      <c r="U81" s="5"/>
      <c r="V81" s="5"/>
      <c r="W81" s="5"/>
      <c r="X81" s="5"/>
      <c r="Y81" s="5"/>
      <c r="Z81" s="150"/>
      <c r="AA81" s="103"/>
      <c r="AB81" s="103"/>
      <c r="AC81" s="103"/>
      <c r="AD81" s="103"/>
      <c r="AE81" s="103"/>
      <c r="AF81" s="103"/>
      <c r="AG81" s="103"/>
      <c r="AH81" s="103"/>
      <c r="AI81" s="103"/>
      <c r="AJ81" s="103"/>
      <c r="AK81" s="103"/>
      <c r="AL81" s="103"/>
      <c r="AM81" s="103"/>
      <c r="AN81" s="103"/>
      <c r="AO81" s="103"/>
      <c r="AP81" s="103"/>
      <c r="AQ81" s="103"/>
      <c r="AR81" s="103"/>
      <c r="AS81" s="103"/>
      <c r="AT81" s="103"/>
      <c r="AU81" s="103"/>
      <c r="AV81" s="103"/>
      <c r="AW81" s="103"/>
      <c r="AX81" s="103"/>
      <c r="AY81" s="103"/>
      <c r="AZ81" s="103"/>
      <c r="BA81" s="103"/>
      <c r="BB81" s="103"/>
      <c r="BC81" s="103"/>
      <c r="BD81" s="103"/>
      <c r="BE81" s="103"/>
      <c r="BF81" s="103"/>
      <c r="BG81" s="103"/>
      <c r="BH81" s="103"/>
      <c r="BI81" s="103"/>
      <c r="BJ81" s="103"/>
      <c r="BK81" s="103"/>
      <c r="BL81" s="103"/>
      <c r="BM81" s="103"/>
      <c r="BN81" s="103"/>
      <c r="BO81" s="103"/>
      <c r="BP81" s="103"/>
      <c r="BQ81" s="103"/>
      <c r="BR81" s="103"/>
      <c r="BS81" s="103"/>
      <c r="BT81" s="103"/>
      <c r="BU81" s="103"/>
      <c r="BV81" s="103"/>
      <c r="BW81" s="103"/>
      <c r="BX81" s="6"/>
      <c r="BY81" s="6"/>
      <c r="BZ81" s="103"/>
      <c r="CA81" s="103"/>
      <c r="CB81" s="103"/>
      <c r="CC81" s="103"/>
    </row>
    <row r="82" spans="1:81" x14ac:dyDescent="0.2">
      <c r="A82" s="5"/>
      <c r="B82" s="5"/>
      <c r="C82" s="5"/>
      <c r="D82" s="5"/>
      <c r="E82" s="5"/>
      <c r="F82" s="5"/>
      <c r="G82" s="5"/>
      <c r="H82" s="5"/>
      <c r="I82" s="5"/>
      <c r="J82" s="5"/>
      <c r="K82" s="5"/>
      <c r="L82" s="5"/>
      <c r="M82" s="103"/>
      <c r="N82" s="103"/>
      <c r="O82" s="103"/>
      <c r="P82" s="103"/>
      <c r="Q82" s="200"/>
      <c r="R82" s="5"/>
      <c r="S82" s="5"/>
      <c r="T82" s="5"/>
      <c r="U82" s="5"/>
      <c r="V82" s="5"/>
      <c r="W82" s="5"/>
      <c r="X82" s="5"/>
      <c r="Y82" s="5"/>
      <c r="Z82" s="150"/>
      <c r="AA82" s="103"/>
      <c r="AB82" s="103"/>
      <c r="AC82" s="103"/>
      <c r="AD82" s="103"/>
      <c r="AE82" s="103"/>
      <c r="AF82" s="103"/>
      <c r="AG82" s="103"/>
      <c r="AH82" s="103"/>
      <c r="AI82" s="103"/>
      <c r="AJ82" s="103"/>
      <c r="AK82" s="103"/>
      <c r="AL82" s="103"/>
      <c r="AM82" s="103"/>
      <c r="AN82" s="103"/>
      <c r="AO82" s="103"/>
      <c r="AP82" s="103"/>
      <c r="AQ82" s="103"/>
      <c r="AR82" s="103"/>
      <c r="AS82" s="103"/>
      <c r="AT82" s="103"/>
      <c r="AU82" s="103"/>
      <c r="AV82" s="103"/>
      <c r="AW82" s="103"/>
      <c r="AX82" s="103"/>
      <c r="AY82" s="103"/>
      <c r="AZ82" s="103"/>
      <c r="BA82" s="103"/>
      <c r="BB82" s="103"/>
      <c r="BC82" s="103"/>
      <c r="BD82" s="103"/>
      <c r="BE82" s="103"/>
      <c r="BF82" s="103"/>
      <c r="BG82" s="103"/>
      <c r="BH82" s="103"/>
      <c r="BI82" s="103"/>
      <c r="BJ82" s="103"/>
      <c r="BK82" s="103"/>
      <c r="BL82" s="103"/>
      <c r="BM82" s="103"/>
      <c r="BN82" s="103"/>
      <c r="BO82" s="103"/>
      <c r="BP82" s="103"/>
      <c r="BQ82" s="103"/>
      <c r="BR82" s="103"/>
      <c r="BS82" s="103"/>
      <c r="BT82" s="103"/>
      <c r="BU82" s="103"/>
      <c r="BV82" s="103"/>
      <c r="BW82" s="103"/>
      <c r="BX82" s="6"/>
      <c r="BY82" s="6"/>
      <c r="BZ82" s="103"/>
      <c r="CA82" s="103"/>
      <c r="CB82" s="103"/>
      <c r="CC82" s="103"/>
    </row>
    <row r="83" spans="1:81" x14ac:dyDescent="0.2">
      <c r="A83" s="5"/>
      <c r="B83" s="5"/>
      <c r="C83" s="5"/>
      <c r="D83" s="5"/>
      <c r="E83" s="5"/>
      <c r="F83" s="5"/>
      <c r="G83" s="5"/>
      <c r="H83" s="5"/>
      <c r="I83" s="5"/>
      <c r="J83" s="5"/>
      <c r="K83" s="5"/>
      <c r="L83" s="5"/>
      <c r="M83" s="103"/>
      <c r="N83" s="103"/>
      <c r="O83" s="103"/>
      <c r="P83" s="103"/>
      <c r="Q83" s="200"/>
      <c r="R83" s="5"/>
      <c r="S83" s="5"/>
      <c r="T83" s="5"/>
      <c r="U83" s="5"/>
      <c r="V83" s="5"/>
      <c r="W83" s="5"/>
      <c r="X83" s="5"/>
      <c r="Y83" s="5"/>
      <c r="Z83" s="150"/>
      <c r="AA83" s="103"/>
      <c r="AB83" s="103"/>
      <c r="AC83" s="103"/>
      <c r="AD83" s="103"/>
      <c r="AE83" s="103"/>
      <c r="AF83" s="103"/>
      <c r="AG83" s="103"/>
      <c r="AH83" s="103"/>
      <c r="AI83" s="103"/>
      <c r="AJ83" s="103"/>
      <c r="AK83" s="103"/>
      <c r="AL83" s="103"/>
      <c r="AM83" s="103"/>
      <c r="AN83" s="103"/>
      <c r="AO83" s="103"/>
      <c r="AP83" s="103"/>
      <c r="AQ83" s="103"/>
      <c r="AR83" s="103"/>
      <c r="AS83" s="103"/>
      <c r="AT83" s="103"/>
      <c r="AU83" s="103"/>
      <c r="AV83" s="103"/>
      <c r="AW83" s="103"/>
      <c r="AX83" s="103"/>
      <c r="AY83" s="103"/>
      <c r="AZ83" s="103"/>
      <c r="BA83" s="103"/>
      <c r="BB83" s="103"/>
      <c r="BC83" s="103"/>
      <c r="BD83" s="103"/>
      <c r="BE83" s="103"/>
      <c r="BF83" s="103"/>
      <c r="BG83" s="103"/>
      <c r="BH83" s="103"/>
      <c r="BI83" s="103"/>
      <c r="BJ83" s="103"/>
      <c r="BK83" s="103"/>
      <c r="BL83" s="103"/>
      <c r="BM83" s="103"/>
      <c r="BN83" s="103"/>
      <c r="BO83" s="103"/>
      <c r="BP83" s="103"/>
      <c r="BQ83" s="103"/>
      <c r="BR83" s="103"/>
      <c r="BS83" s="103"/>
      <c r="BT83" s="103"/>
      <c r="BU83" s="103"/>
      <c r="BV83" s="103"/>
      <c r="BW83" s="103"/>
      <c r="BX83" s="6"/>
      <c r="BY83" s="6"/>
      <c r="BZ83" s="103"/>
      <c r="CA83" s="103"/>
      <c r="CB83" s="103"/>
      <c r="CC83" s="103"/>
    </row>
    <row r="84" spans="1:81" x14ac:dyDescent="0.2">
      <c r="A84" s="5"/>
      <c r="B84" s="5"/>
      <c r="C84" s="5"/>
      <c r="D84" s="5"/>
      <c r="E84" s="5"/>
      <c r="F84" s="5"/>
      <c r="G84" s="5"/>
      <c r="H84" s="5"/>
      <c r="I84" s="5"/>
      <c r="J84" s="5"/>
      <c r="K84" s="5"/>
      <c r="L84" s="5"/>
      <c r="M84" s="103"/>
      <c r="N84" s="103"/>
      <c r="O84" s="103"/>
      <c r="P84" s="103"/>
      <c r="Q84" s="200"/>
      <c r="R84" s="5"/>
      <c r="S84" s="5"/>
      <c r="T84" s="5"/>
      <c r="U84" s="5"/>
      <c r="V84" s="5"/>
      <c r="W84" s="5"/>
      <c r="X84" s="5"/>
      <c r="Y84" s="5"/>
      <c r="Z84" s="150"/>
      <c r="AA84" s="103"/>
      <c r="AB84" s="103"/>
      <c r="AC84" s="103"/>
      <c r="AD84" s="103"/>
      <c r="AE84" s="103"/>
      <c r="AF84" s="103"/>
      <c r="AG84" s="103"/>
      <c r="AH84" s="103"/>
      <c r="AI84" s="103"/>
      <c r="AJ84" s="103"/>
      <c r="AK84" s="103"/>
      <c r="AL84" s="103"/>
      <c r="AM84" s="103"/>
      <c r="AN84" s="103"/>
      <c r="AO84" s="103"/>
      <c r="AP84" s="103"/>
      <c r="AQ84" s="103"/>
      <c r="AR84" s="103"/>
      <c r="AS84" s="103"/>
      <c r="AT84" s="103"/>
      <c r="AU84" s="103"/>
      <c r="AV84" s="103"/>
      <c r="AW84" s="103"/>
      <c r="AX84" s="103"/>
      <c r="AY84" s="103"/>
      <c r="AZ84" s="103"/>
      <c r="BA84" s="103"/>
      <c r="BB84" s="103"/>
      <c r="BC84" s="103"/>
      <c r="BD84" s="103"/>
      <c r="BE84" s="103"/>
      <c r="BF84" s="103"/>
      <c r="BG84" s="103"/>
      <c r="BH84" s="103"/>
      <c r="BI84" s="103"/>
      <c r="BJ84" s="103"/>
      <c r="BK84" s="103"/>
      <c r="BL84" s="103"/>
      <c r="BM84" s="103"/>
      <c r="BN84" s="103"/>
      <c r="BO84" s="103"/>
      <c r="BP84" s="103"/>
      <c r="BQ84" s="103"/>
      <c r="BR84" s="103"/>
      <c r="BS84" s="103"/>
      <c r="BT84" s="103"/>
      <c r="BU84" s="103"/>
      <c r="BV84" s="103"/>
      <c r="BW84" s="103"/>
      <c r="BX84" s="6"/>
      <c r="BY84" s="6"/>
      <c r="BZ84" s="103"/>
      <c r="CA84" s="103"/>
      <c r="CB84" s="103"/>
      <c r="CC84" s="103"/>
    </row>
    <row r="85" spans="1:81" x14ac:dyDescent="0.2">
      <c r="A85" s="5"/>
      <c r="B85" s="5"/>
      <c r="C85" s="5"/>
      <c r="D85" s="5"/>
      <c r="E85" s="5"/>
      <c r="F85" s="5"/>
      <c r="G85" s="5"/>
      <c r="H85" s="5"/>
      <c r="I85" s="5"/>
      <c r="J85" s="5"/>
      <c r="K85" s="5"/>
      <c r="L85" s="5"/>
      <c r="M85" s="103"/>
      <c r="N85" s="103"/>
      <c r="O85" s="103"/>
      <c r="P85" s="103"/>
      <c r="Q85" s="200"/>
      <c r="R85" s="5"/>
      <c r="S85" s="5"/>
      <c r="T85" s="5"/>
      <c r="U85" s="5"/>
      <c r="V85" s="5"/>
      <c r="W85" s="5"/>
      <c r="X85" s="5"/>
      <c r="Y85" s="5"/>
      <c r="Z85" s="150"/>
      <c r="AA85" s="103"/>
      <c r="AB85" s="103"/>
      <c r="AC85" s="103"/>
      <c r="AD85" s="103"/>
      <c r="AE85" s="103"/>
      <c r="AF85" s="103"/>
      <c r="AG85" s="103"/>
      <c r="AH85" s="103"/>
      <c r="AI85" s="103"/>
      <c r="AJ85" s="103"/>
      <c r="AK85" s="103"/>
      <c r="AL85" s="103"/>
      <c r="AM85" s="103"/>
      <c r="AN85" s="103"/>
      <c r="AO85" s="103"/>
      <c r="AP85" s="103"/>
      <c r="AQ85" s="103"/>
      <c r="AR85" s="103"/>
      <c r="AS85" s="103"/>
      <c r="AT85" s="103"/>
      <c r="AU85" s="103"/>
      <c r="AV85" s="103"/>
      <c r="AW85" s="103"/>
      <c r="AX85" s="103"/>
      <c r="AY85" s="103"/>
      <c r="AZ85" s="103"/>
      <c r="BA85" s="103"/>
      <c r="BB85" s="103"/>
      <c r="BC85" s="103"/>
      <c r="BD85" s="103"/>
      <c r="BE85" s="103"/>
      <c r="BF85" s="103"/>
      <c r="BG85" s="103"/>
      <c r="BH85" s="103"/>
      <c r="BI85" s="103"/>
      <c r="BJ85" s="103"/>
      <c r="BK85" s="103"/>
      <c r="BL85" s="103"/>
      <c r="BM85" s="103"/>
      <c r="BN85" s="103"/>
      <c r="BO85" s="103"/>
      <c r="BP85" s="103"/>
      <c r="BQ85" s="103"/>
      <c r="BR85" s="103"/>
      <c r="BS85" s="103"/>
      <c r="BT85" s="103"/>
      <c r="BU85" s="103"/>
      <c r="BV85" s="103"/>
      <c r="BW85" s="103"/>
      <c r="BX85" s="6"/>
      <c r="BY85" s="6"/>
      <c r="BZ85" s="103"/>
      <c r="CA85" s="103"/>
      <c r="CB85" s="103"/>
      <c r="CC85" s="103"/>
    </row>
    <row r="86" spans="1:81" x14ac:dyDescent="0.2">
      <c r="A86" s="5"/>
      <c r="B86" s="5"/>
      <c r="C86" s="5"/>
      <c r="D86" s="5"/>
      <c r="E86" s="5"/>
      <c r="F86" s="5"/>
      <c r="G86" s="5"/>
      <c r="H86" s="5"/>
      <c r="I86" s="5"/>
      <c r="J86" s="5"/>
      <c r="K86" s="5"/>
      <c r="L86" s="5"/>
      <c r="M86" s="103"/>
      <c r="N86" s="103"/>
      <c r="O86" s="103"/>
      <c r="P86" s="103"/>
      <c r="Q86" s="200"/>
      <c r="R86" s="5"/>
      <c r="S86" s="5"/>
      <c r="T86" s="5"/>
      <c r="U86" s="5"/>
      <c r="V86" s="5"/>
      <c r="W86" s="5"/>
      <c r="X86" s="5"/>
      <c r="Y86" s="5"/>
      <c r="Z86" s="150"/>
      <c r="AA86" s="103"/>
      <c r="AB86" s="103"/>
      <c r="AC86" s="103"/>
      <c r="AD86" s="10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103"/>
      <c r="BE86" s="103"/>
      <c r="BF86" s="103"/>
      <c r="BG86" s="103"/>
      <c r="BH86" s="103"/>
      <c r="BI86" s="103"/>
      <c r="BJ86" s="103"/>
      <c r="BK86" s="103"/>
      <c r="BL86" s="103"/>
      <c r="BM86" s="103"/>
      <c r="BN86" s="103"/>
      <c r="BO86" s="103"/>
      <c r="BP86" s="103"/>
      <c r="BQ86" s="103"/>
      <c r="BR86" s="103"/>
      <c r="BS86" s="103"/>
      <c r="BT86" s="103"/>
      <c r="BU86" s="103"/>
      <c r="BV86" s="103"/>
      <c r="BW86" s="103"/>
      <c r="BX86" s="6"/>
      <c r="BY86" s="6"/>
      <c r="BZ86" s="103"/>
      <c r="CA86" s="103"/>
      <c r="CB86" s="103"/>
      <c r="CC86" s="103"/>
    </row>
    <row r="87" spans="1:81" x14ac:dyDescent="0.2">
      <c r="A87" s="5"/>
      <c r="B87" s="5"/>
      <c r="C87" s="5"/>
      <c r="D87" s="5"/>
      <c r="E87" s="5"/>
      <c r="F87" s="5"/>
      <c r="G87" s="5"/>
      <c r="H87" s="5"/>
      <c r="I87" s="5"/>
      <c r="J87" s="5"/>
      <c r="K87" s="5"/>
      <c r="L87" s="5"/>
      <c r="M87" s="103"/>
      <c r="N87" s="103"/>
      <c r="O87" s="103"/>
      <c r="P87" s="103"/>
      <c r="Q87" s="200"/>
      <c r="R87" s="5"/>
      <c r="S87" s="5"/>
      <c r="T87" s="5"/>
      <c r="U87" s="5"/>
      <c r="V87" s="5"/>
      <c r="W87" s="5"/>
      <c r="X87" s="5"/>
      <c r="Y87" s="5"/>
      <c r="Z87" s="150"/>
      <c r="AA87" s="103"/>
      <c r="AB87" s="103"/>
      <c r="AC87" s="103"/>
      <c r="AD87" s="103"/>
      <c r="AE87" s="103"/>
      <c r="AF87" s="103"/>
      <c r="AG87" s="103"/>
      <c r="AH87" s="103"/>
      <c r="AI87" s="103"/>
      <c r="AJ87" s="103"/>
      <c r="AK87" s="103"/>
      <c r="AL87" s="103"/>
      <c r="AM87" s="103"/>
      <c r="AN87" s="103"/>
      <c r="AO87" s="103"/>
      <c r="AP87" s="103"/>
      <c r="AQ87" s="103"/>
      <c r="AR87" s="103"/>
      <c r="AS87" s="103"/>
      <c r="AT87" s="103"/>
      <c r="AU87" s="103"/>
      <c r="AV87" s="103"/>
      <c r="AW87" s="103"/>
      <c r="AX87" s="103"/>
      <c r="AY87" s="103"/>
      <c r="AZ87" s="103"/>
      <c r="BA87" s="103"/>
      <c r="BB87" s="103"/>
      <c r="BC87" s="103"/>
      <c r="BD87" s="103"/>
      <c r="BE87" s="103"/>
      <c r="BF87" s="103"/>
      <c r="BG87" s="103"/>
      <c r="BH87" s="103"/>
      <c r="BI87" s="103"/>
      <c r="BJ87" s="103"/>
      <c r="BK87" s="103"/>
      <c r="BL87" s="103"/>
      <c r="BM87" s="103"/>
      <c r="BN87" s="103"/>
      <c r="BO87" s="103"/>
      <c r="BP87" s="103"/>
      <c r="BQ87" s="103"/>
      <c r="BR87" s="103"/>
      <c r="BS87" s="103"/>
      <c r="BT87" s="103"/>
      <c r="BU87" s="103"/>
      <c r="BV87" s="103"/>
      <c r="BW87" s="103"/>
      <c r="BX87" s="6"/>
      <c r="BY87" s="6"/>
      <c r="BZ87" s="103"/>
      <c r="CA87" s="103"/>
      <c r="CB87" s="103"/>
      <c r="CC87" s="103"/>
    </row>
    <row r="88" spans="1:81" x14ac:dyDescent="0.2">
      <c r="A88" s="5"/>
      <c r="B88" s="5"/>
      <c r="C88" s="5"/>
      <c r="D88" s="5"/>
      <c r="E88" s="5"/>
      <c r="F88" s="5"/>
      <c r="G88" s="5"/>
      <c r="H88" s="5"/>
      <c r="I88" s="5"/>
      <c r="J88" s="5"/>
      <c r="K88" s="5"/>
      <c r="L88" s="5"/>
      <c r="M88" s="103"/>
      <c r="N88" s="103"/>
      <c r="O88" s="103"/>
      <c r="P88" s="103"/>
      <c r="Q88" s="200"/>
      <c r="R88" s="5"/>
      <c r="S88" s="5"/>
      <c r="T88" s="5"/>
      <c r="U88" s="5"/>
      <c r="V88" s="5"/>
      <c r="W88" s="5"/>
      <c r="X88" s="5"/>
      <c r="Y88" s="5"/>
      <c r="Z88" s="150"/>
      <c r="AA88" s="103"/>
      <c r="AB88" s="103"/>
      <c r="AC88" s="103"/>
      <c r="AD88" s="103"/>
      <c r="AE88" s="103"/>
      <c r="AF88" s="103"/>
      <c r="AG88" s="103"/>
      <c r="AH88" s="103"/>
      <c r="AI88" s="103"/>
      <c r="AJ88" s="103"/>
      <c r="AK88" s="103"/>
      <c r="AL88" s="103"/>
      <c r="AM88" s="103"/>
      <c r="AN88" s="103"/>
      <c r="AO88" s="103"/>
      <c r="AP88" s="103"/>
      <c r="AQ88" s="103"/>
      <c r="AR88" s="103"/>
      <c r="AS88" s="103"/>
      <c r="AT88" s="103"/>
      <c r="AU88" s="103"/>
      <c r="AV88" s="103"/>
      <c r="AW88" s="103"/>
      <c r="AX88" s="103"/>
      <c r="AY88" s="103"/>
      <c r="AZ88" s="103"/>
      <c r="BA88" s="103"/>
      <c r="BB88" s="103"/>
      <c r="BC88" s="103"/>
      <c r="BD88" s="103"/>
      <c r="BE88" s="103"/>
      <c r="BF88" s="103"/>
      <c r="BG88" s="103"/>
      <c r="BH88" s="103"/>
      <c r="BI88" s="103"/>
      <c r="BJ88" s="103"/>
      <c r="BK88" s="103"/>
      <c r="BL88" s="103"/>
      <c r="BM88" s="103"/>
      <c r="BN88" s="103"/>
      <c r="BO88" s="103"/>
      <c r="BP88" s="103"/>
      <c r="BQ88" s="103"/>
      <c r="BR88" s="103"/>
      <c r="BS88" s="103"/>
      <c r="BT88" s="103"/>
      <c r="BU88" s="103"/>
      <c r="BV88" s="103"/>
      <c r="BW88" s="103"/>
      <c r="BX88" s="6"/>
      <c r="BY88" s="6"/>
      <c r="BZ88" s="103"/>
      <c r="CA88" s="103"/>
      <c r="CB88" s="103"/>
      <c r="CC88" s="103"/>
    </row>
    <row r="89" spans="1:81" x14ac:dyDescent="0.2">
      <c r="A89" s="5"/>
      <c r="B89" s="5"/>
      <c r="C89" s="5"/>
      <c r="D89" s="5"/>
      <c r="E89" s="5"/>
      <c r="F89" s="5"/>
      <c r="G89" s="5"/>
      <c r="H89" s="5"/>
      <c r="I89" s="5"/>
      <c r="J89" s="5"/>
      <c r="K89" s="5"/>
      <c r="L89" s="5"/>
      <c r="M89" s="103"/>
      <c r="N89" s="103"/>
      <c r="O89" s="103"/>
      <c r="P89" s="103"/>
      <c r="Q89" s="200"/>
      <c r="R89" s="5"/>
      <c r="S89" s="5"/>
      <c r="T89" s="5"/>
      <c r="U89" s="5"/>
      <c r="V89" s="5"/>
      <c r="W89" s="5"/>
      <c r="X89" s="5"/>
      <c r="Y89" s="5"/>
      <c r="Z89" s="150"/>
      <c r="AA89" s="103"/>
      <c r="AB89" s="103"/>
      <c r="AC89" s="103"/>
      <c r="AD89" s="103"/>
      <c r="AE89" s="103"/>
      <c r="AF89" s="103"/>
      <c r="AG89" s="103"/>
      <c r="AH89" s="103"/>
      <c r="AI89" s="103"/>
      <c r="AJ89" s="103"/>
      <c r="AK89" s="103"/>
      <c r="AL89" s="103"/>
      <c r="AM89" s="103"/>
      <c r="AN89" s="103"/>
      <c r="AO89" s="103"/>
      <c r="AP89" s="103"/>
      <c r="AQ89" s="103"/>
      <c r="AR89" s="103"/>
      <c r="AS89" s="103"/>
      <c r="AT89" s="103"/>
      <c r="AU89" s="103"/>
      <c r="AV89" s="103"/>
      <c r="AW89" s="103"/>
      <c r="AX89" s="103"/>
      <c r="AY89" s="103"/>
      <c r="AZ89" s="103"/>
      <c r="BA89" s="103"/>
      <c r="BB89" s="103"/>
      <c r="BC89" s="103"/>
      <c r="BD89" s="103"/>
      <c r="BE89" s="103"/>
      <c r="BF89" s="103"/>
      <c r="BG89" s="103"/>
      <c r="BH89" s="103"/>
      <c r="BI89" s="103"/>
      <c r="BJ89" s="103"/>
      <c r="BK89" s="103"/>
      <c r="BL89" s="103"/>
      <c r="BM89" s="103"/>
      <c r="BN89" s="103"/>
      <c r="BO89" s="103"/>
      <c r="BP89" s="103"/>
      <c r="BQ89" s="103"/>
      <c r="BR89" s="103"/>
      <c r="BS89" s="103"/>
      <c r="BT89" s="103"/>
      <c r="BU89" s="103"/>
      <c r="BV89" s="103"/>
      <c r="BW89" s="103"/>
      <c r="BX89" s="6"/>
      <c r="BY89" s="6"/>
      <c r="BZ89" s="103"/>
      <c r="CA89" s="103"/>
      <c r="CB89" s="103"/>
      <c r="CC89" s="103"/>
    </row>
    <row r="90" spans="1:81" x14ac:dyDescent="0.2">
      <c r="A90" s="5"/>
      <c r="B90" s="5"/>
      <c r="C90" s="5"/>
      <c r="D90" s="5"/>
      <c r="E90" s="5"/>
      <c r="F90" s="5"/>
      <c r="G90" s="5"/>
      <c r="H90" s="5"/>
      <c r="I90" s="5"/>
      <c r="J90" s="5"/>
      <c r="K90" s="5"/>
      <c r="L90" s="5"/>
      <c r="M90" s="103"/>
      <c r="N90" s="103"/>
      <c r="O90" s="103"/>
      <c r="P90" s="103"/>
      <c r="Q90" s="200"/>
      <c r="R90" s="5"/>
      <c r="S90" s="5"/>
      <c r="T90" s="5"/>
      <c r="U90" s="5"/>
      <c r="V90" s="5"/>
      <c r="W90" s="5"/>
      <c r="X90" s="5"/>
      <c r="Y90" s="5"/>
      <c r="Z90" s="150"/>
      <c r="AA90" s="103"/>
      <c r="AB90" s="103"/>
      <c r="AC90" s="103"/>
      <c r="AD90" s="103"/>
      <c r="AE90" s="103"/>
      <c r="AF90" s="103"/>
      <c r="AG90" s="103"/>
      <c r="AH90" s="103"/>
      <c r="AI90" s="103"/>
      <c r="AJ90" s="103"/>
      <c r="AK90" s="103"/>
      <c r="AL90" s="103"/>
      <c r="AM90" s="103"/>
      <c r="AN90" s="103"/>
      <c r="AO90" s="103"/>
      <c r="AP90" s="103"/>
      <c r="AQ90" s="103"/>
      <c r="AR90" s="103"/>
      <c r="AS90" s="103"/>
      <c r="AT90" s="103"/>
      <c r="AU90" s="103"/>
      <c r="AV90" s="103"/>
      <c r="AW90" s="103"/>
      <c r="AX90" s="103"/>
      <c r="AY90" s="103"/>
      <c r="AZ90" s="103"/>
      <c r="BA90" s="103"/>
      <c r="BB90" s="103"/>
      <c r="BC90" s="103"/>
      <c r="BD90" s="103"/>
      <c r="BE90" s="103"/>
      <c r="BF90" s="103"/>
      <c r="BG90" s="103"/>
      <c r="BH90" s="103"/>
      <c r="BI90" s="103"/>
      <c r="BJ90" s="103"/>
      <c r="BK90" s="103"/>
      <c r="BL90" s="103"/>
      <c r="BM90" s="103"/>
      <c r="BN90" s="103"/>
      <c r="BO90" s="103"/>
      <c r="BP90" s="103"/>
      <c r="BQ90" s="103"/>
      <c r="BR90" s="103"/>
      <c r="BS90" s="103"/>
      <c r="BT90" s="103"/>
      <c r="BU90" s="103"/>
      <c r="BV90" s="103"/>
      <c r="BW90" s="103"/>
      <c r="BX90" s="6"/>
      <c r="BY90" s="6"/>
      <c r="BZ90" s="103"/>
      <c r="CA90" s="103"/>
      <c r="CB90" s="103"/>
      <c r="CC90" s="103"/>
    </row>
    <row r="91" spans="1:81" x14ac:dyDescent="0.2">
      <c r="A91" s="5"/>
      <c r="B91" s="5"/>
      <c r="C91" s="5"/>
      <c r="D91" s="5"/>
      <c r="E91" s="5"/>
      <c r="F91" s="5"/>
      <c r="G91" s="5"/>
      <c r="H91" s="5"/>
      <c r="I91" s="5"/>
      <c r="J91" s="5"/>
      <c r="K91" s="5"/>
      <c r="L91" s="5"/>
      <c r="M91" s="103"/>
      <c r="N91" s="103"/>
      <c r="O91" s="103"/>
      <c r="P91" s="103"/>
      <c r="Q91" s="200"/>
      <c r="R91" s="5"/>
      <c r="S91" s="5"/>
      <c r="T91" s="5"/>
      <c r="U91" s="5"/>
      <c r="V91" s="5"/>
      <c r="W91" s="5"/>
      <c r="X91" s="5"/>
      <c r="Y91" s="5"/>
      <c r="Z91" s="150"/>
      <c r="AA91" s="103"/>
      <c r="AB91" s="103"/>
      <c r="AC91" s="103"/>
      <c r="AD91" s="103"/>
      <c r="AE91" s="103"/>
      <c r="AF91" s="103"/>
      <c r="AG91" s="103"/>
      <c r="AH91" s="103"/>
      <c r="AI91" s="103"/>
      <c r="AJ91" s="103"/>
      <c r="AK91" s="103"/>
      <c r="AL91" s="103"/>
      <c r="AM91" s="103"/>
      <c r="AN91" s="103"/>
      <c r="AO91" s="103"/>
      <c r="AP91" s="103"/>
      <c r="AQ91" s="103"/>
      <c r="AR91" s="103"/>
      <c r="AS91" s="103"/>
      <c r="AT91" s="103"/>
      <c r="AU91" s="103"/>
      <c r="AV91" s="103"/>
      <c r="AW91" s="103"/>
      <c r="AX91" s="103"/>
      <c r="AY91" s="103"/>
      <c r="AZ91" s="103"/>
      <c r="BA91" s="103"/>
      <c r="BB91" s="103"/>
      <c r="BC91" s="103"/>
      <c r="BD91" s="103"/>
      <c r="BE91" s="103"/>
      <c r="BF91" s="103"/>
      <c r="BG91" s="103"/>
      <c r="BH91" s="103"/>
      <c r="BI91" s="103"/>
      <c r="BJ91" s="103"/>
      <c r="BK91" s="103"/>
      <c r="BL91" s="103"/>
      <c r="BM91" s="103"/>
      <c r="BN91" s="103"/>
      <c r="BO91" s="103"/>
      <c r="BP91" s="103"/>
      <c r="BQ91" s="103"/>
      <c r="BR91" s="103"/>
      <c r="BS91" s="103"/>
      <c r="BT91" s="103"/>
      <c r="BU91" s="103"/>
      <c r="BV91" s="103"/>
      <c r="BW91" s="103"/>
      <c r="BX91" s="6"/>
      <c r="BY91" s="6"/>
      <c r="BZ91" s="103"/>
      <c r="CA91" s="103"/>
      <c r="CB91" s="103"/>
      <c r="CC91" s="103"/>
    </row>
    <row r="92" spans="1:81" x14ac:dyDescent="0.2">
      <c r="A92" s="5"/>
      <c r="B92" s="5"/>
      <c r="C92" s="5"/>
      <c r="D92" s="5"/>
      <c r="E92" s="5"/>
      <c r="F92" s="5"/>
      <c r="G92" s="5"/>
      <c r="H92" s="5"/>
      <c r="I92" s="5"/>
      <c r="J92" s="5"/>
      <c r="K92" s="5"/>
      <c r="L92" s="5"/>
      <c r="M92" s="103"/>
      <c r="N92" s="103"/>
      <c r="O92" s="103"/>
      <c r="P92" s="103"/>
      <c r="Q92" s="200"/>
      <c r="R92" s="5"/>
      <c r="S92" s="5"/>
      <c r="T92" s="5"/>
      <c r="U92" s="5"/>
      <c r="V92" s="5"/>
      <c r="W92" s="5"/>
      <c r="X92" s="5"/>
      <c r="Y92" s="5"/>
      <c r="Z92" s="150"/>
      <c r="AA92" s="103"/>
      <c r="AB92" s="103"/>
      <c r="AC92" s="103"/>
      <c r="AD92" s="103"/>
      <c r="AE92" s="103"/>
      <c r="AF92" s="103"/>
      <c r="AG92" s="103"/>
      <c r="AH92" s="103"/>
      <c r="AI92" s="103"/>
      <c r="AJ92" s="103"/>
      <c r="AK92" s="103"/>
      <c r="AL92" s="103"/>
      <c r="AM92" s="103"/>
      <c r="AN92" s="103"/>
      <c r="AO92" s="103"/>
      <c r="AP92" s="103"/>
      <c r="AQ92" s="103"/>
      <c r="AR92" s="103"/>
      <c r="AS92" s="103"/>
      <c r="AT92" s="103"/>
      <c r="AU92" s="103"/>
      <c r="AV92" s="103"/>
      <c r="AW92" s="103"/>
      <c r="AX92" s="103"/>
      <c r="AY92" s="103"/>
      <c r="AZ92" s="103"/>
      <c r="BA92" s="103"/>
      <c r="BB92" s="103"/>
      <c r="BC92" s="103"/>
      <c r="BD92" s="103"/>
      <c r="BE92" s="103"/>
      <c r="BF92" s="103"/>
      <c r="BG92" s="103"/>
      <c r="BH92" s="103"/>
      <c r="BI92" s="103"/>
      <c r="BJ92" s="103"/>
      <c r="BK92" s="103"/>
      <c r="BL92" s="103"/>
      <c r="BM92" s="103"/>
      <c r="BN92" s="103"/>
      <c r="BO92" s="103"/>
      <c r="BP92" s="103"/>
      <c r="BQ92" s="103"/>
      <c r="BR92" s="103"/>
      <c r="BS92" s="103"/>
      <c r="BT92" s="103"/>
      <c r="BU92" s="103"/>
      <c r="BV92" s="103"/>
      <c r="BW92" s="103"/>
      <c r="BX92" s="6"/>
      <c r="BY92" s="6"/>
      <c r="BZ92" s="103"/>
      <c r="CA92" s="103"/>
      <c r="CB92" s="103"/>
      <c r="CC92" s="103"/>
    </row>
    <row r="93" spans="1:81" x14ac:dyDescent="0.2">
      <c r="A93" s="5"/>
      <c r="B93" s="5"/>
      <c r="C93" s="5"/>
      <c r="D93" s="5"/>
      <c r="E93" s="5"/>
      <c r="F93" s="5"/>
      <c r="G93" s="5"/>
      <c r="H93" s="5"/>
      <c r="I93" s="5"/>
      <c r="J93" s="5"/>
      <c r="K93" s="5"/>
      <c r="L93" s="5"/>
      <c r="M93" s="103"/>
      <c r="N93" s="103"/>
      <c r="O93" s="103"/>
      <c r="P93" s="103"/>
      <c r="Q93" s="200"/>
      <c r="R93" s="5"/>
      <c r="S93" s="5"/>
      <c r="T93" s="5"/>
      <c r="U93" s="5"/>
      <c r="V93" s="5"/>
      <c r="W93" s="5"/>
      <c r="X93" s="5"/>
      <c r="Y93" s="5"/>
      <c r="Z93" s="150"/>
      <c r="AA93" s="103"/>
      <c r="AB93" s="103"/>
      <c r="AC93" s="103"/>
      <c r="AD93" s="103"/>
      <c r="AE93" s="103"/>
      <c r="AF93" s="103"/>
      <c r="AG93" s="103"/>
      <c r="AH93" s="103"/>
      <c r="AI93" s="103"/>
      <c r="AJ93" s="103"/>
      <c r="AK93" s="103"/>
      <c r="AL93" s="103"/>
      <c r="AM93" s="103"/>
      <c r="AN93" s="103"/>
      <c r="AO93" s="103"/>
      <c r="AP93" s="103"/>
      <c r="AQ93" s="103"/>
      <c r="AR93" s="103"/>
      <c r="AS93" s="103"/>
      <c r="AT93" s="103"/>
      <c r="AU93" s="103"/>
      <c r="AV93" s="103"/>
      <c r="AW93" s="103"/>
      <c r="AX93" s="103"/>
      <c r="AY93" s="103"/>
      <c r="AZ93" s="103"/>
      <c r="BA93" s="103"/>
      <c r="BB93" s="103"/>
      <c r="BC93" s="103"/>
      <c r="BD93" s="103"/>
      <c r="BE93" s="103"/>
      <c r="BF93" s="103"/>
      <c r="BG93" s="103"/>
      <c r="BH93" s="103"/>
      <c r="BI93" s="103"/>
      <c r="BJ93" s="103"/>
      <c r="BK93" s="103"/>
      <c r="BL93" s="103"/>
      <c r="BM93" s="103"/>
      <c r="BN93" s="103"/>
      <c r="BO93" s="103"/>
      <c r="BP93" s="103"/>
      <c r="BQ93" s="103"/>
      <c r="BR93" s="103"/>
      <c r="BS93" s="103"/>
      <c r="BT93" s="103"/>
      <c r="BU93" s="103"/>
      <c r="BV93" s="103"/>
      <c r="BW93" s="103"/>
      <c r="BX93" s="6"/>
      <c r="BY93" s="6"/>
      <c r="BZ93" s="103"/>
      <c r="CA93" s="103"/>
      <c r="CB93" s="103"/>
      <c r="CC93" s="103"/>
    </row>
    <row r="94" spans="1:81" x14ac:dyDescent="0.2">
      <c r="A94" s="5"/>
      <c r="B94" s="5"/>
      <c r="C94" s="5"/>
      <c r="D94" s="5"/>
      <c r="E94" s="5"/>
      <c r="F94" s="5"/>
      <c r="G94" s="5"/>
      <c r="H94" s="5"/>
      <c r="I94" s="5"/>
      <c r="J94" s="5"/>
      <c r="K94" s="5"/>
      <c r="L94" s="5"/>
      <c r="M94" s="103"/>
      <c r="N94" s="103"/>
      <c r="O94" s="103"/>
      <c r="P94" s="103"/>
      <c r="Q94" s="200"/>
      <c r="R94" s="5"/>
      <c r="S94" s="5"/>
      <c r="T94" s="5"/>
      <c r="U94" s="5"/>
      <c r="V94" s="5"/>
      <c r="W94" s="5"/>
      <c r="X94" s="5"/>
      <c r="Y94" s="5"/>
      <c r="Z94" s="150"/>
      <c r="AA94" s="103"/>
      <c r="AB94" s="103"/>
      <c r="AC94" s="103"/>
      <c r="AD94" s="103"/>
      <c r="AE94" s="103"/>
      <c r="AF94" s="103"/>
      <c r="AG94" s="103"/>
      <c r="AH94" s="103"/>
      <c r="AI94" s="103"/>
      <c r="AJ94" s="103"/>
      <c r="AK94" s="103"/>
      <c r="AL94" s="103"/>
      <c r="AM94" s="103"/>
      <c r="AN94" s="103"/>
      <c r="AO94" s="103"/>
      <c r="AP94" s="103"/>
      <c r="AQ94" s="103"/>
      <c r="AR94" s="103"/>
      <c r="AS94" s="103"/>
      <c r="AT94" s="103"/>
      <c r="AU94" s="103"/>
      <c r="AV94" s="103"/>
      <c r="AW94" s="103"/>
      <c r="AX94" s="103"/>
      <c r="AY94" s="103"/>
      <c r="AZ94" s="103"/>
      <c r="BA94" s="103"/>
      <c r="BB94" s="103"/>
      <c r="BC94" s="103"/>
      <c r="BD94" s="103"/>
      <c r="BE94" s="103"/>
      <c r="BF94" s="103"/>
      <c r="BG94" s="103"/>
      <c r="BH94" s="103"/>
      <c r="BI94" s="103"/>
      <c r="BJ94" s="103"/>
      <c r="BK94" s="103"/>
      <c r="BL94" s="103"/>
      <c r="BM94" s="103"/>
      <c r="BN94" s="103"/>
      <c r="BO94" s="103"/>
      <c r="BP94" s="103"/>
      <c r="BQ94" s="103"/>
      <c r="BR94" s="103"/>
      <c r="BS94" s="103"/>
      <c r="BT94" s="103"/>
      <c r="BU94" s="103"/>
      <c r="BV94" s="103"/>
      <c r="BW94" s="103"/>
      <c r="BX94" s="6"/>
      <c r="BY94" s="6"/>
      <c r="BZ94" s="103"/>
      <c r="CA94" s="103"/>
      <c r="CB94" s="103"/>
      <c r="CC94" s="103"/>
    </row>
    <row r="95" spans="1:81" x14ac:dyDescent="0.2">
      <c r="A95" s="5"/>
      <c r="B95" s="5"/>
      <c r="C95" s="5"/>
      <c r="D95" s="5"/>
      <c r="E95" s="5"/>
      <c r="F95" s="5"/>
      <c r="G95" s="5"/>
      <c r="H95" s="5"/>
      <c r="I95" s="5"/>
      <c r="J95" s="5"/>
      <c r="K95" s="5"/>
      <c r="L95" s="5"/>
      <c r="M95" s="103"/>
      <c r="N95" s="103"/>
      <c r="O95" s="103"/>
      <c r="P95" s="103"/>
      <c r="Q95" s="200"/>
      <c r="R95" s="5"/>
      <c r="S95" s="5"/>
      <c r="T95" s="5"/>
      <c r="U95" s="5"/>
      <c r="V95" s="5"/>
      <c r="W95" s="5"/>
      <c r="X95" s="5"/>
      <c r="Y95" s="5"/>
      <c r="Z95" s="150"/>
      <c r="AA95" s="103"/>
      <c r="AB95" s="103"/>
      <c r="AC95" s="103"/>
      <c r="AD95" s="103"/>
      <c r="AE95" s="103"/>
      <c r="AF95" s="103"/>
      <c r="AG95" s="103"/>
      <c r="AH95" s="103"/>
      <c r="AI95" s="103"/>
      <c r="AJ95" s="103"/>
      <c r="AK95" s="103"/>
      <c r="AL95" s="103"/>
      <c r="AM95" s="103"/>
      <c r="AN95" s="103"/>
      <c r="AO95" s="103"/>
      <c r="AP95" s="103"/>
      <c r="AQ95" s="103"/>
      <c r="AR95" s="103"/>
      <c r="AS95" s="103"/>
      <c r="AT95" s="103"/>
      <c r="AU95" s="103"/>
      <c r="AV95" s="103"/>
      <c r="AW95" s="103"/>
      <c r="AX95" s="103"/>
      <c r="AY95" s="103"/>
      <c r="AZ95" s="103"/>
      <c r="BA95" s="103"/>
      <c r="BB95" s="103"/>
      <c r="BC95" s="103"/>
      <c r="BD95" s="103"/>
      <c r="BE95" s="103"/>
      <c r="BF95" s="103"/>
      <c r="BG95" s="103"/>
      <c r="BH95" s="103"/>
      <c r="BI95" s="103"/>
      <c r="BJ95" s="103"/>
      <c r="BK95" s="103"/>
      <c r="BL95" s="103"/>
      <c r="BM95" s="103"/>
      <c r="BN95" s="103"/>
      <c r="BO95" s="103"/>
      <c r="BP95" s="103"/>
      <c r="BQ95" s="103"/>
      <c r="BR95" s="103"/>
      <c r="BS95" s="103"/>
      <c r="BT95" s="103"/>
      <c r="BU95" s="103"/>
      <c r="BV95" s="103"/>
      <c r="BW95" s="103"/>
      <c r="BX95" s="6"/>
      <c r="BY95" s="6"/>
      <c r="BZ95" s="103"/>
      <c r="CA95" s="103"/>
      <c r="CB95" s="103"/>
      <c r="CC95" s="103"/>
    </row>
    <row r="96" spans="1:81" x14ac:dyDescent="0.2">
      <c r="A96" s="5"/>
      <c r="B96" s="5"/>
      <c r="C96" s="5"/>
      <c r="D96" s="5"/>
      <c r="E96" s="5"/>
      <c r="F96" s="5"/>
      <c r="G96" s="5"/>
      <c r="H96" s="5"/>
      <c r="I96" s="5"/>
      <c r="J96" s="5"/>
      <c r="K96" s="5"/>
      <c r="L96" s="5"/>
      <c r="M96" s="103"/>
      <c r="N96" s="103"/>
      <c r="O96" s="103"/>
      <c r="P96" s="103"/>
      <c r="Q96" s="200"/>
      <c r="R96" s="5"/>
      <c r="S96" s="5"/>
      <c r="T96" s="5"/>
      <c r="U96" s="5"/>
      <c r="V96" s="5"/>
      <c r="W96" s="5"/>
      <c r="X96" s="5"/>
      <c r="Y96" s="5"/>
      <c r="Z96" s="150"/>
      <c r="AA96" s="103"/>
      <c r="AB96" s="103"/>
      <c r="AC96" s="103"/>
      <c r="AD96" s="103"/>
      <c r="AE96" s="103"/>
      <c r="AF96" s="103"/>
      <c r="AG96" s="103"/>
      <c r="AH96" s="103"/>
      <c r="AI96" s="103"/>
      <c r="AJ96" s="103"/>
      <c r="AK96" s="103"/>
      <c r="AL96" s="103"/>
      <c r="AM96" s="103"/>
      <c r="AN96" s="103"/>
      <c r="AO96" s="103"/>
      <c r="AP96" s="103"/>
      <c r="AQ96" s="103"/>
      <c r="AR96" s="103"/>
      <c r="AS96" s="103"/>
      <c r="AT96" s="103"/>
      <c r="AU96" s="103"/>
      <c r="AV96" s="103"/>
      <c r="AW96" s="103"/>
      <c r="AX96" s="103"/>
      <c r="AY96" s="103"/>
      <c r="AZ96" s="103"/>
      <c r="BA96" s="103"/>
      <c r="BB96" s="103"/>
      <c r="BC96" s="103"/>
      <c r="BD96" s="103"/>
      <c r="BE96" s="103"/>
      <c r="BF96" s="103"/>
      <c r="BG96" s="103"/>
      <c r="BH96" s="103"/>
      <c r="BI96" s="103"/>
      <c r="BJ96" s="103"/>
      <c r="BK96" s="103"/>
      <c r="BL96" s="103"/>
      <c r="BM96" s="103"/>
      <c r="BN96" s="103"/>
      <c r="BO96" s="103"/>
      <c r="BP96" s="103"/>
      <c r="BQ96" s="103"/>
      <c r="BR96" s="103"/>
      <c r="BS96" s="103"/>
      <c r="BT96" s="103"/>
      <c r="BU96" s="103"/>
      <c r="BV96" s="103"/>
      <c r="BW96" s="103"/>
      <c r="BX96" s="103"/>
      <c r="BY96" s="6"/>
      <c r="BZ96" s="6"/>
      <c r="CA96" s="6"/>
      <c r="CB96" s="6"/>
      <c r="CC96" s="6"/>
    </row>
    <row r="97" spans="1:81" x14ac:dyDescent="0.2">
      <c r="A97" s="5"/>
      <c r="B97" s="5"/>
      <c r="C97" s="5"/>
      <c r="D97" s="5"/>
      <c r="E97" s="5"/>
      <c r="F97" s="5"/>
      <c r="G97" s="5"/>
      <c r="H97" s="5"/>
      <c r="I97" s="5"/>
      <c r="J97" s="5"/>
      <c r="K97" s="5"/>
      <c r="L97" s="5"/>
      <c r="M97" s="103"/>
      <c r="N97" s="103"/>
      <c r="O97" s="103"/>
      <c r="P97" s="103"/>
      <c r="Q97" s="200"/>
      <c r="R97" s="5"/>
      <c r="S97" s="5"/>
      <c r="T97" s="5"/>
      <c r="U97" s="5"/>
      <c r="V97" s="5"/>
      <c r="W97" s="5"/>
      <c r="X97" s="5"/>
      <c r="Y97" s="5"/>
      <c r="Z97" s="150"/>
      <c r="AA97" s="103"/>
      <c r="AB97" s="103"/>
      <c r="AC97" s="103"/>
      <c r="AD97" s="103"/>
      <c r="AE97" s="103"/>
      <c r="AF97" s="103"/>
      <c r="AG97" s="103"/>
      <c r="AH97" s="103"/>
      <c r="AI97" s="103"/>
      <c r="AJ97" s="103"/>
      <c r="AK97" s="103"/>
      <c r="AL97" s="103"/>
      <c r="AM97" s="103"/>
      <c r="AN97" s="103"/>
      <c r="AO97" s="103"/>
      <c r="AP97" s="103"/>
      <c r="AQ97" s="103"/>
      <c r="AR97" s="103"/>
      <c r="AS97" s="103"/>
      <c r="AT97" s="103"/>
      <c r="AU97" s="103"/>
      <c r="AV97" s="103"/>
      <c r="AW97" s="103"/>
      <c r="AX97" s="103"/>
      <c r="AY97" s="103"/>
      <c r="AZ97" s="103"/>
      <c r="BA97" s="103"/>
      <c r="BB97" s="103"/>
      <c r="BC97" s="103"/>
      <c r="BD97" s="103"/>
      <c r="BE97" s="103"/>
      <c r="BF97" s="103"/>
      <c r="BG97" s="103"/>
      <c r="BH97" s="103"/>
      <c r="BI97" s="103"/>
      <c r="BJ97" s="103"/>
      <c r="BK97" s="103"/>
      <c r="BL97" s="103"/>
      <c r="BM97" s="103"/>
      <c r="BN97" s="103"/>
      <c r="BO97" s="103"/>
      <c r="BP97" s="103"/>
      <c r="BQ97" s="103"/>
      <c r="BR97" s="103"/>
      <c r="BS97" s="103"/>
      <c r="BT97" s="103"/>
      <c r="BU97" s="103"/>
      <c r="BV97" s="103"/>
      <c r="BW97" s="103"/>
      <c r="BX97" s="103"/>
      <c r="BY97" s="6"/>
      <c r="BZ97" s="6"/>
      <c r="CA97" s="6"/>
      <c r="CB97" s="6"/>
      <c r="CC97" s="6"/>
    </row>
    <row r="98" spans="1:81" x14ac:dyDescent="0.2">
      <c r="A98" s="5"/>
      <c r="B98" s="5"/>
      <c r="C98" s="5"/>
      <c r="D98" s="5"/>
      <c r="E98" s="5"/>
      <c r="F98" s="5"/>
      <c r="G98" s="5"/>
      <c r="H98" s="5"/>
      <c r="I98" s="5"/>
      <c r="J98" s="5"/>
      <c r="K98" s="5"/>
      <c r="L98" s="5"/>
      <c r="M98" s="103"/>
      <c r="N98" s="103"/>
      <c r="O98" s="103"/>
      <c r="P98" s="103"/>
      <c r="Q98" s="200"/>
      <c r="R98" s="5"/>
      <c r="S98" s="5"/>
      <c r="T98" s="5"/>
      <c r="U98" s="5"/>
      <c r="V98" s="5"/>
      <c r="W98" s="5"/>
      <c r="X98" s="5"/>
      <c r="Y98" s="5"/>
      <c r="Z98" s="150"/>
      <c r="AA98" s="103"/>
      <c r="AB98" s="103"/>
      <c r="AC98" s="103"/>
      <c r="AD98" s="103"/>
      <c r="AE98" s="103"/>
      <c r="AF98" s="103"/>
      <c r="AG98" s="103"/>
      <c r="AH98" s="103"/>
      <c r="AI98" s="103"/>
      <c r="AJ98" s="103"/>
      <c r="AK98" s="103"/>
      <c r="AL98" s="103"/>
      <c r="AM98" s="103"/>
      <c r="AN98" s="103"/>
      <c r="AO98" s="103"/>
      <c r="AP98" s="103"/>
      <c r="AQ98" s="103"/>
      <c r="AR98" s="103"/>
      <c r="AS98" s="103"/>
      <c r="AT98" s="103"/>
      <c r="AU98" s="103"/>
      <c r="AV98" s="103"/>
      <c r="AW98" s="103"/>
      <c r="AX98" s="103"/>
      <c r="AY98" s="103"/>
      <c r="AZ98" s="103"/>
      <c r="BA98" s="103"/>
      <c r="BB98" s="103"/>
      <c r="BC98" s="103"/>
      <c r="BD98" s="103"/>
      <c r="BE98" s="103"/>
      <c r="BF98" s="103"/>
      <c r="BG98" s="103"/>
      <c r="BH98" s="103"/>
      <c r="BI98" s="103"/>
      <c r="BJ98" s="103"/>
      <c r="BK98" s="103"/>
      <c r="BL98" s="103"/>
      <c r="BM98" s="103"/>
      <c r="BN98" s="103"/>
      <c r="BO98" s="103"/>
      <c r="BP98" s="103"/>
      <c r="BQ98" s="103"/>
      <c r="BR98" s="103"/>
      <c r="BS98" s="103"/>
      <c r="BT98" s="103"/>
      <c r="BU98" s="103"/>
      <c r="BV98" s="103"/>
      <c r="BW98" s="103"/>
      <c r="BX98" s="103"/>
      <c r="BY98" s="6"/>
      <c r="BZ98" s="6"/>
      <c r="CA98" s="6"/>
      <c r="CB98" s="6"/>
      <c r="CC98" s="6"/>
    </row>
    <row r="99" spans="1:81" x14ac:dyDescent="0.2">
      <c r="A99" s="5"/>
      <c r="B99" s="5"/>
      <c r="C99" s="5"/>
      <c r="D99" s="5"/>
      <c r="E99" s="5"/>
      <c r="F99" s="5"/>
      <c r="G99" s="5"/>
      <c r="H99" s="5"/>
      <c r="I99" s="5"/>
      <c r="J99" s="5"/>
      <c r="K99" s="5"/>
      <c r="L99" s="5"/>
      <c r="M99" s="103"/>
      <c r="N99" s="103"/>
      <c r="O99" s="103"/>
      <c r="P99" s="103"/>
      <c r="Q99" s="200"/>
      <c r="R99" s="5"/>
      <c r="S99" s="5"/>
      <c r="T99" s="5"/>
      <c r="U99" s="5"/>
      <c r="V99" s="5"/>
      <c r="W99" s="5"/>
      <c r="X99" s="5"/>
      <c r="Y99" s="5"/>
      <c r="Z99" s="150"/>
      <c r="AA99" s="103"/>
      <c r="AB99" s="103"/>
      <c r="AC99" s="103"/>
      <c r="AD99" s="103"/>
      <c r="AE99" s="103"/>
      <c r="AF99" s="103"/>
      <c r="AG99" s="103"/>
      <c r="AH99" s="103"/>
      <c r="AI99" s="103"/>
      <c r="AJ99" s="103"/>
      <c r="AK99" s="103"/>
      <c r="AL99" s="103"/>
      <c r="AM99" s="103"/>
      <c r="AN99" s="103"/>
      <c r="AO99" s="103"/>
      <c r="AP99" s="103"/>
      <c r="AQ99" s="103"/>
      <c r="AR99" s="103"/>
      <c r="AS99" s="103"/>
      <c r="AT99" s="103"/>
      <c r="AU99" s="103"/>
      <c r="AV99" s="103"/>
      <c r="AW99" s="103"/>
      <c r="AX99" s="103"/>
      <c r="AY99" s="103"/>
      <c r="AZ99" s="103"/>
      <c r="BA99" s="103"/>
      <c r="BB99" s="103"/>
      <c r="BC99" s="103"/>
      <c r="BD99" s="103"/>
      <c r="BE99" s="103"/>
      <c r="BF99" s="103"/>
      <c r="BG99" s="103"/>
      <c r="BH99" s="103"/>
      <c r="BI99" s="103"/>
      <c r="BJ99" s="103"/>
      <c r="BK99" s="103"/>
      <c r="BL99" s="103"/>
      <c r="BM99" s="103"/>
      <c r="BN99" s="103"/>
      <c r="BO99" s="103"/>
      <c r="BP99" s="103"/>
      <c r="BQ99" s="103"/>
      <c r="BR99" s="103"/>
      <c r="BS99" s="103"/>
      <c r="BT99" s="103"/>
      <c r="BU99" s="103"/>
      <c r="BV99" s="103"/>
      <c r="BW99" s="103"/>
      <c r="BX99" s="103"/>
      <c r="BY99" s="6"/>
      <c r="BZ99" s="6"/>
      <c r="CA99" s="6"/>
      <c r="CB99" s="6"/>
      <c r="CC99" s="6"/>
    </row>
    <row r="100" spans="1:81" x14ac:dyDescent="0.2">
      <c r="A100" s="5"/>
      <c r="B100" s="5"/>
      <c r="C100" s="5"/>
      <c r="D100" s="5"/>
      <c r="E100" s="5"/>
      <c r="F100" s="5"/>
      <c r="G100" s="5"/>
      <c r="H100" s="5"/>
      <c r="I100" s="5"/>
      <c r="J100" s="5"/>
      <c r="K100" s="5"/>
      <c r="L100" s="5"/>
      <c r="M100" s="103"/>
      <c r="N100" s="103"/>
      <c r="O100" s="103"/>
      <c r="P100" s="103"/>
      <c r="Q100" s="200"/>
      <c r="R100" s="5"/>
      <c r="S100" s="5"/>
      <c r="T100" s="5"/>
      <c r="U100" s="5"/>
      <c r="V100" s="5"/>
      <c r="W100" s="5"/>
      <c r="X100" s="5"/>
      <c r="Y100" s="5"/>
      <c r="Z100" s="150"/>
      <c r="AA100" s="103"/>
      <c r="AB100" s="103"/>
      <c r="AC100" s="103"/>
      <c r="AD100" s="103"/>
      <c r="AE100" s="103"/>
      <c r="AF100" s="103"/>
      <c r="AG100" s="103"/>
      <c r="AH100" s="103"/>
      <c r="AI100" s="103"/>
      <c r="AJ100" s="103"/>
      <c r="AK100" s="103"/>
      <c r="AL100" s="103"/>
      <c r="AM100" s="103"/>
      <c r="AN100" s="103"/>
      <c r="AO100" s="103"/>
      <c r="AP100" s="103"/>
      <c r="AQ100" s="103"/>
      <c r="AR100" s="103"/>
      <c r="AS100" s="103"/>
      <c r="AT100" s="103"/>
      <c r="AU100" s="103"/>
      <c r="AV100" s="103"/>
      <c r="AW100" s="103"/>
      <c r="AX100" s="103"/>
      <c r="AY100" s="103"/>
      <c r="AZ100" s="103"/>
      <c r="BA100" s="103"/>
      <c r="BB100" s="103"/>
      <c r="BC100" s="103"/>
      <c r="BD100" s="103"/>
      <c r="BE100" s="103"/>
      <c r="BF100" s="103"/>
      <c r="BG100" s="103"/>
      <c r="BH100" s="103"/>
      <c r="BI100" s="103"/>
      <c r="BJ100" s="103"/>
      <c r="BK100" s="103"/>
      <c r="BL100" s="103"/>
      <c r="BM100" s="103"/>
      <c r="BN100" s="103"/>
      <c r="BO100" s="103"/>
      <c r="BP100" s="103"/>
      <c r="BQ100" s="103"/>
      <c r="BR100" s="103"/>
      <c r="BS100" s="103"/>
      <c r="BT100" s="103"/>
      <c r="BU100" s="103"/>
      <c r="BV100" s="103"/>
      <c r="BW100" s="103"/>
      <c r="BX100" s="103"/>
      <c r="BY100" s="6"/>
      <c r="BZ100" s="6"/>
      <c r="CA100" s="6"/>
      <c r="CB100" s="6"/>
      <c r="CC100" s="6"/>
    </row>
    <row r="101" spans="1:81" x14ac:dyDescent="0.2">
      <c r="A101" s="5"/>
      <c r="B101" s="5"/>
      <c r="C101" s="5"/>
      <c r="D101" s="5"/>
      <c r="E101" s="5"/>
      <c r="F101" s="5"/>
      <c r="G101" s="5"/>
      <c r="H101" s="5"/>
      <c r="I101" s="5"/>
      <c r="J101" s="5"/>
      <c r="K101" s="5"/>
      <c r="L101" s="5"/>
      <c r="M101" s="103"/>
      <c r="N101" s="103"/>
      <c r="O101" s="103"/>
      <c r="P101" s="103"/>
      <c r="Q101" s="200"/>
      <c r="R101" s="5"/>
      <c r="S101" s="5"/>
      <c r="T101" s="5"/>
      <c r="U101" s="5"/>
      <c r="V101" s="5"/>
      <c r="W101" s="5"/>
      <c r="X101" s="5"/>
      <c r="Y101" s="5"/>
      <c r="Z101" s="150"/>
      <c r="AA101" s="103"/>
      <c r="AB101" s="103"/>
      <c r="AC101" s="103"/>
      <c r="AD101" s="103"/>
      <c r="AE101" s="103"/>
      <c r="AF101" s="103"/>
      <c r="AG101" s="103"/>
      <c r="AH101" s="103"/>
      <c r="AI101" s="103"/>
      <c r="AJ101" s="103"/>
      <c r="AK101" s="103"/>
      <c r="AL101" s="103"/>
      <c r="AM101" s="103"/>
      <c r="AN101" s="103"/>
      <c r="AO101" s="103"/>
      <c r="AP101" s="103"/>
      <c r="AQ101" s="103"/>
      <c r="AR101" s="103"/>
      <c r="AS101" s="103"/>
      <c r="AT101" s="103"/>
      <c r="AU101" s="103"/>
      <c r="AV101" s="103"/>
      <c r="AW101" s="103"/>
      <c r="AX101" s="103"/>
      <c r="AY101" s="103"/>
      <c r="AZ101" s="103"/>
      <c r="BA101" s="103"/>
      <c r="BB101" s="103"/>
      <c r="BC101" s="103"/>
      <c r="BD101" s="103"/>
      <c r="BE101" s="103"/>
      <c r="BF101" s="103"/>
      <c r="BG101" s="103"/>
      <c r="BH101" s="103"/>
      <c r="BI101" s="103"/>
      <c r="BJ101" s="103"/>
      <c r="BK101" s="103"/>
      <c r="BL101" s="103"/>
      <c r="BM101" s="103"/>
      <c r="BN101" s="103"/>
      <c r="BO101" s="103"/>
      <c r="BP101" s="103"/>
      <c r="BQ101" s="103"/>
      <c r="BR101" s="103"/>
      <c r="BS101" s="103"/>
      <c r="BT101" s="103"/>
      <c r="BU101" s="103"/>
      <c r="BV101" s="103"/>
      <c r="BW101" s="103"/>
      <c r="BX101" s="103"/>
      <c r="BY101" s="6"/>
      <c r="BZ101" s="6"/>
      <c r="CA101" s="6"/>
      <c r="CB101" s="6"/>
      <c r="CC101" s="6"/>
    </row>
    <row r="102" spans="1:81" x14ac:dyDescent="0.2">
      <c r="A102" s="5"/>
      <c r="B102" s="5"/>
      <c r="C102" s="5"/>
      <c r="D102" s="5"/>
      <c r="E102" s="5"/>
      <c r="F102" s="5"/>
      <c r="G102" s="5"/>
      <c r="H102" s="5"/>
      <c r="I102" s="5"/>
      <c r="J102" s="5"/>
      <c r="K102" s="5"/>
      <c r="L102" s="5"/>
      <c r="M102" s="103"/>
      <c r="N102" s="103"/>
      <c r="O102" s="103"/>
      <c r="P102" s="103"/>
      <c r="Q102" s="200"/>
      <c r="R102" s="5"/>
      <c r="S102" s="5"/>
      <c r="T102" s="5"/>
      <c r="U102" s="5"/>
      <c r="V102" s="5"/>
      <c r="W102" s="5"/>
      <c r="X102" s="5"/>
      <c r="Y102" s="5"/>
      <c r="Z102" s="150"/>
      <c r="AA102" s="103"/>
      <c r="AB102" s="103"/>
      <c r="AC102" s="103"/>
      <c r="AD102" s="103"/>
      <c r="AE102" s="103"/>
      <c r="AF102" s="103"/>
      <c r="AG102" s="103"/>
      <c r="AH102" s="103"/>
      <c r="AI102" s="103"/>
      <c r="AJ102" s="103"/>
      <c r="AK102" s="103"/>
      <c r="AL102" s="103"/>
      <c r="AM102" s="103"/>
      <c r="AN102" s="103"/>
      <c r="AO102" s="103"/>
      <c r="AP102" s="103"/>
      <c r="AQ102" s="103"/>
      <c r="AR102" s="103"/>
      <c r="AS102" s="103"/>
      <c r="AT102" s="103"/>
      <c r="AU102" s="103"/>
      <c r="AV102" s="103"/>
      <c r="AW102" s="103"/>
      <c r="AX102" s="103"/>
      <c r="AY102" s="103"/>
      <c r="AZ102" s="103"/>
      <c r="BA102" s="103"/>
      <c r="BB102" s="103"/>
      <c r="BC102" s="103"/>
      <c r="BD102" s="103"/>
      <c r="BE102" s="103"/>
      <c r="BF102" s="103"/>
      <c r="BG102" s="103"/>
      <c r="BH102" s="103"/>
      <c r="BI102" s="103"/>
      <c r="BJ102" s="103"/>
      <c r="BK102" s="103"/>
      <c r="BL102" s="103"/>
      <c r="BM102" s="103"/>
      <c r="BN102" s="103"/>
      <c r="BO102" s="103"/>
      <c r="BP102" s="103"/>
      <c r="BQ102" s="103"/>
      <c r="BR102" s="103"/>
      <c r="BS102" s="103"/>
      <c r="BT102" s="103"/>
      <c r="BU102" s="103"/>
      <c r="BV102" s="103"/>
      <c r="BW102" s="103"/>
      <c r="BX102" s="103"/>
      <c r="BY102" s="6"/>
      <c r="BZ102" s="6"/>
      <c r="CA102" s="6"/>
      <c r="CB102" s="6"/>
      <c r="CC102" s="6"/>
    </row>
    <row r="103" spans="1:81" x14ac:dyDescent="0.2">
      <c r="A103" s="5"/>
      <c r="B103" s="5"/>
      <c r="C103" s="5"/>
      <c r="D103" s="5"/>
      <c r="E103" s="5"/>
      <c r="F103" s="5"/>
      <c r="G103" s="5"/>
      <c r="H103" s="5"/>
      <c r="I103" s="5"/>
      <c r="J103" s="5"/>
      <c r="K103" s="5"/>
      <c r="L103" s="5"/>
      <c r="M103" s="103"/>
      <c r="N103" s="103"/>
      <c r="O103" s="103"/>
      <c r="P103" s="103"/>
      <c r="Q103" s="200"/>
      <c r="R103" s="5"/>
      <c r="S103" s="5"/>
      <c r="T103" s="5"/>
      <c r="U103" s="5"/>
      <c r="V103" s="5"/>
      <c r="W103" s="5"/>
      <c r="X103" s="5"/>
      <c r="Y103" s="5"/>
      <c r="Z103" s="150"/>
      <c r="AA103" s="103"/>
      <c r="AB103" s="103"/>
      <c r="AC103" s="103"/>
      <c r="AD103" s="103"/>
      <c r="AE103" s="103"/>
      <c r="AF103" s="103"/>
      <c r="AG103" s="103"/>
      <c r="AH103" s="103"/>
      <c r="AI103" s="103"/>
      <c r="AJ103" s="103"/>
      <c r="AK103" s="103"/>
      <c r="AL103" s="103"/>
      <c r="AM103" s="103"/>
      <c r="AN103" s="103"/>
      <c r="AO103" s="103"/>
      <c r="AP103" s="103"/>
      <c r="AQ103" s="103"/>
      <c r="AR103" s="103"/>
      <c r="AS103" s="103"/>
      <c r="AT103" s="103"/>
      <c r="AU103" s="103"/>
      <c r="AV103" s="103"/>
      <c r="AW103" s="103"/>
      <c r="AX103" s="103"/>
      <c r="AY103" s="103"/>
      <c r="AZ103" s="103"/>
      <c r="BA103" s="103"/>
      <c r="BB103" s="103"/>
      <c r="BC103" s="103"/>
      <c r="BD103" s="103"/>
      <c r="BE103" s="103"/>
      <c r="BF103" s="103"/>
      <c r="BG103" s="103"/>
      <c r="BH103" s="103"/>
      <c r="BI103" s="103"/>
      <c r="BJ103" s="103"/>
      <c r="BK103" s="103"/>
      <c r="BL103" s="103"/>
      <c r="BM103" s="103"/>
      <c r="BN103" s="103"/>
      <c r="BO103" s="103"/>
      <c r="BP103" s="103"/>
      <c r="BQ103" s="103"/>
      <c r="BR103" s="103"/>
      <c r="BS103" s="103"/>
      <c r="BT103" s="103"/>
      <c r="BU103" s="103"/>
      <c r="BV103" s="103"/>
      <c r="BW103" s="103"/>
      <c r="BX103" s="103"/>
      <c r="BY103" s="6"/>
      <c r="BZ103" s="6"/>
      <c r="CA103" s="6"/>
      <c r="CB103" s="6"/>
      <c r="CC103" s="6"/>
    </row>
    <row r="104" spans="1:81" x14ac:dyDescent="0.2">
      <c r="A104" s="5"/>
      <c r="B104" s="5"/>
      <c r="C104" s="5"/>
      <c r="D104" s="5"/>
      <c r="E104" s="5"/>
      <c r="F104" s="5"/>
      <c r="G104" s="5"/>
      <c r="H104" s="5"/>
      <c r="I104" s="5"/>
      <c r="J104" s="5"/>
      <c r="K104" s="5"/>
      <c r="L104" s="5"/>
      <c r="M104" s="103"/>
      <c r="N104" s="103"/>
      <c r="O104" s="103"/>
      <c r="P104" s="103"/>
      <c r="Q104" s="200"/>
      <c r="R104" s="5"/>
      <c r="S104" s="5"/>
      <c r="T104" s="5"/>
      <c r="U104" s="5"/>
      <c r="V104" s="5"/>
      <c r="W104" s="5"/>
      <c r="X104" s="5"/>
      <c r="Y104" s="5"/>
      <c r="Z104" s="150"/>
      <c r="AA104" s="103"/>
      <c r="AB104" s="103"/>
      <c r="AC104" s="103"/>
      <c r="AD104" s="103"/>
      <c r="AE104" s="103"/>
      <c r="AF104" s="103"/>
      <c r="AG104" s="103"/>
      <c r="AH104" s="103"/>
      <c r="AI104" s="103"/>
      <c r="AJ104" s="103"/>
      <c r="AK104" s="103"/>
      <c r="AL104" s="103"/>
      <c r="AM104" s="103"/>
      <c r="AN104" s="103"/>
      <c r="AO104" s="103"/>
      <c r="AP104" s="103"/>
      <c r="AQ104" s="103"/>
      <c r="AR104" s="103"/>
      <c r="AS104" s="103"/>
      <c r="AT104" s="103"/>
      <c r="AU104" s="103"/>
      <c r="AV104" s="103"/>
      <c r="AW104" s="103"/>
      <c r="AX104" s="103"/>
      <c r="AY104" s="103"/>
      <c r="AZ104" s="103"/>
      <c r="BA104" s="103"/>
      <c r="BB104" s="103"/>
      <c r="BC104" s="103"/>
      <c r="BD104" s="103"/>
      <c r="BE104" s="103"/>
      <c r="BF104" s="103"/>
      <c r="BG104" s="103"/>
      <c r="BH104" s="103"/>
      <c r="BI104" s="103"/>
      <c r="BJ104" s="103"/>
      <c r="BK104" s="103"/>
      <c r="BL104" s="103"/>
      <c r="BM104" s="103"/>
      <c r="BN104" s="103"/>
      <c r="BO104" s="103"/>
      <c r="BP104" s="103"/>
      <c r="BQ104" s="103"/>
      <c r="BR104" s="103"/>
      <c r="BS104" s="103"/>
      <c r="BT104" s="103"/>
      <c r="BU104" s="103"/>
      <c r="BV104" s="103"/>
      <c r="BW104" s="103"/>
      <c r="BX104" s="103"/>
      <c r="BY104" s="6"/>
      <c r="BZ104" s="6"/>
      <c r="CA104" s="6"/>
      <c r="CB104" s="6"/>
      <c r="CC104" s="6"/>
    </row>
    <row r="105" spans="1:81" x14ac:dyDescent="0.2">
      <c r="A105" s="5"/>
      <c r="B105" s="5"/>
      <c r="C105" s="5"/>
      <c r="D105" s="5"/>
      <c r="E105" s="5"/>
      <c r="F105" s="5"/>
      <c r="G105" s="5"/>
      <c r="H105" s="5"/>
      <c r="I105" s="5"/>
      <c r="J105" s="5"/>
      <c r="K105" s="5"/>
      <c r="L105" s="5"/>
      <c r="M105" s="103"/>
      <c r="N105" s="103"/>
      <c r="O105" s="103"/>
      <c r="P105" s="103"/>
      <c r="Q105" s="200"/>
      <c r="R105" s="5"/>
      <c r="S105" s="5"/>
      <c r="T105" s="5"/>
      <c r="U105" s="5"/>
      <c r="V105" s="5"/>
      <c r="W105" s="5"/>
      <c r="X105" s="5"/>
      <c r="Y105" s="5"/>
      <c r="Z105" s="150"/>
      <c r="AA105" s="103"/>
      <c r="AB105" s="103"/>
      <c r="AC105" s="103"/>
      <c r="AD105" s="103"/>
      <c r="AE105" s="103"/>
      <c r="AF105" s="103"/>
      <c r="AG105" s="103"/>
      <c r="AH105" s="103"/>
      <c r="AI105" s="103"/>
      <c r="AJ105" s="103"/>
      <c r="AK105" s="103"/>
      <c r="AL105" s="103"/>
      <c r="AM105" s="103"/>
      <c r="AN105" s="103"/>
      <c r="AO105" s="103"/>
      <c r="AP105" s="103"/>
      <c r="AQ105" s="103"/>
      <c r="AR105" s="103"/>
      <c r="AS105" s="103"/>
      <c r="AT105" s="103"/>
      <c r="AU105" s="103"/>
      <c r="AV105" s="103"/>
      <c r="AW105" s="103"/>
      <c r="AX105" s="103"/>
      <c r="AY105" s="103"/>
      <c r="AZ105" s="103"/>
      <c r="BA105" s="103"/>
      <c r="BB105" s="103"/>
      <c r="BC105" s="103"/>
      <c r="BD105" s="103"/>
      <c r="BE105" s="103"/>
      <c r="BF105" s="103"/>
      <c r="BG105" s="103"/>
      <c r="BH105" s="103"/>
      <c r="BI105" s="103"/>
      <c r="BJ105" s="103"/>
      <c r="BK105" s="103"/>
      <c r="BL105" s="103"/>
      <c r="BM105" s="103"/>
      <c r="BN105" s="103"/>
      <c r="BO105" s="103"/>
      <c r="BP105" s="103"/>
      <c r="BQ105" s="103"/>
      <c r="BR105" s="103"/>
      <c r="BS105" s="103"/>
      <c r="BT105" s="103"/>
      <c r="BU105" s="103"/>
      <c r="BV105" s="103"/>
      <c r="BW105" s="103"/>
      <c r="BX105" s="103"/>
      <c r="BY105" s="6"/>
      <c r="BZ105" s="6"/>
      <c r="CA105" s="6"/>
      <c r="CB105" s="6"/>
      <c r="CC105" s="6"/>
    </row>
    <row r="106" spans="1:81" x14ac:dyDescent="0.2">
      <c r="A106" s="5"/>
      <c r="B106" s="5"/>
      <c r="C106" s="5"/>
      <c r="D106" s="5"/>
      <c r="E106" s="5"/>
      <c r="F106" s="5"/>
      <c r="G106" s="5"/>
      <c r="H106" s="5"/>
      <c r="I106" s="5"/>
      <c r="J106" s="5"/>
      <c r="K106" s="5"/>
      <c r="L106" s="5"/>
      <c r="M106" s="103"/>
      <c r="N106" s="103"/>
      <c r="O106" s="103"/>
      <c r="P106" s="103"/>
      <c r="Q106" s="200"/>
      <c r="R106" s="5"/>
      <c r="S106" s="5"/>
      <c r="T106" s="5"/>
      <c r="U106" s="5"/>
      <c r="V106" s="5"/>
      <c r="W106" s="5"/>
      <c r="X106" s="5"/>
      <c r="Y106" s="5"/>
      <c r="Z106" s="150"/>
      <c r="AA106" s="103"/>
      <c r="AB106" s="103"/>
      <c r="AC106" s="103"/>
      <c r="AD106" s="103"/>
      <c r="AE106" s="103"/>
      <c r="AF106" s="103"/>
      <c r="AG106" s="103"/>
      <c r="AH106" s="103"/>
      <c r="AI106" s="103"/>
      <c r="AJ106" s="103"/>
      <c r="AK106" s="103"/>
      <c r="AL106" s="103"/>
      <c r="AM106" s="103"/>
      <c r="AN106" s="103"/>
      <c r="AO106" s="103"/>
      <c r="AP106" s="103"/>
      <c r="AQ106" s="103"/>
      <c r="AR106" s="103"/>
      <c r="AS106" s="103"/>
      <c r="AT106" s="103"/>
      <c r="AU106" s="103"/>
      <c r="AV106" s="103"/>
      <c r="AW106" s="103"/>
      <c r="AX106" s="103"/>
      <c r="AY106" s="103"/>
      <c r="AZ106" s="103"/>
      <c r="BA106" s="103"/>
      <c r="BB106" s="103"/>
      <c r="BC106" s="103"/>
      <c r="BD106" s="103"/>
      <c r="BE106" s="103"/>
      <c r="BF106" s="103"/>
      <c r="BG106" s="103"/>
      <c r="BH106" s="103"/>
      <c r="BI106" s="103"/>
      <c r="BJ106" s="103"/>
      <c r="BK106" s="103"/>
      <c r="BL106" s="103"/>
      <c r="BM106" s="103"/>
      <c r="BN106" s="103"/>
      <c r="BO106" s="103"/>
      <c r="BP106" s="103"/>
      <c r="BQ106" s="103"/>
      <c r="BR106" s="103"/>
      <c r="BS106" s="103"/>
      <c r="BT106" s="103"/>
      <c r="BU106" s="103"/>
      <c r="BV106" s="103"/>
      <c r="BW106" s="103"/>
      <c r="BX106" s="103"/>
      <c r="BY106" s="6"/>
      <c r="BZ106" s="6"/>
      <c r="CA106" s="6"/>
      <c r="CB106" s="6"/>
      <c r="CC106" s="6"/>
    </row>
    <row r="107" spans="1:81" x14ac:dyDescent="0.2">
      <c r="A107" s="5"/>
      <c r="B107" s="5"/>
      <c r="C107" s="5"/>
      <c r="D107" s="5"/>
      <c r="E107" s="5"/>
      <c r="F107" s="5"/>
      <c r="G107" s="5"/>
      <c r="H107" s="5"/>
      <c r="I107" s="5"/>
      <c r="J107" s="5"/>
      <c r="K107" s="5"/>
      <c r="L107" s="5"/>
      <c r="M107" s="103"/>
      <c r="N107" s="103"/>
      <c r="O107" s="103"/>
      <c r="P107" s="103"/>
      <c r="Q107" s="200"/>
      <c r="R107" s="5"/>
      <c r="S107" s="5"/>
      <c r="T107" s="5"/>
      <c r="U107" s="5"/>
      <c r="V107" s="5"/>
      <c r="W107" s="5"/>
      <c r="X107" s="5"/>
      <c r="Y107" s="5"/>
      <c r="Z107" s="150"/>
      <c r="AA107" s="103"/>
      <c r="AB107" s="103"/>
      <c r="AC107" s="103"/>
      <c r="AD107" s="103"/>
      <c r="AE107" s="103"/>
      <c r="AF107" s="103"/>
      <c r="AG107" s="103"/>
      <c r="AH107" s="103"/>
      <c r="AI107" s="103"/>
      <c r="AJ107" s="103"/>
      <c r="AK107" s="103"/>
      <c r="AL107" s="103"/>
      <c r="AM107" s="103"/>
      <c r="AN107" s="103"/>
      <c r="AO107" s="103"/>
      <c r="AP107" s="103"/>
      <c r="AQ107" s="103"/>
      <c r="AR107" s="103"/>
      <c r="AS107" s="103"/>
      <c r="AT107" s="103"/>
      <c r="AU107" s="103"/>
      <c r="AV107" s="103"/>
      <c r="AW107" s="103"/>
      <c r="AX107" s="103"/>
      <c r="AY107" s="103"/>
      <c r="AZ107" s="103"/>
      <c r="BA107" s="103"/>
      <c r="BB107" s="103"/>
      <c r="BC107" s="103"/>
      <c r="BD107" s="103"/>
      <c r="BE107" s="103"/>
      <c r="BF107" s="103"/>
      <c r="BG107" s="103"/>
      <c r="BH107" s="103"/>
      <c r="BI107" s="103"/>
      <c r="BJ107" s="103"/>
      <c r="BK107" s="103"/>
      <c r="BL107" s="103"/>
      <c r="BM107" s="103"/>
      <c r="BN107" s="103"/>
      <c r="BO107" s="103"/>
      <c r="BP107" s="103"/>
      <c r="BQ107" s="103"/>
      <c r="BR107" s="103"/>
      <c r="BS107" s="103"/>
      <c r="BT107" s="103"/>
      <c r="BU107" s="103"/>
      <c r="BV107" s="103"/>
      <c r="BW107" s="103"/>
      <c r="BX107" s="103"/>
      <c r="BY107" s="6"/>
      <c r="BZ107" s="6"/>
      <c r="CA107" s="6"/>
      <c r="CB107" s="6"/>
      <c r="CC107" s="6"/>
    </row>
    <row r="108" spans="1:81" x14ac:dyDescent="0.2">
      <c r="A108" s="5"/>
      <c r="B108" s="5"/>
      <c r="C108" s="5"/>
      <c r="D108" s="5"/>
      <c r="E108" s="5"/>
      <c r="F108" s="5"/>
      <c r="G108" s="5"/>
      <c r="H108" s="5"/>
      <c r="I108" s="5"/>
      <c r="J108" s="5"/>
      <c r="K108" s="5"/>
      <c r="L108" s="5"/>
      <c r="M108" s="103"/>
      <c r="N108" s="103"/>
      <c r="O108" s="103"/>
      <c r="P108" s="103"/>
      <c r="Q108" s="200"/>
      <c r="R108" s="5"/>
      <c r="S108" s="5"/>
      <c r="T108" s="5"/>
      <c r="U108" s="5"/>
      <c r="V108" s="5"/>
      <c r="W108" s="5"/>
      <c r="X108" s="5"/>
      <c r="Y108" s="5"/>
      <c r="Z108" s="150"/>
      <c r="AA108" s="103"/>
      <c r="AB108" s="103"/>
      <c r="AC108" s="103"/>
      <c r="AD108" s="103"/>
      <c r="AE108" s="103"/>
      <c r="AF108" s="103"/>
      <c r="AG108" s="103"/>
      <c r="AH108" s="103"/>
      <c r="AI108" s="103"/>
      <c r="AJ108" s="103"/>
      <c r="AK108" s="103"/>
      <c r="AL108" s="103"/>
      <c r="AM108" s="103"/>
      <c r="AN108" s="103"/>
      <c r="AO108" s="103"/>
      <c r="AP108" s="103"/>
      <c r="AQ108" s="103"/>
      <c r="AR108" s="103"/>
      <c r="AS108" s="103"/>
      <c r="AT108" s="103"/>
      <c r="AU108" s="103"/>
      <c r="AV108" s="103"/>
      <c r="AW108" s="103"/>
      <c r="AX108" s="103"/>
      <c r="AY108" s="103"/>
      <c r="AZ108" s="103"/>
      <c r="BA108" s="103"/>
      <c r="BB108" s="103"/>
      <c r="BC108" s="103"/>
      <c r="BD108" s="103"/>
      <c r="BE108" s="103"/>
      <c r="BF108" s="103"/>
      <c r="BG108" s="103"/>
      <c r="BH108" s="103"/>
      <c r="BI108" s="103"/>
      <c r="BJ108" s="103"/>
      <c r="BK108" s="103"/>
      <c r="BL108" s="103"/>
      <c r="BM108" s="103"/>
      <c r="BN108" s="103"/>
      <c r="BO108" s="103"/>
      <c r="BP108" s="103"/>
      <c r="BQ108" s="103"/>
      <c r="BR108" s="103"/>
      <c r="BS108" s="103"/>
      <c r="BT108" s="103"/>
      <c r="BU108" s="103"/>
      <c r="BV108" s="103"/>
      <c r="BW108" s="103"/>
      <c r="BX108" s="103"/>
      <c r="BY108" s="6"/>
      <c r="BZ108" s="6"/>
      <c r="CA108" s="6"/>
      <c r="CB108" s="6"/>
      <c r="CC108" s="6"/>
    </row>
    <row r="109" spans="1:81" x14ac:dyDescent="0.2">
      <c r="A109" s="5"/>
      <c r="B109" s="5"/>
      <c r="C109" s="5"/>
      <c r="D109" s="5"/>
      <c r="E109" s="5"/>
      <c r="F109" s="5"/>
      <c r="G109" s="5"/>
      <c r="H109" s="5"/>
      <c r="I109" s="5"/>
      <c r="J109" s="5"/>
      <c r="K109" s="5"/>
      <c r="L109" s="5"/>
      <c r="M109" s="103"/>
      <c r="N109" s="103"/>
      <c r="O109" s="103"/>
      <c r="P109" s="103"/>
      <c r="Q109" s="200"/>
      <c r="R109" s="5"/>
      <c r="S109" s="5"/>
      <c r="T109" s="5"/>
      <c r="U109" s="5"/>
      <c r="V109" s="5"/>
      <c r="W109" s="5"/>
      <c r="X109" s="5"/>
      <c r="Y109" s="5"/>
      <c r="Z109" s="150"/>
      <c r="AA109" s="103"/>
      <c r="AB109" s="103"/>
      <c r="AC109" s="103"/>
      <c r="AD109" s="103"/>
      <c r="AE109" s="103"/>
      <c r="AF109" s="103"/>
      <c r="AG109" s="103"/>
      <c r="AH109" s="103"/>
      <c r="AI109" s="103"/>
      <c r="AJ109" s="103"/>
      <c r="AK109" s="103"/>
      <c r="AL109" s="103"/>
      <c r="AM109" s="103"/>
      <c r="AN109" s="103"/>
      <c r="AO109" s="103"/>
      <c r="AP109" s="103"/>
      <c r="AQ109" s="103"/>
      <c r="AR109" s="103"/>
      <c r="AS109" s="103"/>
      <c r="AT109" s="103"/>
      <c r="AU109" s="103"/>
      <c r="AV109" s="103"/>
      <c r="AW109" s="103"/>
      <c r="AX109" s="103"/>
      <c r="AY109" s="103"/>
      <c r="AZ109" s="103"/>
      <c r="BA109" s="103"/>
      <c r="BB109" s="103"/>
      <c r="BC109" s="103"/>
      <c r="BD109" s="103"/>
      <c r="BE109" s="103"/>
      <c r="BF109" s="103"/>
      <c r="BG109" s="103"/>
      <c r="BH109" s="103"/>
      <c r="BI109" s="103"/>
      <c r="BJ109" s="103"/>
      <c r="BK109" s="103"/>
      <c r="BL109" s="103"/>
      <c r="BM109" s="103"/>
      <c r="BN109" s="103"/>
      <c r="BO109" s="103"/>
      <c r="BP109" s="103"/>
      <c r="BQ109" s="103"/>
      <c r="BR109" s="103"/>
      <c r="BS109" s="103"/>
      <c r="BT109" s="103"/>
      <c r="BU109" s="103"/>
      <c r="BV109" s="103"/>
      <c r="BW109" s="103"/>
      <c r="BX109" s="103"/>
      <c r="BY109" s="6"/>
      <c r="BZ109" s="6"/>
      <c r="CA109" s="6"/>
      <c r="CB109" s="6"/>
      <c r="CC109" s="6"/>
    </row>
    <row r="110" spans="1:81" x14ac:dyDescent="0.2">
      <c r="A110" s="5"/>
      <c r="B110" s="5"/>
      <c r="C110" s="5"/>
      <c r="D110" s="5"/>
      <c r="E110" s="5"/>
      <c r="F110" s="5"/>
      <c r="G110" s="5"/>
      <c r="H110" s="5"/>
      <c r="I110" s="5"/>
      <c r="J110" s="5"/>
      <c r="K110" s="5"/>
      <c r="L110" s="5"/>
      <c r="M110" s="103"/>
      <c r="N110" s="103"/>
      <c r="O110" s="103"/>
      <c r="P110" s="103"/>
      <c r="Q110" s="200"/>
      <c r="R110" s="5"/>
      <c r="S110" s="5"/>
      <c r="T110" s="5"/>
      <c r="U110" s="5"/>
      <c r="V110" s="5"/>
      <c r="W110" s="5"/>
      <c r="X110" s="5"/>
      <c r="Y110" s="5"/>
      <c r="Z110" s="150"/>
      <c r="AA110" s="103"/>
      <c r="AB110" s="103"/>
      <c r="AC110" s="103"/>
      <c r="AD110" s="103"/>
      <c r="AE110" s="103"/>
      <c r="AF110" s="103"/>
      <c r="AG110" s="103"/>
      <c r="AH110" s="103"/>
      <c r="AI110" s="103"/>
      <c r="AJ110" s="103"/>
      <c r="AK110" s="103"/>
      <c r="AL110" s="103"/>
      <c r="AM110" s="103"/>
      <c r="AN110" s="103"/>
      <c r="AO110" s="103"/>
      <c r="AP110" s="103"/>
      <c r="AQ110" s="103"/>
      <c r="AR110" s="103"/>
      <c r="AS110" s="103"/>
      <c r="AT110" s="103"/>
      <c r="AU110" s="103"/>
      <c r="AV110" s="103"/>
      <c r="AW110" s="103"/>
      <c r="AX110" s="103"/>
      <c r="AY110" s="103"/>
      <c r="AZ110" s="103"/>
      <c r="BA110" s="103"/>
      <c r="BB110" s="103"/>
      <c r="BC110" s="103"/>
      <c r="BD110" s="103"/>
      <c r="BE110" s="103"/>
      <c r="BF110" s="103"/>
      <c r="BG110" s="103"/>
      <c r="BH110" s="103"/>
      <c r="BI110" s="103"/>
      <c r="BJ110" s="103"/>
      <c r="BK110" s="103"/>
      <c r="BL110" s="103"/>
      <c r="BM110" s="103"/>
      <c r="BN110" s="103"/>
      <c r="BO110" s="103"/>
      <c r="BP110" s="103"/>
      <c r="BQ110" s="103"/>
      <c r="BR110" s="103"/>
      <c r="BS110" s="103"/>
      <c r="BT110" s="103"/>
      <c r="BU110" s="103"/>
      <c r="BV110" s="103"/>
      <c r="BW110" s="103"/>
      <c r="BX110" s="103"/>
      <c r="BY110" s="6"/>
      <c r="BZ110" s="6"/>
      <c r="CA110" s="6"/>
      <c r="CB110" s="6"/>
      <c r="CC110" s="6"/>
    </row>
    <row r="111" spans="1:81" x14ac:dyDescent="0.2">
      <c r="A111" s="5"/>
      <c r="B111" s="5"/>
      <c r="C111" s="5"/>
      <c r="D111" s="5"/>
      <c r="E111" s="5"/>
      <c r="F111" s="5"/>
      <c r="G111" s="5"/>
      <c r="H111" s="5"/>
      <c r="I111" s="5"/>
      <c r="J111" s="5"/>
      <c r="K111" s="5"/>
      <c r="L111" s="5"/>
      <c r="M111" s="103"/>
      <c r="N111" s="103"/>
      <c r="O111" s="103"/>
      <c r="P111" s="103"/>
      <c r="Q111" s="200"/>
      <c r="R111" s="5"/>
      <c r="S111" s="5"/>
      <c r="T111" s="5"/>
      <c r="U111" s="5"/>
      <c r="V111" s="5"/>
      <c r="W111" s="5"/>
      <c r="X111" s="5"/>
      <c r="Y111" s="5"/>
      <c r="Z111" s="150"/>
      <c r="AA111" s="103"/>
      <c r="AB111" s="103"/>
      <c r="AC111" s="103"/>
      <c r="AD111" s="103"/>
      <c r="AE111" s="103"/>
      <c r="AF111" s="103"/>
      <c r="AG111" s="103"/>
      <c r="AH111" s="103"/>
      <c r="AI111" s="103"/>
      <c r="AJ111" s="103"/>
      <c r="AK111" s="103"/>
      <c r="AL111" s="103"/>
      <c r="AM111" s="103"/>
      <c r="AN111" s="103"/>
      <c r="AO111" s="103"/>
      <c r="AP111" s="103"/>
      <c r="AQ111" s="103"/>
      <c r="AR111" s="103"/>
      <c r="AS111" s="103"/>
      <c r="AT111" s="103"/>
      <c r="AU111" s="103"/>
      <c r="AV111" s="103"/>
      <c r="AW111" s="103"/>
      <c r="AX111" s="103"/>
      <c r="AY111" s="103"/>
      <c r="AZ111" s="103"/>
      <c r="BA111" s="103"/>
      <c r="BB111" s="103"/>
      <c r="BC111" s="103"/>
      <c r="BD111" s="103"/>
      <c r="BE111" s="103"/>
      <c r="BF111" s="103"/>
      <c r="BG111" s="103"/>
      <c r="BH111" s="103"/>
      <c r="BI111" s="103"/>
      <c r="BJ111" s="103"/>
      <c r="BK111" s="103"/>
      <c r="BL111" s="103"/>
      <c r="BM111" s="103"/>
      <c r="BN111" s="103"/>
      <c r="BO111" s="103"/>
      <c r="BP111" s="103"/>
      <c r="BQ111" s="103"/>
      <c r="BR111" s="103"/>
      <c r="BS111" s="103"/>
      <c r="BT111" s="103"/>
      <c r="BU111" s="103"/>
      <c r="BV111" s="103"/>
      <c r="BW111" s="103"/>
      <c r="BX111" s="103"/>
      <c r="BY111" s="6"/>
      <c r="BZ111" s="6"/>
      <c r="CA111" s="6"/>
      <c r="CB111" s="6"/>
      <c r="CC111" s="6"/>
    </row>
    <row r="112" spans="1:81" x14ac:dyDescent="0.2">
      <c r="A112" s="5"/>
      <c r="B112" s="5"/>
      <c r="C112" s="5"/>
      <c r="D112" s="5"/>
      <c r="E112" s="5"/>
      <c r="F112" s="5"/>
      <c r="G112" s="5"/>
      <c r="H112" s="5"/>
      <c r="I112" s="5"/>
      <c r="J112" s="5"/>
      <c r="K112" s="5"/>
      <c r="L112" s="5"/>
      <c r="M112" s="103"/>
      <c r="N112" s="103"/>
      <c r="O112" s="103"/>
      <c r="P112" s="103"/>
      <c r="Q112" s="200"/>
      <c r="R112" s="5"/>
      <c r="S112" s="5"/>
      <c r="T112" s="5"/>
      <c r="U112" s="5"/>
      <c r="V112" s="5"/>
      <c r="W112" s="5"/>
      <c r="X112" s="5"/>
      <c r="Y112" s="5"/>
      <c r="Z112" s="150"/>
      <c r="AA112" s="103"/>
      <c r="AB112" s="103"/>
      <c r="AC112" s="103"/>
      <c r="AD112" s="103"/>
      <c r="AE112" s="103"/>
      <c r="AF112" s="103"/>
      <c r="AG112" s="103"/>
      <c r="AH112" s="103"/>
      <c r="AI112" s="103"/>
      <c r="AJ112" s="103"/>
      <c r="AK112" s="103"/>
      <c r="AL112" s="103"/>
      <c r="AM112" s="103"/>
      <c r="AN112" s="103"/>
      <c r="AO112" s="103"/>
      <c r="AP112" s="103"/>
      <c r="AQ112" s="103"/>
      <c r="AR112" s="103"/>
      <c r="AS112" s="103"/>
      <c r="AT112" s="103"/>
      <c r="AU112" s="103"/>
      <c r="AV112" s="103"/>
      <c r="AW112" s="103"/>
      <c r="AX112" s="103"/>
      <c r="AY112" s="103"/>
      <c r="AZ112" s="103"/>
      <c r="BA112" s="103"/>
      <c r="BB112" s="103"/>
      <c r="BC112" s="103"/>
      <c r="BD112" s="103"/>
      <c r="BE112" s="103"/>
      <c r="BF112" s="103"/>
      <c r="BG112" s="103"/>
      <c r="BH112" s="103"/>
      <c r="BI112" s="103"/>
      <c r="BJ112" s="103"/>
      <c r="BK112" s="103"/>
      <c r="BL112" s="103"/>
      <c r="BM112" s="103"/>
      <c r="BN112" s="103"/>
      <c r="BO112" s="103"/>
      <c r="BP112" s="103"/>
      <c r="BQ112" s="103"/>
      <c r="BR112" s="103"/>
      <c r="BS112" s="103"/>
      <c r="BT112" s="103"/>
      <c r="BU112" s="103"/>
      <c r="BV112" s="103"/>
      <c r="BW112" s="103"/>
      <c r="BX112" s="103"/>
      <c r="BY112" s="6"/>
      <c r="BZ112" s="6"/>
      <c r="CA112" s="6"/>
      <c r="CB112" s="6"/>
      <c r="CC112" s="6"/>
    </row>
    <row r="113" spans="1:81" x14ac:dyDescent="0.2">
      <c r="A113" s="5"/>
      <c r="B113" s="5"/>
      <c r="C113" s="5"/>
      <c r="D113" s="5"/>
      <c r="E113" s="5"/>
      <c r="F113" s="5"/>
      <c r="G113" s="5"/>
      <c r="H113" s="5"/>
      <c r="I113" s="5"/>
      <c r="J113" s="5"/>
      <c r="K113" s="5"/>
      <c r="L113" s="5"/>
      <c r="M113" s="103"/>
      <c r="N113" s="103"/>
      <c r="O113" s="103"/>
      <c r="P113" s="103"/>
      <c r="Q113" s="200"/>
      <c r="R113" s="5"/>
      <c r="S113" s="5"/>
      <c r="T113" s="5"/>
      <c r="U113" s="5"/>
      <c r="V113" s="5"/>
      <c r="W113" s="5"/>
      <c r="X113" s="5"/>
      <c r="Y113" s="5"/>
      <c r="Z113" s="150"/>
      <c r="AA113" s="103"/>
      <c r="AB113" s="103"/>
      <c r="AC113" s="103"/>
      <c r="AD113" s="103"/>
      <c r="AE113" s="103"/>
      <c r="AF113" s="103"/>
      <c r="AG113" s="103"/>
      <c r="AH113" s="103"/>
      <c r="AI113" s="103"/>
      <c r="AJ113" s="103"/>
      <c r="AK113" s="103"/>
      <c r="AL113" s="103"/>
      <c r="AM113" s="103"/>
      <c r="AN113" s="103"/>
      <c r="AO113" s="103"/>
      <c r="AP113" s="103"/>
      <c r="AQ113" s="103"/>
      <c r="AR113" s="103"/>
      <c r="AS113" s="103"/>
      <c r="AT113" s="103"/>
      <c r="AU113" s="103"/>
      <c r="AV113" s="103"/>
      <c r="AW113" s="103"/>
      <c r="AX113" s="103"/>
      <c r="AY113" s="103"/>
      <c r="AZ113" s="103"/>
      <c r="BA113" s="103"/>
      <c r="BB113" s="103"/>
      <c r="BC113" s="103"/>
      <c r="BD113" s="103"/>
      <c r="BE113" s="103"/>
      <c r="BF113" s="103"/>
      <c r="BG113" s="103"/>
      <c r="BH113" s="103"/>
      <c r="BI113" s="103"/>
      <c r="BJ113" s="103"/>
      <c r="BK113" s="103"/>
      <c r="BL113" s="103"/>
      <c r="BM113" s="103"/>
      <c r="BN113" s="103"/>
      <c r="BO113" s="103"/>
      <c r="BP113" s="103"/>
      <c r="BQ113" s="103"/>
      <c r="BR113" s="103"/>
      <c r="BS113" s="103"/>
      <c r="BT113" s="103"/>
      <c r="BU113" s="103"/>
      <c r="BV113" s="103"/>
      <c r="BW113" s="103"/>
      <c r="BX113" s="103"/>
      <c r="BY113" s="6"/>
      <c r="BZ113" s="6"/>
      <c r="CA113" s="6"/>
      <c r="CB113" s="6"/>
      <c r="CC113" s="6"/>
    </row>
    <row r="114" spans="1:81" x14ac:dyDescent="0.2">
      <c r="A114" s="5"/>
      <c r="B114" s="5"/>
      <c r="C114" s="5"/>
      <c r="D114" s="5"/>
      <c r="E114" s="5"/>
      <c r="F114" s="5"/>
      <c r="G114" s="5"/>
      <c r="H114" s="5"/>
      <c r="I114" s="5"/>
      <c r="J114" s="5"/>
      <c r="K114" s="5"/>
      <c r="L114" s="5"/>
      <c r="M114" s="103"/>
      <c r="N114" s="103"/>
      <c r="O114" s="103"/>
      <c r="P114" s="103"/>
      <c r="Q114" s="200"/>
      <c r="R114" s="5"/>
      <c r="S114" s="5"/>
      <c r="T114" s="5"/>
      <c r="U114" s="5"/>
      <c r="V114" s="5"/>
      <c r="W114" s="5"/>
      <c r="X114" s="5"/>
      <c r="Y114" s="5"/>
      <c r="Z114" s="150"/>
      <c r="AA114" s="103"/>
      <c r="AB114" s="103"/>
      <c r="AC114" s="103"/>
      <c r="AD114" s="103"/>
      <c r="AE114" s="103"/>
      <c r="AF114" s="103"/>
      <c r="AG114" s="103"/>
      <c r="AH114" s="103"/>
      <c r="AI114" s="103"/>
      <c r="AJ114" s="103"/>
      <c r="AK114" s="103"/>
      <c r="AL114" s="103"/>
      <c r="AM114" s="103"/>
      <c r="AN114" s="103"/>
      <c r="AO114" s="103"/>
      <c r="AP114" s="103"/>
      <c r="AQ114" s="103"/>
      <c r="AR114" s="103"/>
      <c r="AS114" s="103"/>
      <c r="AT114" s="103"/>
      <c r="AU114" s="103"/>
      <c r="AV114" s="103"/>
      <c r="AW114" s="103"/>
      <c r="AX114" s="103"/>
      <c r="AY114" s="103"/>
      <c r="AZ114" s="103"/>
      <c r="BA114" s="103"/>
      <c r="BB114" s="103"/>
      <c r="BC114" s="103"/>
      <c r="BD114" s="103"/>
      <c r="BE114" s="103"/>
      <c r="BF114" s="103"/>
      <c r="BG114" s="103"/>
      <c r="BH114" s="103"/>
      <c r="BI114" s="103"/>
      <c r="BJ114" s="103"/>
      <c r="BK114" s="103"/>
      <c r="BL114" s="103"/>
      <c r="BM114" s="103"/>
      <c r="BN114" s="103"/>
      <c r="BO114" s="103"/>
      <c r="BP114" s="103"/>
      <c r="BQ114" s="103"/>
      <c r="BR114" s="103"/>
      <c r="BS114" s="103"/>
      <c r="BT114" s="103"/>
      <c r="BU114" s="103"/>
      <c r="BV114" s="103"/>
      <c r="BW114" s="103"/>
      <c r="BX114" s="103"/>
      <c r="BY114" s="6"/>
      <c r="BZ114" s="6"/>
      <c r="CA114" s="6"/>
      <c r="CB114" s="6"/>
      <c r="CC114" s="6"/>
    </row>
    <row r="115" spans="1:81" x14ac:dyDescent="0.2">
      <c r="A115" s="5"/>
      <c r="B115" s="5"/>
      <c r="C115" s="5"/>
      <c r="D115" s="5"/>
      <c r="E115" s="5"/>
      <c r="F115" s="5"/>
      <c r="G115" s="5"/>
      <c r="H115" s="5"/>
      <c r="I115" s="5"/>
      <c r="J115" s="5"/>
      <c r="K115" s="5"/>
      <c r="L115" s="5"/>
      <c r="M115" s="103"/>
      <c r="N115" s="103"/>
      <c r="O115" s="103"/>
      <c r="P115" s="103"/>
      <c r="Q115" s="200"/>
      <c r="R115" s="5"/>
      <c r="S115" s="5"/>
      <c r="T115" s="5"/>
      <c r="U115" s="5"/>
      <c r="V115" s="5"/>
      <c r="W115" s="5"/>
      <c r="X115" s="5"/>
      <c r="Y115" s="5"/>
      <c r="Z115" s="150"/>
      <c r="AA115" s="103"/>
      <c r="AB115" s="103"/>
      <c r="AC115" s="103"/>
      <c r="AD115" s="103"/>
      <c r="AE115" s="103"/>
      <c r="AF115" s="103"/>
      <c r="AG115" s="103"/>
      <c r="AH115" s="103"/>
      <c r="AI115" s="103"/>
      <c r="AJ115" s="103"/>
      <c r="AK115" s="103"/>
      <c r="AL115" s="103"/>
      <c r="AM115" s="103"/>
      <c r="AN115" s="103"/>
      <c r="AO115" s="103"/>
      <c r="AP115" s="103"/>
      <c r="AQ115" s="103"/>
      <c r="AR115" s="103"/>
      <c r="AS115" s="103"/>
      <c r="AT115" s="103"/>
      <c r="AU115" s="103"/>
      <c r="AV115" s="103"/>
      <c r="AW115" s="103"/>
      <c r="AX115" s="103"/>
      <c r="AY115" s="103"/>
      <c r="AZ115" s="103"/>
      <c r="BA115" s="103"/>
      <c r="BB115" s="103"/>
      <c r="BC115" s="103"/>
      <c r="BD115" s="103"/>
      <c r="BE115" s="103"/>
      <c r="BF115" s="103"/>
      <c r="BG115" s="103"/>
      <c r="BH115" s="103"/>
      <c r="BI115" s="103"/>
      <c r="BJ115" s="103"/>
      <c r="BK115" s="103"/>
      <c r="BL115" s="103"/>
      <c r="BM115" s="103"/>
      <c r="BN115" s="103"/>
      <c r="BO115" s="103"/>
      <c r="BP115" s="103"/>
      <c r="BQ115" s="103"/>
      <c r="BR115" s="103"/>
      <c r="BS115" s="103"/>
      <c r="BT115" s="103"/>
      <c r="BU115" s="103"/>
      <c r="BV115" s="103"/>
      <c r="BW115" s="103"/>
      <c r="BX115" s="103"/>
      <c r="BY115" s="6"/>
      <c r="BZ115" s="6"/>
      <c r="CA115" s="6"/>
      <c r="CB115" s="6"/>
      <c r="CC115" s="6"/>
    </row>
    <row r="116" spans="1:81" x14ac:dyDescent="0.2">
      <c r="A116" s="5"/>
      <c r="B116" s="5"/>
      <c r="C116" s="5"/>
      <c r="D116" s="5"/>
      <c r="E116" s="5"/>
      <c r="F116" s="5"/>
      <c r="G116" s="5"/>
      <c r="H116" s="5"/>
      <c r="I116" s="5"/>
      <c r="J116" s="5"/>
      <c r="K116" s="5"/>
      <c r="L116" s="5"/>
      <c r="M116" s="103"/>
      <c r="N116" s="103"/>
      <c r="O116" s="103"/>
      <c r="P116" s="103"/>
      <c r="Q116" s="200"/>
      <c r="R116" s="5"/>
      <c r="S116" s="5"/>
      <c r="T116" s="5"/>
      <c r="U116" s="5"/>
      <c r="V116" s="5"/>
      <c r="W116" s="5"/>
      <c r="X116" s="5"/>
      <c r="Y116" s="5"/>
      <c r="Z116" s="150"/>
      <c r="AA116" s="103"/>
      <c r="AB116" s="103"/>
      <c r="AC116" s="103"/>
      <c r="AD116" s="103"/>
      <c r="AE116" s="103"/>
      <c r="AF116" s="103"/>
      <c r="AG116" s="103"/>
      <c r="AH116" s="103"/>
      <c r="AI116" s="103"/>
      <c r="AJ116" s="103"/>
      <c r="AK116" s="103"/>
      <c r="AL116" s="103"/>
      <c r="AM116" s="103"/>
      <c r="AN116" s="103"/>
      <c r="AO116" s="103"/>
      <c r="AP116" s="103"/>
      <c r="AQ116" s="103"/>
      <c r="AR116" s="103"/>
      <c r="AS116" s="103"/>
      <c r="AT116" s="103"/>
      <c r="AU116" s="103"/>
      <c r="AV116" s="103"/>
      <c r="AW116" s="103"/>
      <c r="AX116" s="103"/>
      <c r="AY116" s="103"/>
      <c r="AZ116" s="103"/>
      <c r="BA116" s="103"/>
      <c r="BB116" s="103"/>
      <c r="BC116" s="103"/>
      <c r="BD116" s="103"/>
      <c r="BE116" s="103"/>
      <c r="BF116" s="103"/>
      <c r="BG116" s="103"/>
      <c r="BH116" s="103"/>
      <c r="BI116" s="103"/>
      <c r="BJ116" s="103"/>
      <c r="BK116" s="103"/>
      <c r="BL116" s="103"/>
      <c r="BM116" s="103"/>
      <c r="BN116" s="103"/>
      <c r="BO116" s="103"/>
      <c r="BP116" s="103"/>
      <c r="BQ116" s="103"/>
      <c r="BR116" s="103"/>
      <c r="BS116" s="103"/>
      <c r="BT116" s="103"/>
      <c r="BU116" s="103"/>
      <c r="BV116" s="103"/>
      <c r="BW116" s="103"/>
      <c r="BX116" s="103"/>
      <c r="BY116" s="6"/>
      <c r="BZ116" s="6"/>
      <c r="CA116" s="6"/>
      <c r="CB116" s="6"/>
      <c r="CC116" s="6"/>
    </row>
    <row r="117" spans="1:81" x14ac:dyDescent="0.2">
      <c r="A117" s="5"/>
      <c r="B117" s="5"/>
      <c r="C117" s="5"/>
      <c r="D117" s="5"/>
      <c r="E117" s="5"/>
      <c r="F117" s="5"/>
      <c r="G117" s="5"/>
      <c r="H117" s="5"/>
      <c r="I117" s="5"/>
      <c r="J117" s="5"/>
      <c r="K117" s="5"/>
      <c r="L117" s="5"/>
      <c r="M117" s="103"/>
      <c r="N117" s="103"/>
      <c r="O117" s="103"/>
      <c r="P117" s="103"/>
      <c r="Q117" s="200"/>
      <c r="R117" s="5"/>
      <c r="S117" s="5"/>
      <c r="T117" s="5"/>
      <c r="U117" s="5"/>
      <c r="V117" s="5"/>
      <c r="W117" s="5"/>
      <c r="X117" s="5"/>
      <c r="Y117" s="5"/>
      <c r="Z117" s="150"/>
      <c r="AA117" s="103"/>
      <c r="AB117" s="103"/>
      <c r="AC117" s="103"/>
      <c r="AD117" s="103"/>
      <c r="AE117" s="103"/>
      <c r="AF117" s="103"/>
      <c r="AG117" s="103"/>
      <c r="AH117" s="103"/>
      <c r="AI117" s="103"/>
      <c r="AJ117" s="103"/>
      <c r="AK117" s="103"/>
      <c r="AL117" s="103"/>
      <c r="AM117" s="103"/>
      <c r="AN117" s="103"/>
      <c r="AO117" s="103"/>
      <c r="AP117" s="103"/>
      <c r="AQ117" s="103"/>
      <c r="AR117" s="103"/>
      <c r="AS117" s="103"/>
      <c r="AT117" s="103"/>
      <c r="AU117" s="103"/>
      <c r="AV117" s="103"/>
      <c r="AW117" s="103"/>
      <c r="AX117" s="103"/>
      <c r="AY117" s="103"/>
      <c r="AZ117" s="103"/>
      <c r="BA117" s="103"/>
      <c r="BB117" s="103"/>
      <c r="BC117" s="103"/>
      <c r="BD117" s="103"/>
      <c r="BE117" s="103"/>
      <c r="BF117" s="103"/>
      <c r="BG117" s="103"/>
      <c r="BH117" s="103"/>
      <c r="BI117" s="103"/>
      <c r="BJ117" s="103"/>
      <c r="BK117" s="103"/>
      <c r="BL117" s="103"/>
      <c r="BM117" s="103"/>
      <c r="BN117" s="103"/>
      <c r="BO117" s="103"/>
      <c r="BP117" s="103"/>
      <c r="BQ117" s="103"/>
      <c r="BR117" s="103"/>
      <c r="BS117" s="103"/>
      <c r="BT117" s="103"/>
      <c r="BU117" s="103"/>
      <c r="BV117" s="103"/>
      <c r="BW117" s="103"/>
      <c r="BX117" s="103"/>
      <c r="BY117" s="6"/>
      <c r="BZ117" s="6"/>
      <c r="CA117" s="6"/>
      <c r="CB117" s="6"/>
      <c r="CC117" s="6"/>
    </row>
    <row r="118" spans="1:81" x14ac:dyDescent="0.2">
      <c r="A118" s="5"/>
      <c r="B118" s="5"/>
      <c r="C118" s="5"/>
      <c r="D118" s="5"/>
      <c r="E118" s="5"/>
      <c r="F118" s="5"/>
      <c r="G118" s="5"/>
      <c r="H118" s="5"/>
      <c r="I118" s="5"/>
      <c r="J118" s="5"/>
      <c r="K118" s="5"/>
      <c r="L118" s="5"/>
      <c r="M118" s="103"/>
      <c r="N118" s="103"/>
      <c r="O118" s="103"/>
      <c r="P118" s="103"/>
      <c r="Q118" s="200"/>
      <c r="R118" s="5"/>
      <c r="S118" s="5"/>
      <c r="T118" s="5"/>
      <c r="U118" s="5"/>
      <c r="V118" s="5"/>
      <c r="W118" s="5"/>
      <c r="X118" s="5"/>
      <c r="Y118" s="5"/>
      <c r="Z118" s="150"/>
      <c r="AA118" s="103"/>
      <c r="AB118" s="103"/>
      <c r="AC118" s="103"/>
      <c r="AD118" s="103"/>
      <c r="AE118" s="103"/>
      <c r="AF118" s="103"/>
      <c r="AG118" s="103"/>
      <c r="AH118" s="103"/>
      <c r="AI118" s="103"/>
      <c r="AJ118" s="103"/>
      <c r="AK118" s="103"/>
      <c r="AL118" s="103"/>
      <c r="AM118" s="103"/>
      <c r="AN118" s="103"/>
      <c r="AO118" s="103"/>
      <c r="AP118" s="103"/>
      <c r="AQ118" s="103"/>
      <c r="AR118" s="103"/>
      <c r="AS118" s="103"/>
      <c r="AT118" s="103"/>
      <c r="AU118" s="103"/>
      <c r="AV118" s="103"/>
      <c r="AW118" s="103"/>
      <c r="AX118" s="103"/>
      <c r="AY118" s="103"/>
      <c r="AZ118" s="103"/>
      <c r="BA118" s="103"/>
      <c r="BB118" s="103"/>
      <c r="BC118" s="103"/>
      <c r="BD118" s="103"/>
      <c r="BE118" s="103"/>
      <c r="BF118" s="103"/>
      <c r="BG118" s="103"/>
      <c r="BH118" s="103"/>
      <c r="BI118" s="103"/>
      <c r="BJ118" s="103"/>
      <c r="BK118" s="103"/>
      <c r="BL118" s="103"/>
      <c r="BM118" s="103"/>
      <c r="BN118" s="103"/>
      <c r="BO118" s="103"/>
      <c r="BP118" s="103"/>
      <c r="BQ118" s="103"/>
      <c r="BR118" s="103"/>
      <c r="BS118" s="103"/>
      <c r="BT118" s="103"/>
      <c r="BU118" s="103"/>
      <c r="BV118" s="103"/>
      <c r="BW118" s="103"/>
      <c r="BX118" s="103"/>
      <c r="BY118" s="6"/>
      <c r="BZ118" s="6"/>
      <c r="CA118" s="6"/>
      <c r="CB118" s="6"/>
      <c r="CC118" s="6"/>
    </row>
    <row r="119" spans="1:81" x14ac:dyDescent="0.2">
      <c r="R119" s="5"/>
      <c r="S119" s="5"/>
      <c r="T119" s="5"/>
      <c r="U119" s="5"/>
      <c r="V119" s="5"/>
      <c r="W119" s="5"/>
      <c r="X119" s="5"/>
      <c r="Y119" s="5"/>
    </row>
    <row r="120" spans="1:81" x14ac:dyDescent="0.2">
      <c r="R120" s="5"/>
      <c r="S120" s="5"/>
      <c r="T120" s="5"/>
      <c r="U120" s="5"/>
      <c r="V120" s="5"/>
      <c r="W120" s="5"/>
      <c r="X120" s="5"/>
      <c r="Y120" s="5"/>
    </row>
    <row r="121" spans="1:81" x14ac:dyDescent="0.2">
      <c r="R121" s="5"/>
      <c r="S121" s="5"/>
      <c r="T121" s="5"/>
      <c r="U121" s="5"/>
      <c r="V121" s="5"/>
      <c r="W121" s="5"/>
      <c r="X121" s="5"/>
      <c r="Y121" s="5"/>
    </row>
    <row r="122" spans="1:81" x14ac:dyDescent="0.2">
      <c r="R122" s="5"/>
      <c r="S122" s="5"/>
      <c r="T122" s="5"/>
      <c r="U122" s="5"/>
      <c r="V122" s="5"/>
      <c r="W122" s="5"/>
      <c r="X122" s="5"/>
      <c r="Y122" s="5"/>
    </row>
    <row r="123" spans="1:81" x14ac:dyDescent="0.2">
      <c r="R123" s="5"/>
      <c r="S123" s="5"/>
      <c r="T123" s="5"/>
      <c r="U123" s="5"/>
      <c r="V123" s="5"/>
      <c r="W123" s="5"/>
      <c r="X123" s="5"/>
      <c r="Y123" s="5"/>
    </row>
    <row r="124" spans="1:81" x14ac:dyDescent="0.2">
      <c r="R124" s="5"/>
      <c r="S124" s="5"/>
      <c r="T124" s="5"/>
      <c r="U124" s="5"/>
      <c r="V124" s="5"/>
      <c r="W124" s="5"/>
      <c r="X124" s="5"/>
      <c r="Y124" s="5"/>
    </row>
    <row r="125" spans="1:81" x14ac:dyDescent="0.2">
      <c r="R125" s="5"/>
      <c r="S125" s="5"/>
      <c r="T125" s="5"/>
      <c r="U125" s="5"/>
      <c r="V125" s="5"/>
      <c r="W125" s="5"/>
      <c r="X125" s="5"/>
      <c r="Y125" s="5"/>
    </row>
    <row r="126" spans="1:81" x14ac:dyDescent="0.2">
      <c r="R126" s="5"/>
      <c r="S126" s="5"/>
      <c r="T126" s="5"/>
      <c r="U126" s="5"/>
      <c r="V126" s="5"/>
      <c r="W126" s="5"/>
      <c r="X126" s="5"/>
      <c r="Y126" s="5"/>
    </row>
    <row r="127" spans="1:81" x14ac:dyDescent="0.2">
      <c r="R127" s="5"/>
      <c r="S127" s="5"/>
      <c r="T127" s="5"/>
      <c r="U127" s="5"/>
      <c r="V127" s="5"/>
      <c r="W127" s="5"/>
      <c r="X127" s="5"/>
      <c r="Y127" s="5"/>
    </row>
    <row r="128" spans="1:81" x14ac:dyDescent="0.2">
      <c r="R128" s="5"/>
      <c r="S128" s="5"/>
      <c r="T128" s="5"/>
      <c r="U128" s="5"/>
      <c r="V128" s="5"/>
      <c r="W128" s="5"/>
      <c r="X128" s="5"/>
      <c r="Y128" s="5"/>
    </row>
    <row r="129" spans="18:25" x14ac:dyDescent="0.2">
      <c r="R129" s="5"/>
      <c r="S129" s="5"/>
      <c r="T129" s="5"/>
      <c r="U129" s="5"/>
      <c r="V129" s="5"/>
      <c r="W129" s="5"/>
      <c r="X129" s="5"/>
      <c r="Y129" s="5"/>
    </row>
    <row r="130" spans="18:25" x14ac:dyDescent="0.2">
      <c r="R130" s="5"/>
      <c r="S130" s="5"/>
      <c r="T130" s="5"/>
      <c r="U130" s="5"/>
      <c r="V130" s="5"/>
      <c r="W130" s="5"/>
      <c r="X130" s="5"/>
      <c r="Y130" s="5"/>
    </row>
    <row r="131" spans="18:25" x14ac:dyDescent="0.2">
      <c r="R131" s="5"/>
      <c r="S131" s="5"/>
      <c r="T131" s="5"/>
      <c r="U131" s="5"/>
      <c r="V131" s="5"/>
      <c r="W131" s="5"/>
      <c r="X131" s="5"/>
      <c r="Y131" s="5"/>
    </row>
    <row r="132" spans="18:25" x14ac:dyDescent="0.2">
      <c r="R132" s="5"/>
      <c r="S132" s="5"/>
      <c r="T132" s="5"/>
      <c r="U132" s="5"/>
      <c r="V132" s="5"/>
      <c r="W132" s="5"/>
      <c r="X132" s="5"/>
      <c r="Y132" s="5"/>
    </row>
    <row r="133" spans="18:25" x14ac:dyDescent="0.2">
      <c r="R133" s="5"/>
      <c r="S133" s="5"/>
      <c r="T133" s="5"/>
      <c r="U133" s="5"/>
      <c r="V133" s="5"/>
      <c r="W133" s="5"/>
      <c r="X133" s="5"/>
      <c r="Y133" s="5"/>
    </row>
    <row r="134" spans="18:25" x14ac:dyDescent="0.2">
      <c r="R134" s="5"/>
      <c r="S134" s="5"/>
      <c r="T134" s="5"/>
      <c r="U134" s="5"/>
      <c r="V134" s="5"/>
      <c r="W134" s="5"/>
      <c r="X134" s="5"/>
      <c r="Y134" s="5"/>
    </row>
    <row r="135" spans="18:25" x14ac:dyDescent="0.2">
      <c r="R135" s="5"/>
      <c r="S135" s="5"/>
      <c r="T135" s="5"/>
      <c r="U135" s="5"/>
      <c r="V135" s="5"/>
      <c r="W135" s="5"/>
      <c r="X135" s="5"/>
      <c r="Y135" s="5"/>
    </row>
    <row r="136" spans="18:25" x14ac:dyDescent="0.2">
      <c r="R136" s="5"/>
      <c r="S136" s="5"/>
      <c r="T136" s="5"/>
      <c r="U136" s="5"/>
      <c r="V136" s="5"/>
      <c r="W136" s="5"/>
      <c r="X136" s="5"/>
      <c r="Y136" s="5"/>
    </row>
    <row r="137" spans="18:25" x14ac:dyDescent="0.2">
      <c r="R137" s="5"/>
      <c r="S137" s="5"/>
      <c r="T137" s="5"/>
      <c r="U137" s="5"/>
      <c r="V137" s="5"/>
      <c r="W137" s="5"/>
      <c r="X137" s="5"/>
      <c r="Y137" s="5"/>
    </row>
    <row r="138" spans="18:25" x14ac:dyDescent="0.2">
      <c r="R138" s="5"/>
      <c r="S138" s="5"/>
      <c r="T138" s="5"/>
      <c r="U138" s="5"/>
      <c r="V138" s="5"/>
      <c r="W138" s="5"/>
      <c r="X138" s="5"/>
      <c r="Y138" s="5"/>
    </row>
    <row r="139" spans="18:25" x14ac:dyDescent="0.2">
      <c r="R139" s="5"/>
      <c r="S139" s="5"/>
      <c r="T139" s="5"/>
      <c r="U139" s="5"/>
      <c r="V139" s="5"/>
      <c r="W139" s="5"/>
      <c r="X139" s="5"/>
      <c r="Y139" s="5"/>
    </row>
    <row r="140" spans="18:25" x14ac:dyDescent="0.2">
      <c r="R140" s="5"/>
      <c r="S140" s="5"/>
      <c r="T140" s="5"/>
      <c r="U140" s="5"/>
      <c r="V140" s="5"/>
      <c r="W140" s="5"/>
      <c r="X140" s="5"/>
      <c r="Y140" s="5"/>
    </row>
    <row r="141" spans="18:25" x14ac:dyDescent="0.2">
      <c r="R141" s="5"/>
      <c r="S141" s="5"/>
      <c r="T141" s="5"/>
      <c r="U141" s="5"/>
      <c r="V141" s="5"/>
      <c r="W141" s="5"/>
      <c r="X141" s="5"/>
      <c r="Y141" s="5"/>
    </row>
    <row r="142" spans="18:25" x14ac:dyDescent="0.2">
      <c r="R142" s="5"/>
      <c r="S142" s="5"/>
      <c r="T142" s="5"/>
      <c r="U142" s="5"/>
      <c r="V142" s="5"/>
      <c r="W142" s="5"/>
      <c r="X142" s="5"/>
      <c r="Y142" s="5"/>
    </row>
    <row r="143" spans="18:25" x14ac:dyDescent="0.2">
      <c r="R143" s="5"/>
      <c r="S143" s="5"/>
      <c r="T143" s="5"/>
      <c r="U143" s="5"/>
      <c r="V143" s="5"/>
      <c r="W143" s="5"/>
      <c r="X143" s="5"/>
      <c r="Y143" s="5"/>
    </row>
    <row r="144" spans="18:25" x14ac:dyDescent="0.2">
      <c r="R144" s="5"/>
      <c r="S144" s="5"/>
      <c r="T144" s="5"/>
      <c r="U144" s="5"/>
      <c r="V144" s="5"/>
      <c r="W144" s="5"/>
      <c r="X144" s="5"/>
      <c r="Y144" s="5"/>
    </row>
    <row r="145" spans="18:25" x14ac:dyDescent="0.2">
      <c r="R145" s="5"/>
      <c r="S145" s="5"/>
      <c r="T145" s="5"/>
      <c r="U145" s="5"/>
      <c r="V145" s="5"/>
      <c r="W145" s="5"/>
      <c r="X145" s="5"/>
      <c r="Y145" s="5"/>
    </row>
    <row r="146" spans="18:25" x14ac:dyDescent="0.2">
      <c r="R146" s="5"/>
      <c r="S146" s="5"/>
      <c r="T146" s="5"/>
      <c r="U146" s="5"/>
      <c r="V146" s="5"/>
      <c r="W146" s="5"/>
      <c r="X146" s="5"/>
      <c r="Y146" s="5"/>
    </row>
    <row r="147" spans="18:25" x14ac:dyDescent="0.2">
      <c r="R147" s="5"/>
      <c r="S147" s="5"/>
      <c r="T147" s="5"/>
      <c r="U147" s="5"/>
      <c r="V147" s="5"/>
      <c r="W147" s="5"/>
      <c r="X147" s="5"/>
      <c r="Y147" s="5"/>
    </row>
    <row r="148" spans="18:25" x14ac:dyDescent="0.2">
      <c r="R148" s="5"/>
      <c r="S148" s="5"/>
      <c r="T148" s="5"/>
      <c r="U148" s="5"/>
      <c r="V148" s="5"/>
      <c r="W148" s="5"/>
      <c r="X148" s="5"/>
      <c r="Y148" s="5"/>
    </row>
    <row r="149" spans="18:25" x14ac:dyDescent="0.2">
      <c r="R149" s="5"/>
      <c r="S149" s="5"/>
      <c r="T149" s="5"/>
      <c r="U149" s="5"/>
      <c r="V149" s="5"/>
      <c r="W149" s="5"/>
      <c r="X149" s="5"/>
      <c r="Y149" s="5"/>
    </row>
    <row r="150" spans="18:25" x14ac:dyDescent="0.2">
      <c r="R150" s="5"/>
      <c r="S150" s="5"/>
      <c r="T150" s="5"/>
      <c r="U150" s="5"/>
      <c r="V150" s="5"/>
      <c r="W150" s="5"/>
      <c r="X150" s="5"/>
      <c r="Y150" s="5"/>
    </row>
    <row r="151" spans="18:25" x14ac:dyDescent="0.2">
      <c r="R151" s="5"/>
      <c r="S151" s="5"/>
      <c r="T151" s="5"/>
      <c r="U151" s="5"/>
      <c r="V151" s="5"/>
      <c r="W151" s="5"/>
      <c r="X151" s="5"/>
      <c r="Y151" s="5"/>
    </row>
    <row r="152" spans="18:25" x14ac:dyDescent="0.2">
      <c r="R152" s="5"/>
      <c r="S152" s="5"/>
      <c r="T152" s="5"/>
      <c r="U152" s="5"/>
      <c r="V152" s="5"/>
      <c r="W152" s="5"/>
      <c r="X152" s="5"/>
      <c r="Y152" s="5"/>
    </row>
    <row r="153" spans="18:25" x14ac:dyDescent="0.2">
      <c r="R153" s="5"/>
      <c r="S153" s="5"/>
      <c r="T153" s="5"/>
      <c r="U153" s="5"/>
      <c r="V153" s="5"/>
      <c r="W153" s="5"/>
      <c r="X153" s="5"/>
      <c r="Y153" s="5"/>
    </row>
    <row r="154" spans="18:25" x14ac:dyDescent="0.2">
      <c r="R154" s="5"/>
      <c r="S154" s="5"/>
      <c r="T154" s="5"/>
      <c r="U154" s="5"/>
      <c r="V154" s="5"/>
      <c r="W154" s="5"/>
      <c r="X154" s="5"/>
      <c r="Y154" s="5"/>
    </row>
    <row r="155" spans="18:25" x14ac:dyDescent="0.2">
      <c r="R155" s="5"/>
      <c r="S155" s="5"/>
      <c r="T155" s="5"/>
      <c r="U155" s="5"/>
      <c r="V155" s="5"/>
      <c r="W155" s="5"/>
      <c r="X155" s="5"/>
      <c r="Y155" s="5"/>
    </row>
    <row r="156" spans="18:25" x14ac:dyDescent="0.2">
      <c r="R156" s="5"/>
      <c r="S156" s="5"/>
      <c r="T156" s="5"/>
      <c r="U156" s="5"/>
      <c r="V156" s="5"/>
      <c r="W156" s="5"/>
      <c r="X156" s="5"/>
      <c r="Y156" s="5"/>
    </row>
    <row r="157" spans="18:25" x14ac:dyDescent="0.2">
      <c r="R157" s="5"/>
      <c r="S157" s="5"/>
      <c r="T157" s="5"/>
      <c r="U157" s="5"/>
      <c r="V157" s="5"/>
      <c r="W157" s="5"/>
      <c r="X157" s="5"/>
      <c r="Y157" s="5"/>
    </row>
    <row r="158" spans="18:25" x14ac:dyDescent="0.2">
      <c r="R158" s="5"/>
      <c r="S158" s="5"/>
      <c r="T158" s="5"/>
      <c r="U158" s="5"/>
      <c r="V158" s="5"/>
      <c r="W158" s="5"/>
      <c r="X158" s="5"/>
      <c r="Y158" s="5"/>
    </row>
    <row r="159" spans="18:25" x14ac:dyDescent="0.2">
      <c r="R159" s="5"/>
      <c r="S159" s="5"/>
      <c r="T159" s="5"/>
      <c r="U159" s="5"/>
      <c r="V159" s="5"/>
      <c r="W159" s="5"/>
      <c r="X159" s="5"/>
      <c r="Y159" s="5"/>
    </row>
    <row r="160" spans="18:25" x14ac:dyDescent="0.2">
      <c r="R160" s="5"/>
      <c r="S160" s="5"/>
      <c r="T160" s="5"/>
      <c r="U160" s="5"/>
      <c r="V160" s="5"/>
      <c r="W160" s="5"/>
      <c r="X160" s="5"/>
      <c r="Y160" s="5"/>
    </row>
    <row r="161" spans="18:25" x14ac:dyDescent="0.2">
      <c r="R161" s="5"/>
      <c r="S161" s="5"/>
      <c r="T161" s="5"/>
      <c r="U161" s="5"/>
      <c r="V161" s="5"/>
      <c r="W161" s="5"/>
      <c r="X161" s="5"/>
      <c r="Y161" s="5"/>
    </row>
    <row r="162" spans="18:25" x14ac:dyDescent="0.2">
      <c r="R162" s="5"/>
      <c r="S162" s="5"/>
      <c r="T162" s="5"/>
      <c r="U162" s="5"/>
      <c r="V162" s="5"/>
      <c r="W162" s="5"/>
      <c r="X162" s="5"/>
      <c r="Y162" s="5"/>
    </row>
    <row r="163" spans="18:25" x14ac:dyDescent="0.2">
      <c r="R163" s="5"/>
      <c r="S163" s="5"/>
      <c r="T163" s="5"/>
      <c r="U163" s="5"/>
      <c r="V163" s="5"/>
      <c r="W163" s="5"/>
      <c r="X163" s="5"/>
      <c r="Y163" s="5"/>
    </row>
    <row r="164" spans="18:25" x14ac:dyDescent="0.2">
      <c r="R164" s="5"/>
      <c r="S164" s="5"/>
      <c r="T164" s="5"/>
      <c r="U164" s="5"/>
      <c r="V164" s="5"/>
      <c r="W164" s="5"/>
      <c r="X164" s="5"/>
      <c r="Y164" s="5"/>
    </row>
    <row r="165" spans="18:25" x14ac:dyDescent="0.2">
      <c r="R165" s="5"/>
      <c r="S165" s="5"/>
      <c r="T165" s="5"/>
      <c r="U165" s="5"/>
      <c r="V165" s="5"/>
      <c r="W165" s="5"/>
      <c r="X165" s="5"/>
      <c r="Y165" s="5"/>
    </row>
    <row r="166" spans="18:25" x14ac:dyDescent="0.2">
      <c r="R166" s="5"/>
      <c r="S166" s="5"/>
      <c r="T166" s="5"/>
      <c r="U166" s="5"/>
      <c r="V166" s="5"/>
      <c r="W166" s="5"/>
      <c r="X166" s="5"/>
      <c r="Y166" s="5"/>
    </row>
    <row r="167" spans="18:25" x14ac:dyDescent="0.2">
      <c r="R167" s="5"/>
      <c r="S167" s="5"/>
      <c r="T167" s="5"/>
      <c r="U167" s="5"/>
      <c r="V167" s="5"/>
      <c r="W167" s="5"/>
      <c r="X167" s="5"/>
      <c r="Y167" s="5"/>
    </row>
    <row r="168" spans="18:25" x14ac:dyDescent="0.2">
      <c r="R168" s="5"/>
      <c r="S168" s="5"/>
      <c r="T168" s="5"/>
      <c r="U168" s="5"/>
      <c r="V168" s="5"/>
      <c r="W168" s="5"/>
      <c r="X168" s="5"/>
      <c r="Y168" s="5"/>
    </row>
    <row r="169" spans="18:25" x14ac:dyDescent="0.2">
      <c r="R169" s="5"/>
      <c r="S169" s="5"/>
      <c r="T169" s="5"/>
      <c r="U169" s="5"/>
      <c r="V169" s="5"/>
      <c r="W169" s="5"/>
      <c r="X169" s="5"/>
      <c r="Y169" s="5"/>
    </row>
    <row r="170" spans="18:25" x14ac:dyDescent="0.2">
      <c r="R170" s="5"/>
      <c r="S170" s="5"/>
      <c r="T170" s="5"/>
      <c r="U170" s="5"/>
      <c r="V170" s="5"/>
      <c r="W170" s="5"/>
      <c r="X170" s="5"/>
      <c r="Y170" s="5"/>
    </row>
    <row r="171" spans="18:25" x14ac:dyDescent="0.2">
      <c r="R171" s="5"/>
      <c r="S171" s="5"/>
      <c r="T171" s="5"/>
      <c r="U171" s="5"/>
      <c r="V171" s="5"/>
      <c r="W171" s="5"/>
      <c r="X171" s="5"/>
      <c r="Y171" s="5"/>
    </row>
    <row r="172" spans="18:25" x14ac:dyDescent="0.2">
      <c r="R172" s="5"/>
      <c r="S172" s="5"/>
      <c r="T172" s="5"/>
      <c r="U172" s="5"/>
      <c r="V172" s="5"/>
      <c r="W172" s="5"/>
      <c r="X172" s="5"/>
      <c r="Y172" s="5"/>
    </row>
    <row r="173" spans="18:25" x14ac:dyDescent="0.2">
      <c r="R173" s="5"/>
      <c r="S173" s="5"/>
      <c r="T173" s="5"/>
      <c r="U173" s="5"/>
      <c r="V173" s="5"/>
      <c r="W173" s="5"/>
      <c r="X173" s="5"/>
      <c r="Y173" s="5"/>
    </row>
    <row r="174" spans="18:25" x14ac:dyDescent="0.2">
      <c r="R174" s="5"/>
      <c r="S174" s="5"/>
      <c r="T174" s="5"/>
      <c r="U174" s="5"/>
      <c r="V174" s="5"/>
      <c r="W174" s="5"/>
      <c r="X174" s="5"/>
      <c r="Y174" s="5"/>
    </row>
    <row r="175" spans="18:25" x14ac:dyDescent="0.2">
      <c r="R175" s="5"/>
      <c r="S175" s="5"/>
      <c r="T175" s="5"/>
      <c r="U175" s="5"/>
      <c r="V175" s="5"/>
      <c r="W175" s="5"/>
      <c r="X175" s="5"/>
      <c r="Y175" s="5"/>
    </row>
    <row r="176" spans="18:25" x14ac:dyDescent="0.2">
      <c r="R176" s="5"/>
      <c r="S176" s="5"/>
      <c r="T176" s="5"/>
      <c r="U176" s="5"/>
      <c r="V176" s="5"/>
      <c r="W176" s="5"/>
      <c r="X176" s="5"/>
      <c r="Y176" s="5"/>
    </row>
    <row r="177" spans="18:25" x14ac:dyDescent="0.2">
      <c r="R177" s="5"/>
      <c r="S177" s="5"/>
      <c r="T177" s="5"/>
      <c r="U177" s="5"/>
      <c r="V177" s="5"/>
      <c r="W177" s="5"/>
      <c r="X177" s="5"/>
      <c r="Y177" s="5"/>
    </row>
    <row r="178" spans="18:25" x14ac:dyDescent="0.2">
      <c r="R178" s="5"/>
      <c r="S178" s="5"/>
      <c r="T178" s="5"/>
      <c r="U178" s="5"/>
      <c r="V178" s="5"/>
      <c r="W178" s="5"/>
      <c r="X178" s="5"/>
      <c r="Y178" s="5"/>
    </row>
    <row r="179" spans="18:25" x14ac:dyDescent="0.2">
      <c r="R179" s="5"/>
      <c r="S179" s="5"/>
      <c r="T179" s="5"/>
      <c r="U179" s="5"/>
      <c r="V179" s="5"/>
      <c r="W179" s="5"/>
      <c r="X179" s="5"/>
      <c r="Y179" s="5"/>
    </row>
    <row r="180" spans="18:25" x14ac:dyDescent="0.2">
      <c r="R180" s="5"/>
      <c r="S180" s="5"/>
      <c r="T180" s="5"/>
      <c r="U180" s="5"/>
      <c r="V180" s="5"/>
      <c r="W180" s="5"/>
      <c r="X180" s="5"/>
      <c r="Y180" s="5"/>
    </row>
    <row r="181" spans="18:25" x14ac:dyDescent="0.2">
      <c r="R181" s="5"/>
      <c r="S181" s="5"/>
      <c r="T181" s="5"/>
      <c r="U181" s="5"/>
      <c r="V181" s="5"/>
      <c r="W181" s="5"/>
      <c r="X181" s="5"/>
      <c r="Y181" s="5"/>
    </row>
    <row r="182" spans="18:25" x14ac:dyDescent="0.2">
      <c r="R182" s="5"/>
      <c r="S182" s="5"/>
      <c r="T182" s="5"/>
      <c r="U182" s="5"/>
      <c r="V182" s="5"/>
      <c r="W182" s="5"/>
      <c r="X182" s="5"/>
      <c r="Y182" s="5"/>
    </row>
    <row r="183" spans="18:25" x14ac:dyDescent="0.2">
      <c r="R183" s="5"/>
      <c r="S183" s="5"/>
      <c r="T183" s="5"/>
      <c r="U183" s="5"/>
      <c r="V183" s="5"/>
      <c r="W183" s="5"/>
      <c r="X183" s="5"/>
      <c r="Y183" s="5"/>
    </row>
    <row r="184" spans="18:25" x14ac:dyDescent="0.2">
      <c r="R184" s="5"/>
      <c r="S184" s="5"/>
      <c r="T184" s="5"/>
      <c r="U184" s="5"/>
      <c r="V184" s="5"/>
      <c r="W184" s="5"/>
      <c r="X184" s="5"/>
      <c r="Y184" s="5"/>
    </row>
    <row r="185" spans="18:25" x14ac:dyDescent="0.2">
      <c r="R185" s="5"/>
      <c r="S185" s="5"/>
      <c r="T185" s="5"/>
      <c r="U185" s="5"/>
      <c r="V185" s="5"/>
      <c r="W185" s="5"/>
      <c r="X185" s="5"/>
      <c r="Y185" s="5"/>
    </row>
    <row r="186" spans="18:25" x14ac:dyDescent="0.2">
      <c r="R186" s="5"/>
      <c r="S186" s="5"/>
      <c r="T186" s="5"/>
      <c r="U186" s="5"/>
      <c r="V186" s="5"/>
      <c r="W186" s="5"/>
      <c r="X186" s="5"/>
      <c r="Y186" s="5"/>
    </row>
    <row r="187" spans="18:25" x14ac:dyDescent="0.2">
      <c r="R187" s="5"/>
      <c r="S187" s="5"/>
      <c r="T187" s="5"/>
      <c r="U187" s="5"/>
      <c r="V187" s="5"/>
      <c r="W187" s="5"/>
      <c r="X187" s="5"/>
      <c r="Y187" s="5"/>
    </row>
    <row r="188" spans="18:25" x14ac:dyDescent="0.2">
      <c r="R188" s="5"/>
      <c r="S188" s="5"/>
      <c r="T188" s="5"/>
      <c r="U188" s="5"/>
      <c r="V188" s="5"/>
      <c r="W188" s="5"/>
      <c r="X188" s="5"/>
      <c r="Y188" s="5"/>
    </row>
    <row r="189" spans="18:25" x14ac:dyDescent="0.2">
      <c r="R189" s="5"/>
      <c r="S189" s="5"/>
      <c r="T189" s="5"/>
      <c r="U189" s="5"/>
      <c r="V189" s="5"/>
      <c r="W189" s="5"/>
      <c r="X189" s="5"/>
      <c r="Y189" s="5"/>
    </row>
    <row r="190" spans="18:25" x14ac:dyDescent="0.2">
      <c r="R190" s="5"/>
      <c r="S190" s="5"/>
      <c r="T190" s="5"/>
      <c r="U190" s="5"/>
      <c r="V190" s="5"/>
      <c r="W190" s="5"/>
      <c r="X190" s="5"/>
      <c r="Y190" s="5"/>
    </row>
    <row r="191" spans="18:25" x14ac:dyDescent="0.2">
      <c r="R191" s="5"/>
      <c r="S191" s="5"/>
      <c r="T191" s="5"/>
      <c r="U191" s="5"/>
      <c r="V191" s="5"/>
      <c r="W191" s="5"/>
      <c r="X191" s="5"/>
      <c r="Y191" s="5"/>
    </row>
    <row r="192" spans="18:25" x14ac:dyDescent="0.2">
      <c r="R192" s="5"/>
      <c r="S192" s="5"/>
      <c r="T192" s="5"/>
      <c r="U192" s="5"/>
      <c r="V192" s="5"/>
      <c r="W192" s="5"/>
      <c r="X192" s="5"/>
      <c r="Y192" s="5"/>
    </row>
    <row r="193" spans="18:25" x14ac:dyDescent="0.2">
      <c r="R193" s="5"/>
      <c r="S193" s="5"/>
      <c r="T193" s="5"/>
      <c r="U193" s="5"/>
      <c r="V193" s="5"/>
      <c r="W193" s="5"/>
      <c r="X193" s="5"/>
      <c r="Y193" s="5"/>
    </row>
    <row r="194" spans="18:25" x14ac:dyDescent="0.2">
      <c r="R194" s="5"/>
      <c r="S194" s="5"/>
      <c r="T194" s="5"/>
      <c r="U194" s="5"/>
      <c r="V194" s="5"/>
      <c r="W194" s="5"/>
      <c r="X194" s="5"/>
      <c r="Y194" s="5"/>
    </row>
    <row r="195" spans="18:25" x14ac:dyDescent="0.2">
      <c r="R195" s="5"/>
      <c r="S195" s="5"/>
      <c r="T195" s="5"/>
      <c r="U195" s="5"/>
      <c r="V195" s="5"/>
      <c r="W195" s="5"/>
      <c r="X195" s="5"/>
      <c r="Y195" s="5"/>
    </row>
    <row r="196" spans="18:25" x14ac:dyDescent="0.2">
      <c r="R196" s="5"/>
      <c r="S196" s="5"/>
      <c r="T196" s="5"/>
      <c r="U196" s="5"/>
      <c r="V196" s="5"/>
      <c r="W196" s="5"/>
      <c r="X196" s="5"/>
      <c r="Y196" s="5"/>
    </row>
    <row r="197" spans="18:25" x14ac:dyDescent="0.2">
      <c r="R197" s="5"/>
      <c r="S197" s="5"/>
      <c r="T197" s="5"/>
      <c r="U197" s="5"/>
      <c r="V197" s="5"/>
      <c r="W197" s="5"/>
      <c r="X197" s="5"/>
      <c r="Y197" s="5"/>
    </row>
    <row r="198" spans="18:25" x14ac:dyDescent="0.2">
      <c r="R198" s="5"/>
      <c r="S198" s="5"/>
      <c r="T198" s="5"/>
      <c r="U198" s="5"/>
      <c r="V198" s="5"/>
      <c r="W198" s="5"/>
      <c r="X198" s="5"/>
      <c r="Y198" s="5"/>
    </row>
    <row r="199" spans="18:25" x14ac:dyDescent="0.2">
      <c r="R199" s="5"/>
      <c r="S199" s="5"/>
      <c r="T199" s="5"/>
      <c r="U199" s="5"/>
      <c r="V199" s="5"/>
      <c r="W199" s="5"/>
      <c r="X199" s="5"/>
      <c r="Y199" s="5"/>
    </row>
    <row r="200" spans="18:25" x14ac:dyDescent="0.2">
      <c r="R200" s="5"/>
      <c r="S200" s="5"/>
      <c r="T200" s="5"/>
      <c r="U200" s="5"/>
      <c r="V200" s="5"/>
      <c r="W200" s="5"/>
      <c r="X200" s="5"/>
      <c r="Y200" s="5"/>
    </row>
    <row r="201" spans="18:25" x14ac:dyDescent="0.2">
      <c r="R201" s="5"/>
      <c r="S201" s="5"/>
      <c r="T201" s="5"/>
      <c r="U201" s="5"/>
      <c r="V201" s="5"/>
      <c r="W201" s="5"/>
      <c r="X201" s="5"/>
      <c r="Y201" s="5"/>
    </row>
    <row r="202" spans="18:25" x14ac:dyDescent="0.2">
      <c r="R202" s="5"/>
      <c r="S202" s="5"/>
      <c r="T202" s="5"/>
      <c r="U202" s="5"/>
      <c r="V202" s="5"/>
      <c r="W202" s="5"/>
      <c r="X202" s="5"/>
      <c r="Y202" s="5"/>
    </row>
    <row r="203" spans="18:25" x14ac:dyDescent="0.2">
      <c r="R203" s="5"/>
      <c r="S203" s="5"/>
      <c r="T203" s="5"/>
      <c r="U203" s="5"/>
      <c r="V203" s="5"/>
      <c r="W203" s="5"/>
      <c r="X203" s="5"/>
      <c r="Y203" s="5"/>
    </row>
    <row r="204" spans="18:25" x14ac:dyDescent="0.2">
      <c r="R204" s="5"/>
      <c r="S204" s="5"/>
      <c r="T204" s="5"/>
      <c r="U204" s="5"/>
      <c r="V204" s="5"/>
      <c r="W204" s="5"/>
      <c r="X204" s="5"/>
      <c r="Y204" s="5"/>
    </row>
    <row r="205" spans="18:25" x14ac:dyDescent="0.2">
      <c r="R205" s="5"/>
      <c r="S205" s="5"/>
      <c r="T205" s="5"/>
      <c r="U205" s="5"/>
      <c r="V205" s="5"/>
      <c r="W205" s="5"/>
      <c r="X205" s="5"/>
      <c r="Y205" s="5"/>
    </row>
    <row r="206" spans="18:25" x14ac:dyDescent="0.2">
      <c r="R206" s="5"/>
      <c r="S206" s="5"/>
      <c r="T206" s="5"/>
      <c r="U206" s="5"/>
      <c r="V206" s="5"/>
      <c r="W206" s="5"/>
      <c r="X206" s="5"/>
      <c r="Y206" s="5"/>
    </row>
    <row r="207" spans="18:25" x14ac:dyDescent="0.2">
      <c r="R207" s="5"/>
      <c r="S207" s="5"/>
      <c r="T207" s="5"/>
      <c r="U207" s="5"/>
      <c r="V207" s="5"/>
      <c r="W207" s="5"/>
      <c r="X207" s="5"/>
      <c r="Y207" s="5"/>
    </row>
    <row r="208" spans="18:25" x14ac:dyDescent="0.2">
      <c r="R208" s="5"/>
      <c r="S208" s="5"/>
      <c r="T208" s="5"/>
      <c r="U208" s="5"/>
      <c r="V208" s="5"/>
      <c r="W208" s="5"/>
      <c r="X208" s="5"/>
      <c r="Y208" s="5"/>
    </row>
    <row r="209" spans="18:25" x14ac:dyDescent="0.2">
      <c r="R209" s="5"/>
      <c r="S209" s="5"/>
      <c r="T209" s="5"/>
      <c r="U209" s="5"/>
      <c r="V209" s="5"/>
      <c r="W209" s="5"/>
      <c r="X209" s="5"/>
      <c r="Y209" s="5"/>
    </row>
  </sheetData>
  <dataConsolidate/>
  <mergeCells count="79">
    <mergeCell ref="BI8:BI9"/>
    <mergeCell ref="BJ8:BJ9"/>
    <mergeCell ref="BK8:BK9"/>
    <mergeCell ref="BZ8:BZ9"/>
    <mergeCell ref="BX8:BX9"/>
    <mergeCell ref="BR8:BR9"/>
    <mergeCell ref="BV8:BV9"/>
    <mergeCell ref="BU8:BU9"/>
    <mergeCell ref="BL8:BL9"/>
    <mergeCell ref="AQ7:AT7"/>
    <mergeCell ref="AE8:AE9"/>
    <mergeCell ref="BG8:BG9"/>
    <mergeCell ref="AU8:AU9"/>
    <mergeCell ref="AS8:AS9"/>
    <mergeCell ref="AU7:AV7"/>
    <mergeCell ref="BC8:BC9"/>
    <mergeCell ref="AY8:AY9"/>
    <mergeCell ref="AZ8:AZ9"/>
    <mergeCell ref="AF8:AF9"/>
    <mergeCell ref="A2:J2"/>
    <mergeCell ref="D5:E5"/>
    <mergeCell ref="AB7:AD7"/>
    <mergeCell ref="Z8:Z9"/>
    <mergeCell ref="AA8:AA9"/>
    <mergeCell ref="AB8:AB9"/>
    <mergeCell ref="L4:S5"/>
    <mergeCell ref="L2:S2"/>
    <mergeCell ref="AC8:AC9"/>
    <mergeCell ref="AD8:AD9"/>
    <mergeCell ref="A1:J1"/>
    <mergeCell ref="BQ8:BQ9"/>
    <mergeCell ref="BO8:BO9"/>
    <mergeCell ref="BM8:BM9"/>
    <mergeCell ref="BN8:BN9"/>
    <mergeCell ref="BA8:BA9"/>
    <mergeCell ref="AW8:AW9"/>
    <mergeCell ref="BB8:BB9"/>
    <mergeCell ref="AN8:AN9"/>
    <mergeCell ref="AV8:AV9"/>
    <mergeCell ref="A7:Y7"/>
    <mergeCell ref="BM7:BR7"/>
    <mergeCell ref="BY8:BY9"/>
    <mergeCell ref="A33:F33"/>
    <mergeCell ref="A28:F28"/>
    <mergeCell ref="A22:F22"/>
    <mergeCell ref="A11:D11"/>
    <mergeCell ref="A12:F12"/>
    <mergeCell ref="A23:F23"/>
    <mergeCell ref="AO8:AO9"/>
    <mergeCell ref="A18:F18"/>
    <mergeCell ref="AH8:AH9"/>
    <mergeCell ref="AQ8:AQ9"/>
    <mergeCell ref="AR8:AR9"/>
    <mergeCell ref="AK8:AK9"/>
    <mergeCell ref="AM8:AM9"/>
    <mergeCell ref="AG8:AG9"/>
    <mergeCell ref="AI8:AI9"/>
    <mergeCell ref="AP8:AP9"/>
    <mergeCell ref="AJ8:AJ9"/>
    <mergeCell ref="A8:L8"/>
    <mergeCell ref="BK7:BL7"/>
    <mergeCell ref="BT8:BT9"/>
    <mergeCell ref="BT7:BV7"/>
    <mergeCell ref="R8:Y8"/>
    <mergeCell ref="AT8:AT9"/>
    <mergeCell ref="BP8:BP9"/>
    <mergeCell ref="BD8:BD9"/>
    <mergeCell ref="BE8:BE9"/>
    <mergeCell ref="BF8:BF9"/>
    <mergeCell ref="CB8:CB9"/>
    <mergeCell ref="CC8:CC9"/>
    <mergeCell ref="Z6:CC6"/>
    <mergeCell ref="CA8:CA9"/>
    <mergeCell ref="BW8:BW9"/>
    <mergeCell ref="BX7:BY7"/>
    <mergeCell ref="BH8:BH9"/>
    <mergeCell ref="BD7:BF7"/>
    <mergeCell ref="BS8:BS9"/>
    <mergeCell ref="BH7:BJ7"/>
  </mergeCells>
  <phoneticPr fontId="21"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Sheet2.placeOrder">
                <anchor moveWithCells="1">
                  <from>
                    <xdr:col>0</xdr:col>
                    <xdr:colOff>1181100</xdr:colOff>
                    <xdr:row>1</xdr:row>
                    <xdr:rowOff>104775</xdr:rowOff>
                  </from>
                  <to>
                    <xdr:col>2</xdr:col>
                    <xdr:colOff>742950</xdr:colOff>
                    <xdr:row>1</xdr:row>
                    <xdr:rowOff>333375</xdr:rowOff>
                  </to>
                </anchor>
              </controlPr>
            </control>
          </mc:Choice>
        </mc:AlternateContent>
        <mc:AlternateContent xmlns:mc="http://schemas.openxmlformats.org/markup-compatibility/2006">
          <mc:Choice Requires="x14">
            <control shapeId="29698" r:id="rId5" name="Button 2">
              <controlPr defaultSize="0" print="0" autoFill="0" autoPict="0" macro="[0]!Sheet2.cancelOrder">
                <anchor moveWithCells="1">
                  <from>
                    <xdr:col>3</xdr:col>
                    <xdr:colOff>295275</xdr:colOff>
                    <xdr:row>1</xdr:row>
                    <xdr:rowOff>104775</xdr:rowOff>
                  </from>
                  <to>
                    <xdr:col>5</xdr:col>
                    <xdr:colOff>438150</xdr:colOff>
                    <xdr:row>1</xdr:row>
                    <xdr:rowOff>333375</xdr:rowOff>
                  </to>
                </anchor>
              </controlPr>
            </control>
          </mc:Choice>
        </mc:AlternateContent>
        <mc:AlternateContent xmlns:mc="http://schemas.openxmlformats.org/markup-compatibility/2006">
          <mc:Choice Requires="x14">
            <control shapeId="29699" r:id="rId6" name="Button 3">
              <controlPr defaultSize="0" print="0" autoFill="0" autoPict="0" macro="[0]!Sheet2.onShowError">
                <anchor moveWithCells="1">
                  <from>
                    <xdr:col>8</xdr:col>
                    <xdr:colOff>104775</xdr:colOff>
                    <xdr:row>1</xdr:row>
                    <xdr:rowOff>85725</xdr:rowOff>
                  </from>
                  <to>
                    <xdr:col>8</xdr:col>
                    <xdr:colOff>933450</xdr:colOff>
                    <xdr:row>1</xdr:row>
                    <xdr:rowOff>314325</xdr:rowOff>
                  </to>
                </anchor>
              </controlPr>
            </control>
          </mc:Choice>
        </mc:AlternateContent>
        <mc:AlternateContent xmlns:mc="http://schemas.openxmlformats.org/markup-compatibility/2006">
          <mc:Choice Requires="x14">
            <control shapeId="29700" r:id="rId7" name="Button 4">
              <controlPr defaultSize="0" print="0" autoFill="0" autoPict="0" macro="[0]!createComboLegs">
                <anchor moveWithCells="1">
                  <from>
                    <xdr:col>0</xdr:col>
                    <xdr:colOff>123825</xdr:colOff>
                    <xdr:row>1</xdr:row>
                    <xdr:rowOff>104775</xdr:rowOff>
                  </from>
                  <to>
                    <xdr:col>0</xdr:col>
                    <xdr:colOff>1000125</xdr:colOff>
                    <xdr:row>1</xdr:row>
                    <xdr:rowOff>333375</xdr:rowOff>
                  </to>
                </anchor>
              </controlPr>
            </control>
          </mc:Choice>
        </mc:AlternateContent>
        <mc:AlternateContent xmlns:mc="http://schemas.openxmlformats.org/markup-compatibility/2006">
          <mc:Choice Requires="x14">
            <control shapeId="29701" r:id="rId8" name="Button 5">
              <controlPr defaultSize="0" print="0" autoFill="0" autoPict="0" macro="[0]!Sheet2.applyTemplate">
                <anchor moveWithCells="1">
                  <from>
                    <xdr:col>6</xdr:col>
                    <xdr:colOff>85725</xdr:colOff>
                    <xdr:row>1</xdr:row>
                    <xdr:rowOff>104775</xdr:rowOff>
                  </from>
                  <to>
                    <xdr:col>8</xdr:col>
                    <xdr:colOff>38100</xdr:colOff>
                    <xdr:row>1</xdr:row>
                    <xdr:rowOff>333375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BX283"/>
  <sheetViews>
    <sheetView zoomScale="90" zoomScaleNormal="90" workbookViewId="0">
      <selection activeCell="D5" sqref="D5:E5"/>
    </sheetView>
  </sheetViews>
  <sheetFormatPr defaultRowHeight="11.25" x14ac:dyDescent="0.2"/>
  <cols>
    <col min="1" max="1" width="8.5703125" style="120" customWidth="1"/>
    <col min="2" max="2" width="5.85546875" style="120" customWidth="1"/>
    <col min="3" max="3" width="14.85546875" style="120" customWidth="1"/>
    <col min="4" max="4" width="6.42578125" style="120" customWidth="1"/>
    <col min="5" max="5" width="4.85546875" style="120" bestFit="1" customWidth="1"/>
    <col min="6" max="6" width="8.85546875" style="120" bestFit="1" customWidth="1"/>
    <col min="7" max="7" width="13.5703125" style="120" customWidth="1"/>
    <col min="8" max="8" width="11" style="120" customWidth="1"/>
    <col min="9" max="9" width="17" style="120" customWidth="1"/>
    <col min="10" max="10" width="10.42578125" style="120" bestFit="1" customWidth="1"/>
    <col min="11" max="11" width="11" style="120" customWidth="1"/>
    <col min="12" max="12" width="8.140625" style="120" bestFit="1" customWidth="1"/>
    <col min="13" max="13" width="8.5703125" style="120" customWidth="1"/>
    <col min="14" max="14" width="12" style="120" customWidth="1"/>
    <col min="15" max="15" width="9.140625" style="120"/>
    <col min="16" max="16" width="11" style="120" bestFit="1" customWidth="1"/>
    <col min="17" max="17" width="13.42578125" style="120" customWidth="1"/>
    <col min="18" max="18" width="13" style="120" customWidth="1"/>
    <col min="19" max="19" width="9.140625" style="120"/>
    <col min="20" max="20" width="9.42578125" style="120" customWidth="1"/>
    <col min="21" max="21" width="12" style="120" bestFit="1" customWidth="1"/>
    <col min="22" max="22" width="12.85546875" style="120" bestFit="1" customWidth="1"/>
    <col min="23" max="23" width="14.140625" style="120" customWidth="1"/>
    <col min="24" max="31" width="9.140625" style="120"/>
    <col min="32" max="32" width="10.140625" style="120" customWidth="1"/>
    <col min="33" max="33" width="9.140625" style="120"/>
    <col min="34" max="34" width="10" style="120" customWidth="1"/>
    <col min="35" max="42" width="9.140625" style="120"/>
    <col min="43" max="43" width="10" style="120" customWidth="1"/>
    <col min="44" max="46" width="9.140625" style="120"/>
    <col min="47" max="47" width="9.85546875" style="120" customWidth="1"/>
    <col min="48" max="48" width="10.140625" style="120" customWidth="1"/>
    <col min="49" max="59" width="9.140625" style="120"/>
    <col min="60" max="60" width="11.28515625" style="120" bestFit="1" customWidth="1"/>
    <col min="61" max="66" width="9.140625" style="120"/>
    <col min="67" max="67" width="12.140625" style="120" customWidth="1"/>
    <col min="68" max="68" width="13.28515625" style="120" customWidth="1"/>
    <col min="69" max="71" width="9.140625" style="120"/>
    <col min="72" max="72" width="12.5703125" style="120" customWidth="1"/>
    <col min="73" max="74" width="9.140625" style="120"/>
    <col min="75" max="76" width="10.7109375" style="120" customWidth="1"/>
    <col min="77" max="16384" width="9.140625" style="120"/>
  </cols>
  <sheetData>
    <row r="1" spans="1:76" ht="12.75" x14ac:dyDescent="0.2">
      <c r="A1" s="391" t="s">
        <v>47</v>
      </c>
      <c r="B1" s="392"/>
      <c r="C1" s="392"/>
      <c r="D1" s="392"/>
      <c r="E1" s="392"/>
      <c r="F1" s="392"/>
      <c r="G1" s="392"/>
      <c r="H1" s="392"/>
      <c r="I1" s="392"/>
      <c r="J1" s="392"/>
      <c r="K1" s="393"/>
    </row>
    <row r="2" spans="1:76" ht="25.5" customHeight="1" x14ac:dyDescent="0.2">
      <c r="A2" s="394"/>
      <c r="B2" s="395"/>
      <c r="C2" s="395"/>
      <c r="D2" s="395"/>
      <c r="E2" s="395"/>
      <c r="F2" s="395"/>
      <c r="G2" s="395"/>
      <c r="H2" s="395"/>
      <c r="I2" s="395"/>
      <c r="J2" s="395"/>
      <c r="K2" s="396"/>
    </row>
    <row r="3" spans="1:76" ht="11.25" customHeight="1" x14ac:dyDescent="0.2">
      <c r="J3" s="121"/>
      <c r="K3" s="121"/>
      <c r="L3" s="121"/>
      <c r="M3" s="121"/>
      <c r="N3" s="121"/>
      <c r="O3" s="121"/>
    </row>
    <row r="4" spans="1:76" ht="11.25" customHeight="1" x14ac:dyDescent="0.2">
      <c r="A4" s="401" t="s">
        <v>241</v>
      </c>
      <c r="B4" s="402"/>
      <c r="C4" s="402"/>
      <c r="D4" s="402"/>
      <c r="E4" s="402"/>
      <c r="F4" s="402"/>
      <c r="G4" s="403"/>
      <c r="I4" s="401" t="s">
        <v>304</v>
      </c>
      <c r="J4" s="396"/>
      <c r="K4" s="122"/>
      <c r="L4"/>
      <c r="M4"/>
      <c r="N4"/>
    </row>
    <row r="5" spans="1:76" ht="12.75" x14ac:dyDescent="0.2">
      <c r="A5" s="397" t="s">
        <v>58</v>
      </c>
      <c r="B5" s="398"/>
      <c r="C5" s="395"/>
      <c r="D5" s="399" t="s">
        <v>498</v>
      </c>
      <c r="E5" s="400"/>
      <c r="F5" s="123"/>
      <c r="G5" s="124"/>
      <c r="I5" s="125"/>
      <c r="J5" s="127"/>
      <c r="L5"/>
      <c r="M5"/>
      <c r="N5"/>
    </row>
    <row r="6" spans="1:76" ht="11.25" customHeight="1" x14ac:dyDescent="0.2">
      <c r="J6" s="121"/>
      <c r="K6" s="121"/>
      <c r="L6"/>
      <c r="M6"/>
      <c r="N6"/>
    </row>
    <row r="7" spans="1:76" s="144" customFormat="1" ht="11.25" customHeight="1" x14ac:dyDescent="0.2">
      <c r="A7" s="404" t="s">
        <v>307</v>
      </c>
      <c r="B7" s="405"/>
      <c r="C7" s="405"/>
      <c r="D7" s="405"/>
      <c r="E7" s="405"/>
      <c r="F7" s="405"/>
      <c r="G7" s="405"/>
      <c r="H7" s="405"/>
      <c r="I7" s="405"/>
      <c r="J7" s="405"/>
      <c r="K7" s="405"/>
      <c r="L7" s="405"/>
      <c r="M7" s="405"/>
      <c r="N7" s="405"/>
      <c r="O7" s="405"/>
      <c r="P7" s="405"/>
      <c r="Q7" s="405"/>
      <c r="R7" s="405"/>
      <c r="S7" s="405"/>
      <c r="T7" s="405"/>
      <c r="U7" s="405"/>
      <c r="V7" s="405"/>
      <c r="W7" s="405"/>
      <c r="X7" s="405"/>
      <c r="Y7" s="140"/>
      <c r="Z7" s="140"/>
      <c r="AA7" s="140"/>
      <c r="AB7" s="140"/>
      <c r="AC7" s="140"/>
      <c r="AD7" s="140"/>
      <c r="AE7" s="140"/>
      <c r="AF7" s="140"/>
      <c r="AG7" s="140"/>
      <c r="AH7" s="140"/>
      <c r="AI7" s="140"/>
      <c r="AJ7" s="140"/>
      <c r="AK7" s="141"/>
      <c r="AL7" s="140"/>
      <c r="AM7" s="142" t="s">
        <v>284</v>
      </c>
      <c r="AN7" s="142" t="s">
        <v>265</v>
      </c>
      <c r="AO7" s="380" t="s">
        <v>283</v>
      </c>
      <c r="AP7" s="381"/>
      <c r="AQ7" s="381"/>
      <c r="AR7" s="382"/>
      <c r="AS7" s="380" t="s">
        <v>281</v>
      </c>
      <c r="AT7" s="381"/>
      <c r="AU7" s="385"/>
      <c r="AV7" s="380" t="s">
        <v>295</v>
      </c>
      <c r="AW7" s="385"/>
      <c r="AX7" s="380" t="s">
        <v>282</v>
      </c>
      <c r="AY7" s="381"/>
      <c r="AZ7" s="381"/>
      <c r="BA7" s="381"/>
      <c r="BB7" s="381"/>
      <c r="BC7" s="385"/>
      <c r="BD7" s="407" t="s">
        <v>310</v>
      </c>
      <c r="BE7" s="408"/>
      <c r="BF7" s="143"/>
      <c r="BG7" s="380" t="s">
        <v>279</v>
      </c>
      <c r="BH7" s="381"/>
      <c r="BI7" s="381"/>
      <c r="BJ7" s="385"/>
      <c r="BK7" s="380" t="s">
        <v>280</v>
      </c>
      <c r="BL7" s="381"/>
      <c r="BM7" s="381"/>
      <c r="BN7" s="381"/>
      <c r="BO7" s="406"/>
      <c r="BP7" s="412" t="s">
        <v>354</v>
      </c>
      <c r="BQ7" s="268"/>
      <c r="BR7" s="140"/>
      <c r="BS7" s="380" t="s">
        <v>280</v>
      </c>
      <c r="BT7" s="410"/>
      <c r="BU7" s="140"/>
      <c r="BV7" s="140"/>
      <c r="BW7" s="140"/>
      <c r="BX7" s="140"/>
    </row>
    <row r="8" spans="1:76" s="126" customFormat="1" ht="11.25" customHeight="1" x14ac:dyDescent="0.2">
      <c r="A8" s="386" t="s">
        <v>27</v>
      </c>
      <c r="B8" s="305"/>
      <c r="C8" s="305"/>
      <c r="D8" s="305"/>
      <c r="E8" s="305"/>
      <c r="F8" s="305"/>
      <c r="G8" s="305"/>
      <c r="H8" s="305"/>
      <c r="I8" s="305"/>
      <c r="J8" s="305"/>
      <c r="K8" s="285"/>
      <c r="L8" s="389" t="s">
        <v>28</v>
      </c>
      <c r="M8" s="390"/>
      <c r="N8" s="390"/>
      <c r="O8" s="390"/>
      <c r="P8" s="390"/>
      <c r="Q8" s="386" t="s">
        <v>29</v>
      </c>
      <c r="R8" s="387"/>
      <c r="S8" s="387"/>
      <c r="T8" s="387"/>
      <c r="U8" s="387"/>
      <c r="V8" s="387"/>
      <c r="W8" s="387"/>
      <c r="X8" s="388"/>
      <c r="Y8" s="383" t="s">
        <v>266</v>
      </c>
      <c r="Z8" s="383" t="s">
        <v>157</v>
      </c>
      <c r="AA8" s="383" t="s">
        <v>135</v>
      </c>
      <c r="AB8" s="383" t="s">
        <v>136</v>
      </c>
      <c r="AC8" s="383" t="s">
        <v>315</v>
      </c>
      <c r="AD8" s="383" t="s">
        <v>314</v>
      </c>
      <c r="AE8" s="383" t="s">
        <v>96</v>
      </c>
      <c r="AF8" s="383" t="s">
        <v>97</v>
      </c>
      <c r="AG8" s="383" t="s">
        <v>366</v>
      </c>
      <c r="AH8" s="383" t="s">
        <v>316</v>
      </c>
      <c r="AI8" s="383" t="s">
        <v>367</v>
      </c>
      <c r="AJ8" s="383" t="s">
        <v>313</v>
      </c>
      <c r="AK8" s="383" t="s">
        <v>167</v>
      </c>
      <c r="AL8" s="383" t="s">
        <v>73</v>
      </c>
      <c r="AM8" s="383" t="s">
        <v>159</v>
      </c>
      <c r="AN8" s="383" t="s">
        <v>264</v>
      </c>
      <c r="AO8" s="383" t="s">
        <v>277</v>
      </c>
      <c r="AP8" s="383" t="s">
        <v>312</v>
      </c>
      <c r="AQ8" s="383" t="s">
        <v>160</v>
      </c>
      <c r="AR8" s="383" t="s">
        <v>273</v>
      </c>
      <c r="AS8" s="383" t="s">
        <v>162</v>
      </c>
      <c r="AT8" s="383" t="s">
        <v>163</v>
      </c>
      <c r="AU8" s="383" t="s">
        <v>164</v>
      </c>
      <c r="AV8" s="383" t="s">
        <v>165</v>
      </c>
      <c r="AW8" s="383" t="s">
        <v>166</v>
      </c>
      <c r="AX8" s="383" t="s">
        <v>202</v>
      </c>
      <c r="AY8" s="383" t="s">
        <v>205</v>
      </c>
      <c r="AZ8" s="383" t="s">
        <v>206</v>
      </c>
      <c r="BA8" s="383" t="s">
        <v>311</v>
      </c>
      <c r="BB8" s="383" t="s">
        <v>209</v>
      </c>
      <c r="BC8" s="383" t="s">
        <v>210</v>
      </c>
      <c r="BD8" s="383" t="s">
        <v>71</v>
      </c>
      <c r="BE8" s="383" t="s">
        <v>156</v>
      </c>
      <c r="BF8" s="383" t="s">
        <v>72</v>
      </c>
      <c r="BG8" s="383" t="s">
        <v>137</v>
      </c>
      <c r="BH8" s="383" t="s">
        <v>138</v>
      </c>
      <c r="BI8" s="383" t="s">
        <v>139</v>
      </c>
      <c r="BJ8" s="383" t="s">
        <v>140</v>
      </c>
      <c r="BK8" s="383" t="s">
        <v>267</v>
      </c>
      <c r="BL8" s="383" t="s">
        <v>268</v>
      </c>
      <c r="BM8" s="383" t="s">
        <v>158</v>
      </c>
      <c r="BN8" s="383" t="s">
        <v>274</v>
      </c>
      <c r="BO8" s="383" t="s">
        <v>275</v>
      </c>
      <c r="BP8" s="413" t="s">
        <v>342</v>
      </c>
      <c r="BQ8" s="413" t="s">
        <v>355</v>
      </c>
      <c r="BR8" s="383" t="s">
        <v>365</v>
      </c>
      <c r="BS8" s="409" t="s">
        <v>433</v>
      </c>
      <c r="BT8" s="409" t="s">
        <v>460</v>
      </c>
      <c r="BU8" s="409" t="s">
        <v>467</v>
      </c>
      <c r="BV8" s="409" t="s">
        <v>492</v>
      </c>
      <c r="BW8" s="286" t="s">
        <v>494</v>
      </c>
      <c r="BX8" s="286" t="s">
        <v>495</v>
      </c>
    </row>
    <row r="9" spans="1:76" s="126" customFormat="1" ht="11.25" customHeight="1" x14ac:dyDescent="0.2">
      <c r="A9" s="151" t="s">
        <v>9</v>
      </c>
      <c r="B9" s="151" t="s">
        <v>21</v>
      </c>
      <c r="C9" s="151" t="s">
        <v>497</v>
      </c>
      <c r="D9" s="151" t="s">
        <v>10</v>
      </c>
      <c r="E9" s="231" t="s">
        <v>23</v>
      </c>
      <c r="F9" s="151" t="s">
        <v>86</v>
      </c>
      <c r="G9" s="151" t="s">
        <v>85</v>
      </c>
      <c r="H9" s="232" t="s">
        <v>12</v>
      </c>
      <c r="I9" s="233" t="s">
        <v>143</v>
      </c>
      <c r="J9" s="232" t="s">
        <v>40</v>
      </c>
      <c r="K9" s="232"/>
      <c r="L9" s="232" t="s">
        <v>13</v>
      </c>
      <c r="M9" s="151" t="s">
        <v>14</v>
      </c>
      <c r="N9" s="151" t="s">
        <v>15</v>
      </c>
      <c r="O9" s="151" t="s">
        <v>16</v>
      </c>
      <c r="P9" s="151" t="s">
        <v>17</v>
      </c>
      <c r="Q9" s="151" t="s">
        <v>22</v>
      </c>
      <c r="R9" s="151" t="s">
        <v>24</v>
      </c>
      <c r="S9" s="151" t="s">
        <v>18</v>
      </c>
      <c r="T9" s="151" t="s">
        <v>19</v>
      </c>
      <c r="U9" s="151" t="s">
        <v>20</v>
      </c>
      <c r="V9" s="151" t="s">
        <v>114</v>
      </c>
      <c r="W9" s="151" t="s">
        <v>115</v>
      </c>
      <c r="X9" s="151" t="s">
        <v>83</v>
      </c>
      <c r="Y9" s="384"/>
      <c r="Z9" s="384"/>
      <c r="AA9" s="384"/>
      <c r="AB9" s="384"/>
      <c r="AC9" s="384"/>
      <c r="AD9" s="384"/>
      <c r="AE9" s="384"/>
      <c r="AF9" s="384"/>
      <c r="AG9" s="384"/>
      <c r="AH9" s="384"/>
      <c r="AI9" s="384"/>
      <c r="AJ9" s="384"/>
      <c r="AK9" s="384"/>
      <c r="AL9" s="384"/>
      <c r="AM9" s="384"/>
      <c r="AN9" s="384"/>
      <c r="AO9" s="384"/>
      <c r="AP9" s="384"/>
      <c r="AQ9" s="384"/>
      <c r="AR9" s="384"/>
      <c r="AS9" s="384"/>
      <c r="AT9" s="384"/>
      <c r="AU9" s="384"/>
      <c r="AV9" s="384"/>
      <c r="AW9" s="384"/>
      <c r="AX9" s="384"/>
      <c r="AY9" s="384"/>
      <c r="AZ9" s="384"/>
      <c r="BA9" s="384"/>
      <c r="BB9" s="384"/>
      <c r="BC9" s="384"/>
      <c r="BD9" s="384"/>
      <c r="BE9" s="384"/>
      <c r="BF9" s="384"/>
      <c r="BG9" s="384"/>
      <c r="BH9" s="384"/>
      <c r="BI9" s="384"/>
      <c r="BJ9" s="384"/>
      <c r="BK9" s="384"/>
      <c r="BL9" s="384"/>
      <c r="BM9" s="384"/>
      <c r="BN9" s="384"/>
      <c r="BO9" s="384"/>
      <c r="BP9" s="414"/>
      <c r="BQ9" s="414"/>
      <c r="BR9" s="384"/>
      <c r="BS9" s="411"/>
      <c r="BT9" s="411"/>
      <c r="BU9" s="379"/>
      <c r="BV9" s="379"/>
      <c r="BW9" s="379"/>
      <c r="BX9" s="379"/>
    </row>
    <row r="10" spans="1:76" s="126" customFormat="1" ht="11.25" customHeight="1" x14ac:dyDescent="0.2">
      <c r="A10" s="5"/>
      <c r="B10" s="5"/>
      <c r="C10" s="5"/>
      <c r="D10" s="5"/>
      <c r="E10" s="5"/>
      <c r="F10" s="5"/>
      <c r="G10" s="5"/>
      <c r="H10" s="5"/>
      <c r="I10" s="5"/>
      <c r="J10" s="5"/>
      <c r="K10" s="5"/>
      <c r="L10" s="213"/>
      <c r="M10" s="213"/>
      <c r="N10" s="213"/>
      <c r="O10" s="213"/>
      <c r="P10" s="213"/>
      <c r="Q10" s="5"/>
      <c r="R10" s="5"/>
      <c r="S10" s="5"/>
      <c r="T10" s="5"/>
      <c r="U10" s="5"/>
      <c r="V10" s="5"/>
      <c r="W10" s="5"/>
      <c r="X10" s="5"/>
      <c r="Y10" s="213"/>
      <c r="Z10" s="213"/>
      <c r="AA10" s="213"/>
      <c r="AB10" s="213"/>
      <c r="AC10" s="213"/>
      <c r="AD10" s="213"/>
      <c r="AE10" s="213"/>
      <c r="AF10" s="213"/>
      <c r="AG10" s="213"/>
      <c r="AH10" s="213"/>
      <c r="AI10" s="213"/>
      <c r="AJ10" s="213"/>
      <c r="AK10" s="213"/>
      <c r="AL10" s="213"/>
      <c r="AM10" s="213"/>
      <c r="AN10" s="213"/>
      <c r="AO10" s="213"/>
      <c r="AP10" s="213"/>
      <c r="AQ10" s="213"/>
      <c r="AR10" s="213"/>
      <c r="AS10" s="213"/>
      <c r="AT10" s="213"/>
      <c r="AU10" s="213"/>
      <c r="AV10" s="213"/>
      <c r="AW10" s="213"/>
      <c r="AX10" s="213"/>
      <c r="AY10" s="213"/>
      <c r="AZ10" s="213"/>
      <c r="BA10" s="213"/>
      <c r="BB10" s="213"/>
      <c r="BC10" s="213"/>
      <c r="BD10" s="213"/>
      <c r="BE10" s="213"/>
      <c r="BF10" s="213"/>
      <c r="BG10" s="213"/>
      <c r="BH10" s="213"/>
      <c r="BI10" s="213"/>
      <c r="BJ10" s="213"/>
      <c r="BK10" s="213"/>
      <c r="BL10" s="213"/>
      <c r="BM10" s="213"/>
      <c r="BN10" s="213"/>
      <c r="BO10" s="213"/>
      <c r="BP10" s="213"/>
      <c r="BQ10" s="213"/>
      <c r="BR10" s="213"/>
      <c r="BS10" s="213"/>
      <c r="BT10" s="213"/>
      <c r="BU10" s="213"/>
      <c r="BV10" s="213"/>
      <c r="BW10" s="213"/>
      <c r="BX10" s="213"/>
    </row>
    <row r="11" spans="1:76" s="126" customFormat="1" ht="11.25" customHeight="1" x14ac:dyDescent="0.2">
      <c r="A11" s="5"/>
      <c r="B11" s="5"/>
      <c r="C11" s="5"/>
      <c r="D11" s="5"/>
      <c r="E11" s="5"/>
      <c r="F11" s="5"/>
      <c r="G11" s="5"/>
      <c r="H11" s="5"/>
      <c r="I11" s="5"/>
      <c r="J11" s="5"/>
      <c r="K11" s="5"/>
      <c r="L11" s="213"/>
      <c r="M11" s="213"/>
      <c r="N11" s="213"/>
      <c r="O11" s="213"/>
      <c r="P11" s="213"/>
      <c r="Q11" s="5"/>
      <c r="R11" s="5"/>
      <c r="S11" s="5"/>
      <c r="T11" s="5"/>
      <c r="U11" s="5"/>
      <c r="V11" s="5"/>
      <c r="W11" s="5"/>
      <c r="X11" s="5"/>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c r="BO11" s="213"/>
      <c r="BP11" s="213"/>
      <c r="BQ11" s="213"/>
      <c r="BR11" s="213"/>
      <c r="BS11" s="213"/>
      <c r="BT11" s="213"/>
      <c r="BU11" s="213"/>
      <c r="BV11" s="213"/>
      <c r="BW11" s="213"/>
      <c r="BX11" s="213"/>
    </row>
    <row r="12" spans="1:76" s="126" customFormat="1" ht="11.25" customHeight="1" x14ac:dyDescent="0.2">
      <c r="A12" s="5"/>
      <c r="B12" s="5"/>
      <c r="C12" s="5"/>
      <c r="D12" s="5"/>
      <c r="E12" s="5"/>
      <c r="F12" s="5"/>
      <c r="G12" s="5"/>
      <c r="H12" s="5"/>
      <c r="I12" s="5"/>
      <c r="J12" s="5"/>
      <c r="K12" s="5"/>
      <c r="L12" s="213"/>
      <c r="M12" s="213"/>
      <c r="N12" s="213"/>
      <c r="O12" s="213"/>
      <c r="P12" s="213"/>
      <c r="Q12" s="5"/>
      <c r="R12" s="5"/>
      <c r="S12" s="5"/>
      <c r="T12" s="5"/>
      <c r="U12" s="5"/>
      <c r="V12" s="5"/>
      <c r="W12" s="5"/>
      <c r="X12" s="5"/>
      <c r="Y12" s="213"/>
      <c r="Z12" s="213"/>
      <c r="AA12" s="213"/>
      <c r="AB12" s="213"/>
      <c r="AC12" s="213"/>
      <c r="AD12" s="213"/>
      <c r="AE12" s="213"/>
      <c r="AF12" s="213"/>
      <c r="AG12" s="213"/>
      <c r="AH12" s="213"/>
      <c r="AI12" s="213"/>
      <c r="AJ12" s="213"/>
      <c r="AK12" s="213"/>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213"/>
      <c r="BJ12" s="213"/>
      <c r="BK12" s="213"/>
      <c r="BL12" s="213"/>
      <c r="BM12" s="213"/>
      <c r="BN12" s="213"/>
      <c r="BO12" s="213"/>
      <c r="BP12" s="213"/>
      <c r="BQ12" s="213"/>
      <c r="BR12" s="213"/>
      <c r="BS12" s="213"/>
      <c r="BT12" s="213"/>
      <c r="BU12" s="213"/>
      <c r="BV12" s="213"/>
      <c r="BW12" s="213"/>
      <c r="BX12" s="213"/>
    </row>
    <row r="13" spans="1:76" s="126" customFormat="1" ht="11.25" customHeight="1" x14ac:dyDescent="0.2">
      <c r="A13" s="5"/>
      <c r="B13" s="5"/>
      <c r="C13" s="5"/>
      <c r="D13" s="5"/>
      <c r="E13" s="5"/>
      <c r="F13" s="5"/>
      <c r="G13" s="5"/>
      <c r="H13" s="5"/>
      <c r="I13" s="5"/>
      <c r="J13" s="5"/>
      <c r="K13" s="5"/>
      <c r="L13" s="213"/>
      <c r="M13" s="213"/>
      <c r="N13" s="213"/>
      <c r="O13" s="213"/>
      <c r="P13" s="213"/>
      <c r="Q13" s="5"/>
      <c r="R13" s="5"/>
      <c r="S13" s="5"/>
      <c r="T13" s="5"/>
      <c r="U13" s="5"/>
      <c r="V13" s="5"/>
      <c r="W13" s="5"/>
      <c r="X13" s="5"/>
      <c r="Y13" s="213"/>
      <c r="Z13" s="213"/>
      <c r="AA13" s="213"/>
      <c r="AB13" s="213"/>
      <c r="AC13" s="213"/>
      <c r="AD13" s="213"/>
      <c r="AE13" s="213"/>
      <c r="AF13" s="213"/>
      <c r="AG13" s="213"/>
      <c r="AH13" s="213"/>
      <c r="AI13" s="213"/>
      <c r="AJ13" s="213"/>
      <c r="AK13" s="213"/>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3"/>
      <c r="BI13" s="213"/>
      <c r="BJ13" s="213"/>
      <c r="BK13" s="213"/>
      <c r="BL13" s="213"/>
      <c r="BM13" s="213"/>
      <c r="BN13" s="213"/>
      <c r="BO13" s="213"/>
      <c r="BP13" s="213"/>
      <c r="BQ13" s="213"/>
      <c r="BR13" s="213"/>
      <c r="BS13" s="213"/>
      <c r="BT13" s="213"/>
      <c r="BU13" s="213"/>
      <c r="BV13" s="213"/>
      <c r="BW13" s="213"/>
      <c r="BX13" s="213"/>
    </row>
    <row r="14" spans="1:76" s="126" customFormat="1" ht="11.25" customHeight="1" x14ac:dyDescent="0.2">
      <c r="A14" s="5"/>
      <c r="B14" s="5"/>
      <c r="C14" s="5"/>
      <c r="D14" s="5"/>
      <c r="E14" s="5"/>
      <c r="F14" s="5"/>
      <c r="G14" s="5"/>
      <c r="H14" s="5"/>
      <c r="I14" s="5"/>
      <c r="J14" s="5"/>
      <c r="K14" s="5"/>
      <c r="L14" s="213"/>
      <c r="M14" s="213"/>
      <c r="N14" s="213"/>
      <c r="O14" s="213"/>
      <c r="P14" s="213"/>
      <c r="Q14" s="5"/>
      <c r="R14" s="5"/>
      <c r="S14" s="5"/>
      <c r="T14" s="5"/>
      <c r="U14" s="5"/>
      <c r="V14" s="5"/>
      <c r="W14" s="5"/>
      <c r="X14" s="5"/>
      <c r="Y14" s="213"/>
      <c r="Z14" s="213"/>
      <c r="AA14" s="213"/>
      <c r="AB14" s="213"/>
      <c r="AC14" s="213"/>
      <c r="AD14" s="213"/>
      <c r="AE14" s="213"/>
      <c r="AF14" s="213"/>
      <c r="AG14" s="213"/>
      <c r="AH14" s="213"/>
      <c r="AI14" s="213"/>
      <c r="AJ14" s="213"/>
      <c r="AK14" s="213"/>
      <c r="AL14" s="213"/>
      <c r="AM14" s="213"/>
      <c r="AN14" s="213"/>
      <c r="AO14" s="213"/>
      <c r="AP14" s="213"/>
      <c r="AQ14" s="213"/>
      <c r="AR14" s="213"/>
      <c r="AS14" s="213"/>
      <c r="AT14" s="213"/>
      <c r="AU14" s="213"/>
      <c r="AV14" s="213"/>
      <c r="AW14" s="213"/>
      <c r="AX14" s="213"/>
      <c r="AY14" s="213"/>
      <c r="AZ14" s="213"/>
      <c r="BA14" s="213"/>
      <c r="BB14" s="213"/>
      <c r="BC14" s="213"/>
      <c r="BD14" s="213"/>
      <c r="BE14" s="213"/>
      <c r="BF14" s="213"/>
      <c r="BG14" s="213"/>
      <c r="BH14" s="213"/>
      <c r="BI14" s="213"/>
      <c r="BJ14" s="213"/>
      <c r="BK14" s="213"/>
      <c r="BL14" s="213"/>
      <c r="BM14" s="213"/>
      <c r="BN14" s="213"/>
      <c r="BO14" s="213"/>
      <c r="BP14" s="213"/>
      <c r="BQ14" s="213"/>
      <c r="BR14" s="213"/>
      <c r="BS14" s="213"/>
      <c r="BT14" s="213"/>
      <c r="BU14" s="213"/>
      <c r="BV14" s="213"/>
      <c r="BW14" s="213"/>
      <c r="BX14" s="213"/>
    </row>
    <row r="15" spans="1:76" s="126" customFormat="1" ht="11.25" customHeight="1" x14ac:dyDescent="0.2">
      <c r="A15" s="5"/>
      <c r="B15" s="5"/>
      <c r="C15" s="5"/>
      <c r="D15" s="5"/>
      <c r="E15" s="5"/>
      <c r="F15" s="5"/>
      <c r="G15" s="5"/>
      <c r="H15" s="5"/>
      <c r="I15" s="5"/>
      <c r="J15" s="5"/>
      <c r="K15" s="5"/>
      <c r="L15" s="213"/>
      <c r="M15" s="213"/>
      <c r="N15" s="213"/>
      <c r="O15" s="213"/>
      <c r="P15" s="213"/>
      <c r="Q15" s="5"/>
      <c r="R15" s="5"/>
      <c r="S15" s="5"/>
      <c r="T15" s="5"/>
      <c r="U15" s="5"/>
      <c r="V15" s="5"/>
      <c r="W15" s="5"/>
      <c r="X15" s="5"/>
      <c r="Y15" s="213"/>
      <c r="Z15" s="213"/>
      <c r="AA15" s="213"/>
      <c r="AB15" s="213"/>
      <c r="AC15" s="213"/>
      <c r="AD15" s="213"/>
      <c r="AE15" s="213"/>
      <c r="AF15" s="213"/>
      <c r="AG15" s="213"/>
      <c r="AH15" s="213"/>
      <c r="AI15" s="213"/>
      <c r="AJ15" s="213"/>
      <c r="AK15" s="213"/>
      <c r="AL15" s="213"/>
      <c r="AM15" s="213"/>
      <c r="AN15" s="213"/>
      <c r="AO15" s="213"/>
      <c r="AP15" s="213"/>
      <c r="AQ15" s="213"/>
      <c r="AR15" s="213"/>
      <c r="AS15" s="213"/>
      <c r="AT15" s="213"/>
      <c r="AU15" s="213"/>
      <c r="AV15" s="213"/>
      <c r="AW15" s="213"/>
      <c r="AX15" s="213"/>
      <c r="AY15" s="213"/>
      <c r="AZ15" s="213"/>
      <c r="BA15" s="213"/>
      <c r="BB15" s="213"/>
      <c r="BC15" s="213"/>
      <c r="BD15" s="213"/>
      <c r="BE15" s="213"/>
      <c r="BF15" s="213"/>
      <c r="BG15" s="213"/>
      <c r="BH15" s="213"/>
      <c r="BI15" s="213"/>
      <c r="BJ15" s="213"/>
      <c r="BK15" s="213"/>
      <c r="BL15" s="213"/>
      <c r="BM15" s="213"/>
      <c r="BN15" s="213"/>
      <c r="BO15" s="213"/>
      <c r="BP15" s="213"/>
      <c r="BQ15" s="213"/>
      <c r="BR15" s="213"/>
      <c r="BS15" s="213"/>
      <c r="BT15" s="213"/>
      <c r="BU15" s="213"/>
      <c r="BV15" s="213"/>
      <c r="BW15" s="213"/>
      <c r="BX15" s="213"/>
    </row>
    <row r="16" spans="1:76" s="126" customFormat="1" ht="11.25" customHeight="1" x14ac:dyDescent="0.2">
      <c r="A16" s="5"/>
      <c r="B16" s="5"/>
      <c r="C16" s="5"/>
      <c r="D16" s="5"/>
      <c r="E16" s="5"/>
      <c r="F16" s="5"/>
      <c r="G16" s="5"/>
      <c r="H16" s="5"/>
      <c r="I16" s="5"/>
      <c r="J16" s="5"/>
      <c r="K16" s="5"/>
      <c r="L16" s="213"/>
      <c r="M16" s="213"/>
      <c r="N16" s="213"/>
      <c r="O16" s="213"/>
      <c r="P16" s="213"/>
      <c r="Q16" s="5"/>
      <c r="R16" s="5"/>
      <c r="S16" s="5"/>
      <c r="T16" s="5"/>
      <c r="U16" s="5"/>
      <c r="V16" s="5"/>
      <c r="W16" s="5"/>
      <c r="X16" s="5"/>
      <c r="Y16" s="213"/>
      <c r="Z16" s="213"/>
      <c r="AA16" s="213"/>
      <c r="AB16" s="213"/>
      <c r="AC16" s="213"/>
      <c r="AD16" s="213"/>
      <c r="AE16" s="213"/>
      <c r="AF16" s="213"/>
      <c r="AG16" s="213"/>
      <c r="AH16" s="213"/>
      <c r="AI16" s="213"/>
      <c r="AJ16" s="213"/>
      <c r="AK16" s="213"/>
      <c r="AL16" s="213"/>
      <c r="AM16" s="213"/>
      <c r="AN16" s="213"/>
      <c r="AO16" s="213"/>
      <c r="AP16" s="213"/>
      <c r="AQ16" s="213"/>
      <c r="AR16" s="213"/>
      <c r="AS16" s="213"/>
      <c r="AT16" s="213"/>
      <c r="AU16" s="213"/>
      <c r="AV16" s="213"/>
      <c r="AW16" s="213"/>
      <c r="AX16" s="213"/>
      <c r="AY16" s="213"/>
      <c r="AZ16" s="213"/>
      <c r="BA16" s="213"/>
      <c r="BB16" s="213"/>
      <c r="BC16" s="213"/>
      <c r="BD16" s="213"/>
      <c r="BE16" s="213"/>
      <c r="BF16" s="213"/>
      <c r="BG16" s="213"/>
      <c r="BH16" s="213"/>
      <c r="BI16" s="213"/>
      <c r="BJ16" s="213"/>
      <c r="BK16" s="213"/>
      <c r="BL16" s="213"/>
      <c r="BM16" s="213"/>
      <c r="BN16" s="213"/>
      <c r="BO16" s="213"/>
      <c r="BP16" s="213"/>
      <c r="BQ16" s="213"/>
      <c r="BR16" s="213"/>
      <c r="BS16" s="213"/>
      <c r="BT16" s="213"/>
      <c r="BU16" s="213"/>
      <c r="BV16" s="213"/>
      <c r="BW16" s="213"/>
      <c r="BX16" s="213"/>
    </row>
    <row r="17" spans="1:76" s="126" customFormat="1" ht="11.25" customHeight="1" x14ac:dyDescent="0.2">
      <c r="A17" s="5"/>
      <c r="B17" s="5"/>
      <c r="C17" s="5"/>
      <c r="D17" s="5"/>
      <c r="E17" s="5"/>
      <c r="F17" s="5"/>
      <c r="G17" s="5"/>
      <c r="H17" s="5"/>
      <c r="I17" s="5"/>
      <c r="J17" s="5"/>
      <c r="K17" s="5"/>
      <c r="L17" s="213"/>
      <c r="M17" s="213"/>
      <c r="N17" s="213"/>
      <c r="O17" s="213"/>
      <c r="P17" s="213"/>
      <c r="Q17" s="5"/>
      <c r="R17" s="5"/>
      <c r="S17" s="5"/>
      <c r="T17" s="5"/>
      <c r="U17" s="5"/>
      <c r="V17" s="5"/>
      <c r="W17" s="5"/>
      <c r="X17" s="5"/>
      <c r="Y17" s="213"/>
      <c r="Z17" s="213"/>
      <c r="AA17" s="213"/>
      <c r="AB17" s="213"/>
      <c r="AC17" s="213"/>
      <c r="AD17" s="213"/>
      <c r="AE17" s="213"/>
      <c r="AF17" s="213"/>
      <c r="AG17" s="213"/>
      <c r="AH17" s="213"/>
      <c r="AI17" s="213"/>
      <c r="AJ17" s="213"/>
      <c r="AK17" s="213"/>
      <c r="AL17" s="213"/>
      <c r="AM17" s="213"/>
      <c r="AN17" s="213"/>
      <c r="AO17" s="213"/>
      <c r="AP17" s="213"/>
      <c r="AQ17" s="213"/>
      <c r="AR17" s="213"/>
      <c r="AS17" s="213"/>
      <c r="AT17" s="213"/>
      <c r="AU17" s="213"/>
      <c r="AV17" s="213"/>
      <c r="AW17" s="213"/>
      <c r="AX17" s="213"/>
      <c r="AY17" s="213"/>
      <c r="AZ17" s="213"/>
      <c r="BA17" s="213"/>
      <c r="BB17" s="213"/>
      <c r="BC17" s="213"/>
      <c r="BD17" s="213"/>
      <c r="BE17" s="213"/>
      <c r="BF17" s="213"/>
      <c r="BG17" s="213"/>
      <c r="BH17" s="213"/>
      <c r="BI17" s="213"/>
      <c r="BJ17" s="213"/>
      <c r="BK17" s="213"/>
      <c r="BL17" s="213"/>
      <c r="BM17" s="213"/>
      <c r="BN17" s="213"/>
      <c r="BO17" s="213"/>
      <c r="BP17" s="213"/>
      <c r="BQ17" s="213"/>
      <c r="BR17" s="213"/>
      <c r="BS17" s="213"/>
      <c r="BT17" s="213"/>
      <c r="BU17" s="213"/>
      <c r="BV17" s="213"/>
      <c r="BW17" s="213"/>
      <c r="BX17" s="213"/>
    </row>
    <row r="18" spans="1:76" s="126" customFormat="1" ht="11.25" customHeight="1" x14ac:dyDescent="0.2">
      <c r="A18" s="5"/>
      <c r="B18" s="5"/>
      <c r="C18" s="5"/>
      <c r="D18" s="5"/>
      <c r="E18" s="5"/>
      <c r="F18" s="5"/>
      <c r="G18" s="5"/>
      <c r="H18" s="5"/>
      <c r="I18" s="5"/>
      <c r="J18" s="5"/>
      <c r="K18" s="5"/>
      <c r="L18" s="213"/>
      <c r="M18" s="213"/>
      <c r="N18" s="213"/>
      <c r="O18" s="213"/>
      <c r="P18" s="213"/>
      <c r="Q18" s="5"/>
      <c r="R18" s="5"/>
      <c r="S18" s="5"/>
      <c r="T18" s="5"/>
      <c r="U18" s="5"/>
      <c r="V18" s="5"/>
      <c r="W18" s="5"/>
      <c r="X18" s="5"/>
      <c r="Y18" s="213"/>
      <c r="Z18" s="213"/>
      <c r="AA18" s="213"/>
      <c r="AB18" s="213"/>
      <c r="AC18" s="213"/>
      <c r="AD18" s="213"/>
      <c r="AE18" s="213"/>
      <c r="AF18" s="213"/>
      <c r="AG18" s="213"/>
      <c r="AH18" s="213"/>
      <c r="AI18" s="213"/>
      <c r="AJ18" s="213"/>
      <c r="AK18" s="213"/>
      <c r="AL18" s="213"/>
      <c r="AM18" s="213"/>
      <c r="AN18" s="213"/>
      <c r="AO18" s="213"/>
      <c r="AP18" s="213"/>
      <c r="AQ18" s="213"/>
      <c r="AR18" s="213"/>
      <c r="AS18" s="213"/>
      <c r="AT18" s="213"/>
      <c r="AU18" s="213"/>
      <c r="AV18" s="213"/>
      <c r="AW18" s="213"/>
      <c r="AX18" s="213"/>
      <c r="AY18" s="213"/>
      <c r="AZ18" s="213"/>
      <c r="BA18" s="213"/>
      <c r="BB18" s="213"/>
      <c r="BC18" s="213"/>
      <c r="BD18" s="213"/>
      <c r="BE18" s="213"/>
      <c r="BF18" s="213"/>
      <c r="BG18" s="213"/>
      <c r="BH18" s="213"/>
      <c r="BI18" s="213"/>
      <c r="BJ18" s="213"/>
      <c r="BK18" s="213"/>
      <c r="BL18" s="213"/>
      <c r="BM18" s="213"/>
      <c r="BN18" s="213"/>
      <c r="BO18" s="213"/>
      <c r="BP18" s="213"/>
      <c r="BQ18" s="213"/>
      <c r="BR18" s="213"/>
      <c r="BS18" s="213"/>
      <c r="BT18" s="213"/>
      <c r="BU18" s="213"/>
      <c r="BV18" s="213"/>
      <c r="BW18" s="213"/>
      <c r="BX18" s="213"/>
    </row>
    <row r="19" spans="1:76" s="126" customFormat="1" ht="11.25" customHeight="1" x14ac:dyDescent="0.2">
      <c r="A19" s="5"/>
      <c r="B19" s="5"/>
      <c r="C19" s="5"/>
      <c r="D19" s="5"/>
      <c r="E19" s="5"/>
      <c r="F19" s="5"/>
      <c r="G19" s="5"/>
      <c r="H19" s="5"/>
      <c r="I19" s="5"/>
      <c r="J19" s="5"/>
      <c r="K19" s="5"/>
      <c r="L19" s="213"/>
      <c r="M19" s="213"/>
      <c r="N19" s="213"/>
      <c r="O19" s="213"/>
      <c r="P19" s="213"/>
      <c r="Q19" s="5"/>
      <c r="R19" s="5"/>
      <c r="S19" s="5"/>
      <c r="T19" s="5"/>
      <c r="U19" s="5"/>
      <c r="V19" s="5"/>
      <c r="W19" s="5"/>
      <c r="X19" s="5"/>
      <c r="Y19" s="213"/>
      <c r="Z19" s="213"/>
      <c r="AA19" s="213"/>
      <c r="AB19" s="213"/>
      <c r="AC19" s="213"/>
      <c r="AD19" s="213"/>
      <c r="AE19" s="213"/>
      <c r="AF19" s="213"/>
      <c r="AG19" s="213"/>
      <c r="AH19" s="213"/>
      <c r="AI19" s="213"/>
      <c r="AJ19" s="213"/>
      <c r="AK19" s="213"/>
      <c r="AL19" s="213"/>
      <c r="AM19" s="213"/>
      <c r="AN19" s="213"/>
      <c r="AO19" s="213"/>
      <c r="AP19" s="213"/>
      <c r="AQ19" s="213"/>
      <c r="AR19" s="213"/>
      <c r="AS19" s="213"/>
      <c r="AT19" s="213"/>
      <c r="AU19" s="213"/>
      <c r="AV19" s="213"/>
      <c r="AW19" s="213"/>
      <c r="AX19" s="213"/>
      <c r="AY19" s="213"/>
      <c r="AZ19" s="213"/>
      <c r="BA19" s="213"/>
      <c r="BB19" s="213"/>
      <c r="BC19" s="213"/>
      <c r="BD19" s="213"/>
      <c r="BE19" s="213"/>
      <c r="BF19" s="213"/>
      <c r="BG19" s="213"/>
      <c r="BH19" s="213"/>
      <c r="BI19" s="213"/>
      <c r="BJ19" s="213"/>
      <c r="BK19" s="213"/>
      <c r="BL19" s="213"/>
      <c r="BM19" s="213"/>
      <c r="BN19" s="213"/>
      <c r="BO19" s="213"/>
      <c r="BP19" s="213"/>
      <c r="BQ19" s="213"/>
      <c r="BR19" s="213"/>
      <c r="BS19" s="213"/>
      <c r="BT19" s="213"/>
      <c r="BU19" s="213"/>
      <c r="BV19" s="213"/>
      <c r="BW19" s="213"/>
      <c r="BX19" s="213"/>
    </row>
    <row r="20" spans="1:76" s="126" customFormat="1" ht="11.25" customHeight="1" x14ac:dyDescent="0.2">
      <c r="A20" s="5"/>
      <c r="B20" s="5"/>
      <c r="C20" s="5"/>
      <c r="D20" s="5"/>
      <c r="E20" s="5"/>
      <c r="F20" s="5"/>
      <c r="G20" s="5"/>
      <c r="H20" s="5"/>
      <c r="I20" s="5"/>
      <c r="J20" s="5"/>
      <c r="K20" s="5"/>
      <c r="L20" s="213"/>
      <c r="M20" s="213"/>
      <c r="N20" s="213"/>
      <c r="O20" s="213"/>
      <c r="P20" s="213"/>
      <c r="Q20" s="5"/>
      <c r="R20" s="5"/>
      <c r="S20" s="5"/>
      <c r="T20" s="5"/>
      <c r="U20" s="5"/>
      <c r="V20" s="5"/>
      <c r="W20" s="5"/>
      <c r="X20" s="5"/>
      <c r="Y20" s="213"/>
      <c r="Z20" s="213"/>
      <c r="AA20" s="213"/>
      <c r="AB20" s="213"/>
      <c r="AC20" s="213"/>
      <c r="AD20" s="213"/>
      <c r="AE20" s="213"/>
      <c r="AF20" s="213"/>
      <c r="AG20" s="213"/>
      <c r="AH20" s="213"/>
      <c r="AI20" s="213"/>
      <c r="AJ20" s="213"/>
      <c r="AK20" s="213"/>
      <c r="AL20" s="213"/>
      <c r="AM20" s="213"/>
      <c r="AN20" s="213"/>
      <c r="AO20" s="213"/>
      <c r="AP20" s="213"/>
      <c r="AQ20" s="213"/>
      <c r="AR20" s="213"/>
      <c r="AS20" s="213"/>
      <c r="AT20" s="213"/>
      <c r="AU20" s="213"/>
      <c r="AV20" s="213"/>
      <c r="AW20" s="213"/>
      <c r="AX20" s="213"/>
      <c r="AY20" s="213"/>
      <c r="AZ20" s="213"/>
      <c r="BA20" s="213"/>
      <c r="BB20" s="213"/>
      <c r="BC20" s="213"/>
      <c r="BD20" s="213"/>
      <c r="BE20" s="213"/>
      <c r="BF20" s="213"/>
      <c r="BG20" s="213"/>
      <c r="BH20" s="213"/>
      <c r="BI20" s="213"/>
      <c r="BJ20" s="213"/>
      <c r="BK20" s="213"/>
      <c r="BL20" s="213"/>
      <c r="BM20" s="213"/>
      <c r="BN20" s="213"/>
      <c r="BO20" s="213"/>
      <c r="BP20" s="213"/>
      <c r="BQ20" s="213"/>
      <c r="BR20" s="213"/>
      <c r="BS20" s="213"/>
      <c r="BT20" s="213"/>
      <c r="BU20" s="213"/>
      <c r="BV20" s="213"/>
      <c r="BW20" s="213"/>
      <c r="BX20" s="213"/>
    </row>
    <row r="21" spans="1:76" s="126" customFormat="1" ht="11.25" customHeight="1" x14ac:dyDescent="0.2">
      <c r="A21" s="5"/>
      <c r="B21" s="5"/>
      <c r="C21" s="5"/>
      <c r="D21" s="5"/>
      <c r="E21" s="5"/>
      <c r="F21" s="5"/>
      <c r="G21" s="5"/>
      <c r="H21" s="5"/>
      <c r="I21" s="5"/>
      <c r="J21" s="5"/>
      <c r="K21" s="5"/>
      <c r="L21" s="213"/>
      <c r="M21" s="213"/>
      <c r="N21" s="213"/>
      <c r="O21" s="213"/>
      <c r="P21" s="213"/>
      <c r="Q21" s="5"/>
      <c r="R21" s="5"/>
      <c r="S21" s="5"/>
      <c r="T21" s="5"/>
      <c r="U21" s="5"/>
      <c r="V21" s="5"/>
      <c r="W21" s="5"/>
      <c r="X21" s="5"/>
      <c r="Y21" s="213"/>
      <c r="Z21" s="213"/>
      <c r="AA21" s="213"/>
      <c r="AB21" s="213"/>
      <c r="AC21" s="213"/>
      <c r="AD21" s="213"/>
      <c r="AE21" s="213"/>
      <c r="AF21" s="213"/>
      <c r="AG21" s="213"/>
      <c r="AH21" s="213"/>
      <c r="AI21" s="213"/>
      <c r="AJ21" s="213"/>
      <c r="AK21" s="213"/>
      <c r="AL21" s="213"/>
      <c r="AM21" s="213"/>
      <c r="AN21" s="213"/>
      <c r="AO21" s="213"/>
      <c r="AP21" s="213"/>
      <c r="AQ21" s="213"/>
      <c r="AR21" s="213"/>
      <c r="AS21" s="213"/>
      <c r="AT21" s="213"/>
      <c r="AU21" s="213"/>
      <c r="AV21" s="213"/>
      <c r="AW21" s="213"/>
      <c r="AX21" s="213"/>
      <c r="AY21" s="213"/>
      <c r="AZ21" s="213"/>
      <c r="BA21" s="213"/>
      <c r="BB21" s="213"/>
      <c r="BC21" s="213"/>
      <c r="BD21" s="213"/>
      <c r="BE21" s="213"/>
      <c r="BF21" s="213"/>
      <c r="BG21" s="213"/>
      <c r="BH21" s="213"/>
      <c r="BI21" s="213"/>
      <c r="BJ21" s="213"/>
      <c r="BK21" s="213"/>
      <c r="BL21" s="213"/>
      <c r="BM21" s="213"/>
      <c r="BN21" s="213"/>
      <c r="BO21" s="213"/>
      <c r="BP21" s="213"/>
      <c r="BQ21" s="213"/>
      <c r="BR21" s="213"/>
      <c r="BS21" s="213"/>
      <c r="BT21" s="213"/>
      <c r="BU21" s="213"/>
      <c r="BV21" s="213"/>
      <c r="BW21" s="213"/>
      <c r="BX21" s="213"/>
    </row>
    <row r="22" spans="1:76" s="126" customFormat="1" ht="11.25" customHeight="1" x14ac:dyDescent="0.2">
      <c r="A22" s="5"/>
      <c r="B22" s="5"/>
      <c r="C22" s="5"/>
      <c r="D22" s="5"/>
      <c r="E22" s="5"/>
      <c r="F22" s="5"/>
      <c r="G22" s="5"/>
      <c r="H22" s="5"/>
      <c r="I22" s="5"/>
      <c r="J22" s="5"/>
      <c r="K22" s="5"/>
      <c r="L22" s="213"/>
      <c r="M22" s="213"/>
      <c r="N22" s="213"/>
      <c r="O22" s="213"/>
      <c r="P22" s="213"/>
      <c r="Q22" s="5"/>
      <c r="R22" s="5"/>
      <c r="S22" s="5"/>
      <c r="T22" s="5"/>
      <c r="U22" s="5"/>
      <c r="V22" s="5"/>
      <c r="W22" s="5"/>
      <c r="X22" s="5"/>
      <c r="Y22" s="213"/>
      <c r="Z22" s="213"/>
      <c r="AA22" s="213"/>
      <c r="AB22" s="213"/>
      <c r="AC22" s="213"/>
      <c r="AD22" s="213"/>
      <c r="AE22" s="213"/>
      <c r="AF22" s="213"/>
      <c r="AG22" s="213"/>
      <c r="AH22" s="213"/>
      <c r="AI22" s="213"/>
      <c r="AJ22" s="213"/>
      <c r="AK22" s="213"/>
      <c r="AL22" s="213"/>
      <c r="AM22" s="213"/>
      <c r="AN22" s="213"/>
      <c r="AO22" s="213"/>
      <c r="AP22" s="213"/>
      <c r="AQ22" s="213"/>
      <c r="AR22" s="213"/>
      <c r="AS22" s="213"/>
      <c r="AT22" s="213"/>
      <c r="AU22" s="213"/>
      <c r="AV22" s="213"/>
      <c r="AW22" s="213"/>
      <c r="AX22" s="213"/>
      <c r="AY22" s="213"/>
      <c r="AZ22" s="213"/>
      <c r="BA22" s="213"/>
      <c r="BB22" s="213"/>
      <c r="BC22" s="213"/>
      <c r="BD22" s="213"/>
      <c r="BE22" s="213"/>
      <c r="BF22" s="213"/>
      <c r="BG22" s="213"/>
      <c r="BH22" s="213"/>
      <c r="BI22" s="213"/>
      <c r="BJ22" s="213"/>
      <c r="BK22" s="213"/>
      <c r="BL22" s="213"/>
      <c r="BM22" s="213"/>
      <c r="BN22" s="213"/>
      <c r="BO22" s="213"/>
      <c r="BP22" s="213"/>
      <c r="BQ22" s="213"/>
      <c r="BR22" s="213"/>
      <c r="BS22" s="213"/>
      <c r="BT22" s="213"/>
      <c r="BU22" s="213"/>
      <c r="BV22" s="213"/>
      <c r="BW22" s="213"/>
      <c r="BX22" s="213"/>
    </row>
    <row r="23" spans="1:76" s="126" customFormat="1" ht="11.25" customHeight="1" x14ac:dyDescent="0.2">
      <c r="A23" s="5"/>
      <c r="B23" s="5"/>
      <c r="C23" s="5"/>
      <c r="D23" s="5"/>
      <c r="E23" s="5"/>
      <c r="F23" s="5"/>
      <c r="G23" s="5"/>
      <c r="H23" s="5"/>
      <c r="I23" s="5"/>
      <c r="J23" s="5"/>
      <c r="K23" s="5"/>
      <c r="L23" s="213"/>
      <c r="M23" s="213"/>
      <c r="N23" s="213"/>
      <c r="O23" s="213"/>
      <c r="P23" s="213"/>
      <c r="Q23" s="5"/>
      <c r="R23" s="5"/>
      <c r="S23" s="5"/>
      <c r="T23" s="5"/>
      <c r="U23" s="5"/>
      <c r="V23" s="5"/>
      <c r="W23" s="5"/>
      <c r="X23" s="5"/>
      <c r="Y23" s="213"/>
      <c r="Z23" s="213"/>
      <c r="AA23" s="213"/>
      <c r="AB23" s="213"/>
      <c r="AC23" s="213"/>
      <c r="AD23" s="213"/>
      <c r="AE23" s="213"/>
      <c r="AF23" s="213"/>
      <c r="AG23" s="213"/>
      <c r="AH23" s="213"/>
      <c r="AI23" s="213"/>
      <c r="AJ23" s="213"/>
      <c r="AK23" s="213"/>
      <c r="AL23" s="213"/>
      <c r="AM23" s="213"/>
      <c r="AN23" s="213"/>
      <c r="AO23" s="213"/>
      <c r="AP23" s="213"/>
      <c r="AQ23" s="213"/>
      <c r="AR23" s="213"/>
      <c r="AS23" s="213"/>
      <c r="AT23" s="213"/>
      <c r="AU23" s="213"/>
      <c r="AV23" s="213"/>
      <c r="AW23" s="213"/>
      <c r="AX23" s="213"/>
      <c r="AY23" s="213"/>
      <c r="AZ23" s="213"/>
      <c r="BA23" s="213"/>
      <c r="BB23" s="213"/>
      <c r="BC23" s="213"/>
      <c r="BD23" s="213"/>
      <c r="BE23" s="213"/>
      <c r="BF23" s="213"/>
      <c r="BG23" s="213"/>
      <c r="BH23" s="213"/>
      <c r="BI23" s="213"/>
      <c r="BJ23" s="213"/>
      <c r="BK23" s="213"/>
      <c r="BL23" s="213"/>
      <c r="BM23" s="213"/>
      <c r="BN23" s="213"/>
      <c r="BO23" s="213"/>
      <c r="BP23" s="213"/>
      <c r="BQ23" s="213"/>
      <c r="BR23" s="213"/>
      <c r="BS23" s="213"/>
      <c r="BT23" s="213"/>
      <c r="BU23" s="213"/>
      <c r="BV23" s="213"/>
      <c r="BW23" s="213"/>
      <c r="BX23" s="213"/>
    </row>
    <row r="24" spans="1:76" s="126" customFormat="1" ht="11.25" customHeight="1" x14ac:dyDescent="0.2">
      <c r="A24" s="5"/>
      <c r="B24" s="5"/>
      <c r="C24" s="5"/>
      <c r="D24" s="5"/>
      <c r="E24" s="5"/>
      <c r="F24" s="5"/>
      <c r="G24" s="5"/>
      <c r="H24" s="5"/>
      <c r="I24" s="5"/>
      <c r="J24" s="5"/>
      <c r="K24" s="5"/>
      <c r="L24" s="213"/>
      <c r="M24" s="213"/>
      <c r="N24" s="213"/>
      <c r="O24" s="213"/>
      <c r="P24" s="213"/>
      <c r="Q24" s="5"/>
      <c r="R24" s="5"/>
      <c r="S24" s="5"/>
      <c r="T24" s="5"/>
      <c r="U24" s="5"/>
      <c r="V24" s="5"/>
      <c r="W24" s="5"/>
      <c r="X24" s="5"/>
      <c r="Y24" s="213"/>
      <c r="Z24" s="213"/>
      <c r="AA24" s="213"/>
      <c r="AB24" s="213"/>
      <c r="AC24" s="213"/>
      <c r="AD24" s="213"/>
      <c r="AE24" s="213"/>
      <c r="AF24" s="213"/>
      <c r="AG24" s="213"/>
      <c r="AH24" s="213"/>
      <c r="AI24" s="213"/>
      <c r="AJ24" s="213"/>
      <c r="AK24" s="213"/>
      <c r="AL24" s="213"/>
      <c r="AM24" s="213"/>
      <c r="AN24" s="213"/>
      <c r="AO24" s="213"/>
      <c r="AP24" s="213"/>
      <c r="AQ24" s="213"/>
      <c r="AR24" s="213"/>
      <c r="AS24" s="213"/>
      <c r="AT24" s="213"/>
      <c r="AU24" s="213"/>
      <c r="AV24" s="213"/>
      <c r="AW24" s="213"/>
      <c r="AX24" s="213"/>
      <c r="AY24" s="213"/>
      <c r="AZ24" s="213"/>
      <c r="BA24" s="213"/>
      <c r="BB24" s="213"/>
      <c r="BC24" s="213"/>
      <c r="BD24" s="213"/>
      <c r="BE24" s="213"/>
      <c r="BF24" s="213"/>
      <c r="BG24" s="213"/>
      <c r="BH24" s="213"/>
      <c r="BI24" s="213"/>
      <c r="BJ24" s="213"/>
      <c r="BK24" s="213"/>
      <c r="BL24" s="213"/>
      <c r="BM24" s="213"/>
      <c r="BN24" s="213"/>
      <c r="BO24" s="213"/>
      <c r="BP24" s="213"/>
      <c r="BQ24" s="213"/>
      <c r="BR24" s="213"/>
      <c r="BS24" s="213"/>
      <c r="BT24" s="213"/>
      <c r="BU24" s="213"/>
      <c r="BV24" s="213"/>
      <c r="BW24" s="213"/>
      <c r="BX24" s="213"/>
    </row>
    <row r="25" spans="1:76" s="126" customFormat="1" ht="11.25" customHeight="1" x14ac:dyDescent="0.2">
      <c r="A25" s="5"/>
      <c r="B25" s="5"/>
      <c r="C25" s="5"/>
      <c r="D25" s="5"/>
      <c r="E25" s="5"/>
      <c r="F25" s="5"/>
      <c r="G25" s="5"/>
      <c r="H25" s="5"/>
      <c r="I25" s="5"/>
      <c r="J25" s="5"/>
      <c r="K25" s="5"/>
      <c r="L25" s="213"/>
      <c r="M25" s="213"/>
      <c r="N25" s="213"/>
      <c r="O25" s="213"/>
      <c r="P25" s="213"/>
      <c r="Q25" s="5"/>
      <c r="R25" s="5"/>
      <c r="S25" s="5"/>
      <c r="T25" s="5"/>
      <c r="U25" s="5"/>
      <c r="V25" s="5"/>
      <c r="W25" s="5"/>
      <c r="X25" s="5"/>
      <c r="Y25" s="213"/>
      <c r="Z25" s="213"/>
      <c r="AA25" s="213"/>
      <c r="AB25" s="213"/>
      <c r="AC25" s="213"/>
      <c r="AD25" s="213"/>
      <c r="AE25" s="213"/>
      <c r="AF25" s="213"/>
      <c r="AG25" s="213"/>
      <c r="AH25" s="213"/>
      <c r="AI25" s="213"/>
      <c r="AJ25" s="213"/>
      <c r="AK25" s="213"/>
      <c r="AL25" s="213"/>
      <c r="AM25" s="213"/>
      <c r="AN25" s="213"/>
      <c r="AO25" s="213"/>
      <c r="AP25" s="213"/>
      <c r="AQ25" s="213"/>
      <c r="AR25" s="213"/>
      <c r="AS25" s="213"/>
      <c r="AT25" s="213"/>
      <c r="AU25" s="213"/>
      <c r="AV25" s="213"/>
      <c r="AW25" s="213"/>
      <c r="AX25" s="213"/>
      <c r="AY25" s="213"/>
      <c r="AZ25" s="213"/>
      <c r="BA25" s="213"/>
      <c r="BB25" s="213"/>
      <c r="BC25" s="213"/>
      <c r="BD25" s="213"/>
      <c r="BE25" s="213"/>
      <c r="BF25" s="213"/>
      <c r="BG25" s="213"/>
      <c r="BH25" s="213"/>
      <c r="BI25" s="213"/>
      <c r="BJ25" s="213"/>
      <c r="BK25" s="213"/>
      <c r="BL25" s="213"/>
      <c r="BM25" s="213"/>
      <c r="BN25" s="213"/>
      <c r="BO25" s="213"/>
      <c r="BP25" s="213"/>
      <c r="BQ25" s="213"/>
      <c r="BR25" s="213"/>
      <c r="BS25" s="213"/>
      <c r="BT25" s="213"/>
      <c r="BU25" s="213"/>
      <c r="BV25" s="213"/>
      <c r="BW25" s="213"/>
      <c r="BX25" s="213"/>
    </row>
    <row r="26" spans="1:76" s="126" customFormat="1" ht="11.25" customHeight="1" x14ac:dyDescent="0.2">
      <c r="A26" s="5"/>
      <c r="B26" s="5"/>
      <c r="C26" s="5"/>
      <c r="D26" s="5"/>
      <c r="E26" s="5"/>
      <c r="F26" s="5"/>
      <c r="G26" s="5"/>
      <c r="H26" s="5"/>
      <c r="I26" s="5"/>
      <c r="J26" s="5"/>
      <c r="K26" s="5"/>
      <c r="L26" s="213"/>
      <c r="M26" s="213"/>
      <c r="N26" s="213"/>
      <c r="O26" s="213"/>
      <c r="P26" s="213"/>
      <c r="Q26" s="5"/>
      <c r="R26" s="5"/>
      <c r="S26" s="5"/>
      <c r="T26" s="5"/>
      <c r="U26" s="5"/>
      <c r="V26" s="5"/>
      <c r="W26" s="5"/>
      <c r="X26" s="5"/>
      <c r="Y26" s="213"/>
      <c r="Z26" s="213"/>
      <c r="AA26" s="213"/>
      <c r="AB26" s="213"/>
      <c r="AC26" s="213"/>
      <c r="AD26" s="213"/>
      <c r="AE26" s="213"/>
      <c r="AF26" s="213"/>
      <c r="AG26" s="213"/>
      <c r="AH26" s="213"/>
      <c r="AI26" s="213"/>
      <c r="AJ26" s="213"/>
      <c r="AK26" s="213"/>
      <c r="AL26" s="213"/>
      <c r="AM26" s="213"/>
      <c r="AN26" s="213"/>
      <c r="AO26" s="213"/>
      <c r="AP26" s="213"/>
      <c r="AQ26" s="213"/>
      <c r="AR26" s="213"/>
      <c r="AS26" s="213"/>
      <c r="AT26" s="213"/>
      <c r="AU26" s="213"/>
      <c r="AV26" s="213"/>
      <c r="AW26" s="213"/>
      <c r="AX26" s="213"/>
      <c r="AY26" s="213"/>
      <c r="AZ26" s="213"/>
      <c r="BA26" s="213"/>
      <c r="BB26" s="213"/>
      <c r="BC26" s="213"/>
      <c r="BD26" s="213"/>
      <c r="BE26" s="213"/>
      <c r="BF26" s="213"/>
      <c r="BG26" s="213"/>
      <c r="BH26" s="213"/>
      <c r="BI26" s="213"/>
      <c r="BJ26" s="213"/>
      <c r="BK26" s="213"/>
      <c r="BL26" s="213"/>
      <c r="BM26" s="213"/>
      <c r="BN26" s="213"/>
      <c r="BO26" s="213"/>
      <c r="BP26" s="213"/>
      <c r="BQ26" s="213"/>
      <c r="BR26" s="213"/>
      <c r="BS26" s="213"/>
      <c r="BT26" s="213"/>
      <c r="BU26" s="213"/>
      <c r="BV26" s="213"/>
      <c r="BW26" s="213"/>
      <c r="BX26" s="213"/>
    </row>
    <row r="27" spans="1:76" s="126" customFormat="1" ht="11.25" customHeight="1" x14ac:dyDescent="0.2">
      <c r="A27" s="5"/>
      <c r="B27" s="5"/>
      <c r="C27" s="5"/>
      <c r="D27" s="5"/>
      <c r="E27" s="5"/>
      <c r="F27" s="5"/>
      <c r="G27" s="5"/>
      <c r="H27" s="5"/>
      <c r="I27" s="5"/>
      <c r="J27" s="5"/>
      <c r="K27" s="5"/>
      <c r="L27" s="213"/>
      <c r="M27" s="213"/>
      <c r="N27" s="213"/>
      <c r="O27" s="213"/>
      <c r="P27" s="213"/>
      <c r="Q27" s="5"/>
      <c r="R27" s="5"/>
      <c r="S27" s="5"/>
      <c r="T27" s="5"/>
      <c r="U27" s="5"/>
      <c r="V27" s="5"/>
      <c r="W27" s="5"/>
      <c r="X27" s="5"/>
      <c r="Y27" s="213"/>
      <c r="Z27" s="213"/>
      <c r="AA27" s="213"/>
      <c r="AB27" s="213"/>
      <c r="AC27" s="213"/>
      <c r="AD27" s="213"/>
      <c r="AE27" s="213"/>
      <c r="AF27" s="213"/>
      <c r="AG27" s="213"/>
      <c r="AH27" s="213"/>
      <c r="AI27" s="213"/>
      <c r="AJ27" s="213"/>
      <c r="AK27" s="213"/>
      <c r="AL27" s="213"/>
      <c r="AM27" s="213"/>
      <c r="AN27" s="213"/>
      <c r="AO27" s="213"/>
      <c r="AP27" s="213"/>
      <c r="AQ27" s="213"/>
      <c r="AR27" s="213"/>
      <c r="AS27" s="213"/>
      <c r="AT27" s="213"/>
      <c r="AU27" s="213"/>
      <c r="AV27" s="213"/>
      <c r="AW27" s="213"/>
      <c r="AX27" s="213"/>
      <c r="AY27" s="213"/>
      <c r="AZ27" s="213"/>
      <c r="BA27" s="213"/>
      <c r="BB27" s="213"/>
      <c r="BC27" s="213"/>
      <c r="BD27" s="213"/>
      <c r="BE27" s="213"/>
      <c r="BF27" s="213"/>
      <c r="BG27" s="213"/>
      <c r="BH27" s="213"/>
      <c r="BI27" s="213"/>
      <c r="BJ27" s="213"/>
      <c r="BK27" s="213"/>
      <c r="BL27" s="213"/>
      <c r="BM27" s="213"/>
      <c r="BN27" s="213"/>
      <c r="BO27" s="213"/>
      <c r="BP27" s="213"/>
      <c r="BQ27" s="213"/>
      <c r="BR27" s="213"/>
      <c r="BS27" s="213"/>
      <c r="BT27" s="213"/>
      <c r="BU27" s="213"/>
      <c r="BV27" s="213"/>
      <c r="BW27" s="213"/>
      <c r="BX27" s="213"/>
    </row>
    <row r="28" spans="1:76" s="126" customFormat="1" ht="11.25" customHeight="1" x14ac:dyDescent="0.2">
      <c r="A28" s="5"/>
      <c r="B28" s="5"/>
      <c r="C28" s="5"/>
      <c r="D28" s="5"/>
      <c r="E28" s="5"/>
      <c r="F28" s="5"/>
      <c r="G28" s="5"/>
      <c r="H28" s="5"/>
      <c r="I28" s="5"/>
      <c r="J28" s="5"/>
      <c r="K28" s="5"/>
      <c r="L28" s="213"/>
      <c r="M28" s="213"/>
      <c r="N28" s="213"/>
      <c r="O28" s="213"/>
      <c r="P28" s="213"/>
      <c r="Q28" s="5"/>
      <c r="R28" s="5"/>
      <c r="S28" s="5"/>
      <c r="T28" s="5"/>
      <c r="U28" s="5"/>
      <c r="V28" s="5"/>
      <c r="W28" s="5"/>
      <c r="X28" s="5"/>
      <c r="Y28" s="213"/>
      <c r="Z28" s="213"/>
      <c r="AA28" s="213"/>
      <c r="AB28" s="213"/>
      <c r="AC28" s="213"/>
      <c r="AD28" s="213"/>
      <c r="AE28" s="213"/>
      <c r="AF28" s="213"/>
      <c r="AG28" s="213"/>
      <c r="AH28" s="213"/>
      <c r="AI28" s="213"/>
      <c r="AJ28" s="213"/>
      <c r="AK28" s="213"/>
      <c r="AL28" s="213"/>
      <c r="AM28" s="213"/>
      <c r="AN28" s="213"/>
      <c r="AO28" s="213"/>
      <c r="AP28" s="213"/>
      <c r="AQ28" s="213"/>
      <c r="AR28" s="213"/>
      <c r="AS28" s="213"/>
      <c r="AT28" s="213"/>
      <c r="AU28" s="213"/>
      <c r="AV28" s="213"/>
      <c r="AW28" s="213"/>
      <c r="AX28" s="213"/>
      <c r="AY28" s="213"/>
      <c r="AZ28" s="213"/>
      <c r="BA28" s="213"/>
      <c r="BB28" s="213"/>
      <c r="BC28" s="213"/>
      <c r="BD28" s="213"/>
      <c r="BE28" s="213"/>
      <c r="BF28" s="213"/>
      <c r="BG28" s="213"/>
      <c r="BH28" s="213"/>
      <c r="BI28" s="213"/>
      <c r="BJ28" s="213"/>
      <c r="BK28" s="213"/>
      <c r="BL28" s="213"/>
      <c r="BM28" s="213"/>
      <c r="BN28" s="213"/>
      <c r="BO28" s="213"/>
      <c r="BP28" s="213"/>
      <c r="BQ28" s="213"/>
      <c r="BR28" s="213"/>
      <c r="BS28" s="213"/>
      <c r="BT28" s="213"/>
      <c r="BU28" s="213"/>
      <c r="BV28" s="213"/>
      <c r="BW28" s="213"/>
      <c r="BX28" s="213"/>
    </row>
    <row r="29" spans="1:76" s="126" customFormat="1" ht="11.25" customHeight="1" x14ac:dyDescent="0.2">
      <c r="A29" s="5"/>
      <c r="B29" s="5"/>
      <c r="C29" s="5"/>
      <c r="D29" s="5"/>
      <c r="E29" s="5"/>
      <c r="F29" s="5"/>
      <c r="G29" s="5"/>
      <c r="H29" s="5"/>
      <c r="I29" s="5"/>
      <c r="J29" s="5"/>
      <c r="K29" s="5"/>
      <c r="L29" s="213"/>
      <c r="M29" s="213"/>
      <c r="N29" s="213"/>
      <c r="O29" s="213"/>
      <c r="P29" s="213"/>
      <c r="Q29" s="5"/>
      <c r="R29" s="5"/>
      <c r="S29" s="5"/>
      <c r="T29" s="5"/>
      <c r="U29" s="5"/>
      <c r="V29" s="5"/>
      <c r="W29" s="5"/>
      <c r="X29" s="5"/>
      <c r="Y29" s="213"/>
      <c r="Z29" s="213"/>
      <c r="AA29" s="213"/>
      <c r="AB29" s="213"/>
      <c r="AC29" s="213"/>
      <c r="AD29" s="213"/>
      <c r="AE29" s="213"/>
      <c r="AF29" s="213"/>
      <c r="AG29" s="213"/>
      <c r="AH29" s="213"/>
      <c r="AI29" s="213"/>
      <c r="AJ29" s="213"/>
      <c r="AK29" s="213"/>
      <c r="AL29" s="213"/>
      <c r="AM29" s="213"/>
      <c r="AN29" s="213"/>
      <c r="AO29" s="213"/>
      <c r="AP29" s="213"/>
      <c r="AQ29" s="213"/>
      <c r="AR29" s="213"/>
      <c r="AS29" s="213"/>
      <c r="AT29" s="213"/>
      <c r="AU29" s="213"/>
      <c r="AV29" s="213"/>
      <c r="AW29" s="213"/>
      <c r="AX29" s="213"/>
      <c r="AY29" s="213"/>
      <c r="AZ29" s="213"/>
      <c r="BA29" s="213"/>
      <c r="BB29" s="213"/>
      <c r="BC29" s="213"/>
      <c r="BD29" s="213"/>
      <c r="BE29" s="213"/>
      <c r="BF29" s="213"/>
      <c r="BG29" s="213"/>
      <c r="BH29" s="213"/>
      <c r="BI29" s="213"/>
      <c r="BJ29" s="213"/>
      <c r="BK29" s="213"/>
      <c r="BL29" s="213"/>
      <c r="BM29" s="213"/>
      <c r="BN29" s="213"/>
      <c r="BO29" s="213"/>
      <c r="BP29" s="213"/>
      <c r="BQ29" s="213"/>
      <c r="BR29" s="213"/>
      <c r="BS29" s="213"/>
      <c r="BT29" s="213"/>
      <c r="BU29" s="213"/>
      <c r="BV29" s="213"/>
      <c r="BW29" s="213"/>
      <c r="BX29" s="213"/>
    </row>
    <row r="30" spans="1:76" s="126" customFormat="1" ht="11.25" customHeight="1" x14ac:dyDescent="0.2">
      <c r="A30" s="5"/>
      <c r="B30" s="5"/>
      <c r="C30" s="5"/>
      <c r="D30" s="5"/>
      <c r="E30" s="5"/>
      <c r="F30" s="5"/>
      <c r="G30" s="5"/>
      <c r="H30" s="5"/>
      <c r="I30" s="5"/>
      <c r="J30" s="5"/>
      <c r="K30" s="5"/>
      <c r="L30" s="213"/>
      <c r="M30" s="213"/>
      <c r="N30" s="213"/>
      <c r="O30" s="213"/>
      <c r="P30" s="213"/>
      <c r="Q30" s="5"/>
      <c r="R30" s="5"/>
      <c r="S30" s="5"/>
      <c r="T30" s="5"/>
      <c r="U30" s="5"/>
      <c r="V30" s="5"/>
      <c r="W30" s="5"/>
      <c r="X30" s="5"/>
      <c r="Y30" s="213"/>
      <c r="Z30" s="213"/>
      <c r="AA30" s="213"/>
      <c r="AB30" s="213"/>
      <c r="AC30" s="213"/>
      <c r="AD30" s="213"/>
      <c r="AE30" s="213"/>
      <c r="AF30" s="213"/>
      <c r="AG30" s="213"/>
      <c r="AH30" s="213"/>
      <c r="AI30" s="213"/>
      <c r="AJ30" s="213"/>
      <c r="AK30" s="213"/>
      <c r="AL30" s="213"/>
      <c r="AM30" s="213"/>
      <c r="AN30" s="213"/>
      <c r="AO30" s="213"/>
      <c r="AP30" s="213"/>
      <c r="AQ30" s="213"/>
      <c r="AR30" s="213"/>
      <c r="AS30" s="213"/>
      <c r="AT30" s="213"/>
      <c r="AU30" s="213"/>
      <c r="AV30" s="213"/>
      <c r="AW30" s="213"/>
      <c r="AX30" s="213"/>
      <c r="AY30" s="213"/>
      <c r="AZ30" s="213"/>
      <c r="BA30" s="213"/>
      <c r="BB30" s="213"/>
      <c r="BC30" s="213"/>
      <c r="BD30" s="213"/>
      <c r="BE30" s="213"/>
      <c r="BF30" s="213"/>
      <c r="BG30" s="213"/>
      <c r="BH30" s="213"/>
      <c r="BI30" s="213"/>
      <c r="BJ30" s="213"/>
      <c r="BK30" s="213"/>
      <c r="BL30" s="213"/>
      <c r="BM30" s="213"/>
      <c r="BN30" s="213"/>
      <c r="BO30" s="213"/>
      <c r="BP30" s="213"/>
      <c r="BQ30" s="213"/>
      <c r="BR30" s="213"/>
      <c r="BS30" s="213"/>
      <c r="BT30" s="213"/>
      <c r="BU30" s="213"/>
      <c r="BV30" s="213"/>
      <c r="BW30" s="213"/>
      <c r="BX30" s="213"/>
    </row>
    <row r="31" spans="1:76" s="126" customFormat="1" ht="11.25" customHeight="1" x14ac:dyDescent="0.2">
      <c r="A31" s="5"/>
      <c r="B31" s="5"/>
      <c r="C31" s="5"/>
      <c r="D31" s="5"/>
      <c r="E31" s="5"/>
      <c r="F31" s="5"/>
      <c r="G31" s="5"/>
      <c r="H31" s="5"/>
      <c r="I31" s="5"/>
      <c r="J31" s="5"/>
      <c r="K31" s="5"/>
      <c r="L31" s="213"/>
      <c r="M31" s="213"/>
      <c r="N31" s="213"/>
      <c r="O31" s="213"/>
      <c r="P31" s="213"/>
      <c r="Q31" s="5"/>
      <c r="R31" s="5"/>
      <c r="S31" s="5"/>
      <c r="T31" s="5"/>
      <c r="U31" s="5"/>
      <c r="V31" s="5"/>
      <c r="W31" s="5"/>
      <c r="X31" s="5"/>
      <c r="Y31" s="213"/>
      <c r="Z31" s="213"/>
      <c r="AA31" s="213"/>
      <c r="AB31" s="213"/>
      <c r="AC31" s="213"/>
      <c r="AD31" s="213"/>
      <c r="AE31" s="213"/>
      <c r="AF31" s="213"/>
      <c r="AG31" s="213"/>
      <c r="AH31" s="213"/>
      <c r="AI31" s="213"/>
      <c r="AJ31" s="213"/>
      <c r="AK31" s="213"/>
      <c r="AL31" s="213"/>
      <c r="AM31" s="213"/>
      <c r="AN31" s="213"/>
      <c r="AO31" s="213"/>
      <c r="AP31" s="213"/>
      <c r="AQ31" s="213"/>
      <c r="AR31" s="213"/>
      <c r="AS31" s="213"/>
      <c r="AT31" s="213"/>
      <c r="AU31" s="213"/>
      <c r="AV31" s="213"/>
      <c r="AW31" s="213"/>
      <c r="AX31" s="213"/>
      <c r="AY31" s="213"/>
      <c r="AZ31" s="213"/>
      <c r="BA31" s="213"/>
      <c r="BB31" s="213"/>
      <c r="BC31" s="213"/>
      <c r="BD31" s="213"/>
      <c r="BE31" s="213"/>
      <c r="BF31" s="213"/>
      <c r="BG31" s="213"/>
      <c r="BH31" s="213"/>
      <c r="BI31" s="213"/>
      <c r="BJ31" s="213"/>
      <c r="BK31" s="213"/>
      <c r="BL31" s="213"/>
      <c r="BM31" s="213"/>
      <c r="BN31" s="213"/>
      <c r="BO31" s="213"/>
      <c r="BP31" s="213"/>
      <c r="BQ31" s="213"/>
      <c r="BR31" s="213"/>
      <c r="BS31" s="213"/>
      <c r="BT31" s="213"/>
      <c r="BU31" s="213"/>
      <c r="BV31" s="213"/>
      <c r="BW31" s="213"/>
      <c r="BX31" s="213"/>
    </row>
    <row r="32" spans="1:76" s="126" customFormat="1" ht="11.25" customHeight="1" x14ac:dyDescent="0.2">
      <c r="A32" s="5"/>
      <c r="B32" s="5"/>
      <c r="C32" s="5"/>
      <c r="D32" s="5"/>
      <c r="E32" s="5"/>
      <c r="F32" s="5"/>
      <c r="G32" s="5"/>
      <c r="H32" s="5"/>
      <c r="I32" s="5"/>
      <c r="J32" s="5"/>
      <c r="K32" s="5"/>
      <c r="L32" s="213"/>
      <c r="M32" s="213"/>
      <c r="N32" s="213"/>
      <c r="O32" s="213"/>
      <c r="P32" s="213"/>
      <c r="Q32" s="5"/>
      <c r="R32" s="5"/>
      <c r="S32" s="5"/>
      <c r="T32" s="5"/>
      <c r="U32" s="5"/>
      <c r="V32" s="5"/>
      <c r="W32" s="5"/>
      <c r="X32" s="5"/>
      <c r="Y32" s="213"/>
      <c r="Z32" s="213"/>
      <c r="AA32" s="213"/>
      <c r="AB32" s="213"/>
      <c r="AC32" s="213"/>
      <c r="AD32" s="213"/>
      <c r="AE32" s="213"/>
      <c r="AF32" s="213"/>
      <c r="AG32" s="213"/>
      <c r="AH32" s="213"/>
      <c r="AI32" s="213"/>
      <c r="AJ32" s="213"/>
      <c r="AK32" s="213"/>
      <c r="AL32" s="213"/>
      <c r="AM32" s="213"/>
      <c r="AN32" s="213"/>
      <c r="AO32" s="213"/>
      <c r="AP32" s="213"/>
      <c r="AQ32" s="213"/>
      <c r="AR32" s="213"/>
      <c r="AS32" s="213"/>
      <c r="AT32" s="213"/>
      <c r="AU32" s="213"/>
      <c r="AV32" s="213"/>
      <c r="AW32" s="213"/>
      <c r="AX32" s="213"/>
      <c r="AY32" s="213"/>
      <c r="AZ32" s="213"/>
      <c r="BA32" s="213"/>
      <c r="BB32" s="213"/>
      <c r="BC32" s="213"/>
      <c r="BD32" s="213"/>
      <c r="BE32" s="213"/>
      <c r="BF32" s="213"/>
      <c r="BG32" s="213"/>
      <c r="BH32" s="213"/>
      <c r="BI32" s="213"/>
      <c r="BJ32" s="213"/>
      <c r="BK32" s="213"/>
      <c r="BL32" s="213"/>
      <c r="BM32" s="213"/>
      <c r="BN32" s="213"/>
      <c r="BO32" s="213"/>
      <c r="BP32" s="213"/>
      <c r="BQ32" s="213"/>
      <c r="BR32" s="213"/>
      <c r="BS32" s="213"/>
      <c r="BT32" s="213"/>
      <c r="BU32" s="213"/>
      <c r="BV32" s="213"/>
      <c r="BW32" s="213"/>
      <c r="BX32" s="213"/>
    </row>
    <row r="33" spans="1:76" s="126" customFormat="1" ht="11.25" customHeight="1" x14ac:dyDescent="0.2">
      <c r="A33" s="5"/>
      <c r="B33" s="5"/>
      <c r="C33" s="5"/>
      <c r="D33" s="5"/>
      <c r="E33" s="5"/>
      <c r="F33" s="5"/>
      <c r="G33" s="5"/>
      <c r="H33" s="5"/>
      <c r="I33" s="5"/>
      <c r="J33" s="5"/>
      <c r="K33" s="5"/>
      <c r="L33" s="213"/>
      <c r="M33" s="213"/>
      <c r="N33" s="213"/>
      <c r="O33" s="213"/>
      <c r="P33" s="213"/>
      <c r="Q33" s="5"/>
      <c r="R33" s="5"/>
      <c r="S33" s="5"/>
      <c r="T33" s="5"/>
      <c r="U33" s="5"/>
      <c r="V33" s="5"/>
      <c r="W33" s="5"/>
      <c r="X33" s="5"/>
      <c r="Y33" s="213"/>
      <c r="Z33" s="213"/>
      <c r="AA33" s="213"/>
      <c r="AB33" s="213"/>
      <c r="AC33" s="213"/>
      <c r="AD33" s="213"/>
      <c r="AE33" s="213"/>
      <c r="AF33" s="213"/>
      <c r="AG33" s="213"/>
      <c r="AH33" s="213"/>
      <c r="AI33" s="213"/>
      <c r="AJ33" s="213"/>
      <c r="AK33" s="213"/>
      <c r="AL33" s="213"/>
      <c r="AM33" s="213"/>
      <c r="AN33" s="213"/>
      <c r="AO33" s="213"/>
      <c r="AP33" s="213"/>
      <c r="AQ33" s="213"/>
      <c r="AR33" s="213"/>
      <c r="AS33" s="213"/>
      <c r="AT33" s="213"/>
      <c r="AU33" s="213"/>
      <c r="AV33" s="213"/>
      <c r="AW33" s="213"/>
      <c r="AX33" s="213"/>
      <c r="AY33" s="213"/>
      <c r="AZ33" s="213"/>
      <c r="BA33" s="213"/>
      <c r="BB33" s="213"/>
      <c r="BC33" s="213"/>
      <c r="BD33" s="213"/>
      <c r="BE33" s="213"/>
      <c r="BF33" s="213"/>
      <c r="BG33" s="213"/>
      <c r="BH33" s="213"/>
      <c r="BI33" s="213"/>
      <c r="BJ33" s="213"/>
      <c r="BK33" s="213"/>
      <c r="BL33" s="213"/>
      <c r="BM33" s="213"/>
      <c r="BN33" s="213"/>
      <c r="BO33" s="213"/>
      <c r="BP33" s="213"/>
      <c r="BQ33" s="213"/>
      <c r="BR33" s="213"/>
      <c r="BS33" s="213"/>
      <c r="BT33" s="213"/>
      <c r="BU33" s="213"/>
      <c r="BV33" s="213"/>
      <c r="BW33" s="213"/>
      <c r="BX33" s="213"/>
    </row>
    <row r="34" spans="1:76" s="126" customFormat="1" ht="11.25" customHeight="1" x14ac:dyDescent="0.2">
      <c r="A34" s="5"/>
      <c r="B34" s="5"/>
      <c r="C34" s="5"/>
      <c r="D34" s="5"/>
      <c r="E34" s="5"/>
      <c r="F34" s="5"/>
      <c r="G34" s="5"/>
      <c r="H34" s="5"/>
      <c r="I34" s="5"/>
      <c r="J34" s="5"/>
      <c r="K34" s="5"/>
      <c r="L34" s="213"/>
      <c r="M34" s="213"/>
      <c r="N34" s="213"/>
      <c r="O34" s="213"/>
      <c r="P34" s="213"/>
      <c r="Q34" s="5"/>
      <c r="R34" s="5"/>
      <c r="S34" s="5"/>
      <c r="T34" s="5"/>
      <c r="U34" s="5"/>
      <c r="V34" s="5"/>
      <c r="W34" s="5"/>
      <c r="X34" s="5"/>
      <c r="Y34" s="213"/>
      <c r="Z34" s="213"/>
      <c r="AA34" s="213"/>
      <c r="AB34" s="213"/>
      <c r="AC34" s="213"/>
      <c r="AD34" s="213"/>
      <c r="AE34" s="213"/>
      <c r="AF34" s="213"/>
      <c r="AG34" s="213"/>
      <c r="AH34" s="213"/>
      <c r="AI34" s="213"/>
      <c r="AJ34" s="213"/>
      <c r="AK34" s="213"/>
      <c r="AL34" s="213"/>
      <c r="AM34" s="213"/>
      <c r="AN34" s="213"/>
      <c r="AO34" s="213"/>
      <c r="AP34" s="213"/>
      <c r="AQ34" s="213"/>
      <c r="AR34" s="213"/>
      <c r="AS34" s="213"/>
      <c r="AT34" s="213"/>
      <c r="AU34" s="213"/>
      <c r="AV34" s="213"/>
      <c r="AW34" s="213"/>
      <c r="AX34" s="213"/>
      <c r="AY34" s="213"/>
      <c r="AZ34" s="213"/>
      <c r="BA34" s="213"/>
      <c r="BB34" s="213"/>
      <c r="BC34" s="213"/>
      <c r="BD34" s="213"/>
      <c r="BE34" s="213"/>
      <c r="BF34" s="213"/>
      <c r="BG34" s="213"/>
      <c r="BH34" s="213"/>
      <c r="BI34" s="213"/>
      <c r="BJ34" s="213"/>
      <c r="BK34" s="213"/>
      <c r="BL34" s="213"/>
      <c r="BM34" s="213"/>
      <c r="BN34" s="213"/>
      <c r="BO34" s="213"/>
      <c r="BP34" s="213"/>
      <c r="BQ34" s="213"/>
      <c r="BR34" s="213"/>
      <c r="BS34" s="213"/>
      <c r="BT34" s="213"/>
      <c r="BU34" s="213"/>
      <c r="BV34" s="213"/>
      <c r="BW34" s="213"/>
      <c r="BX34" s="213"/>
    </row>
    <row r="35" spans="1:76" s="126" customFormat="1" ht="11.25" customHeight="1" x14ac:dyDescent="0.2">
      <c r="A35" s="5"/>
      <c r="B35" s="5"/>
      <c r="C35" s="5"/>
      <c r="D35" s="5"/>
      <c r="E35" s="5"/>
      <c r="F35" s="5"/>
      <c r="G35" s="5"/>
      <c r="H35" s="5"/>
      <c r="I35" s="5"/>
      <c r="J35" s="5"/>
      <c r="K35" s="5"/>
      <c r="L35" s="213"/>
      <c r="M35" s="213"/>
      <c r="N35" s="213"/>
      <c r="O35" s="213"/>
      <c r="P35" s="213"/>
      <c r="Q35" s="5"/>
      <c r="R35" s="5"/>
      <c r="S35" s="5"/>
      <c r="T35" s="5"/>
      <c r="U35" s="5"/>
      <c r="V35" s="5"/>
      <c r="W35" s="5"/>
      <c r="X35" s="5"/>
      <c r="Y35" s="213"/>
      <c r="Z35" s="213"/>
      <c r="AA35" s="213"/>
      <c r="AB35" s="213"/>
      <c r="AC35" s="213"/>
      <c r="AD35" s="213"/>
      <c r="AE35" s="213"/>
      <c r="AF35" s="213"/>
      <c r="AG35" s="213"/>
      <c r="AH35" s="213"/>
      <c r="AI35" s="213"/>
      <c r="AJ35" s="213"/>
      <c r="AK35" s="213"/>
      <c r="AL35" s="213"/>
      <c r="AM35" s="213"/>
      <c r="AN35" s="213"/>
      <c r="AO35" s="213"/>
      <c r="AP35" s="213"/>
      <c r="AQ35" s="213"/>
      <c r="AR35" s="213"/>
      <c r="AS35" s="213"/>
      <c r="AT35" s="213"/>
      <c r="AU35" s="213"/>
      <c r="AV35" s="213"/>
      <c r="AW35" s="213"/>
      <c r="AX35" s="213"/>
      <c r="AY35" s="213"/>
      <c r="AZ35" s="213"/>
      <c r="BA35" s="213"/>
      <c r="BB35" s="213"/>
      <c r="BC35" s="213"/>
      <c r="BD35" s="213"/>
      <c r="BE35" s="213"/>
      <c r="BF35" s="213"/>
      <c r="BG35" s="213"/>
      <c r="BH35" s="213"/>
      <c r="BI35" s="213"/>
      <c r="BJ35" s="213"/>
      <c r="BK35" s="213"/>
      <c r="BL35" s="213"/>
      <c r="BM35" s="213"/>
      <c r="BN35" s="213"/>
      <c r="BO35" s="213"/>
      <c r="BP35" s="213"/>
      <c r="BQ35" s="213"/>
      <c r="BR35" s="213"/>
      <c r="BS35" s="213"/>
      <c r="BT35" s="213"/>
      <c r="BU35" s="213"/>
      <c r="BV35" s="213"/>
      <c r="BW35" s="213"/>
      <c r="BX35" s="213"/>
    </row>
    <row r="36" spans="1:76" s="126" customFormat="1" ht="11.25" customHeight="1" x14ac:dyDescent="0.2">
      <c r="A36" s="5"/>
      <c r="B36" s="5"/>
      <c r="C36" s="5"/>
      <c r="D36" s="5"/>
      <c r="E36" s="5"/>
      <c r="F36" s="5"/>
      <c r="G36" s="5"/>
      <c r="H36" s="5"/>
      <c r="I36" s="5"/>
      <c r="J36" s="5"/>
      <c r="K36" s="5"/>
      <c r="L36" s="213"/>
      <c r="M36" s="213"/>
      <c r="N36" s="213"/>
      <c r="O36" s="213"/>
      <c r="P36" s="213"/>
      <c r="Q36" s="5"/>
      <c r="R36" s="5"/>
      <c r="S36" s="5"/>
      <c r="T36" s="5"/>
      <c r="U36" s="5"/>
      <c r="V36" s="5"/>
      <c r="W36" s="5"/>
      <c r="X36" s="5"/>
      <c r="Y36" s="213"/>
      <c r="Z36" s="213"/>
      <c r="AA36" s="213"/>
      <c r="AB36" s="213"/>
      <c r="AC36" s="213"/>
      <c r="AD36" s="213"/>
      <c r="AE36" s="213"/>
      <c r="AF36" s="213"/>
      <c r="AG36" s="213"/>
      <c r="AH36" s="213"/>
      <c r="AI36" s="213"/>
      <c r="AJ36" s="213"/>
      <c r="AK36" s="213"/>
      <c r="AL36" s="213"/>
      <c r="AM36" s="213"/>
      <c r="AN36" s="213"/>
      <c r="AO36" s="213"/>
      <c r="AP36" s="213"/>
      <c r="AQ36" s="213"/>
      <c r="AR36" s="213"/>
      <c r="AS36" s="213"/>
      <c r="AT36" s="213"/>
      <c r="AU36" s="213"/>
      <c r="AV36" s="213"/>
      <c r="AW36" s="213"/>
      <c r="AX36" s="213"/>
      <c r="AY36" s="213"/>
      <c r="AZ36" s="213"/>
      <c r="BA36" s="213"/>
      <c r="BB36" s="213"/>
      <c r="BC36" s="213"/>
      <c r="BD36" s="213"/>
      <c r="BE36" s="213"/>
      <c r="BF36" s="213"/>
      <c r="BG36" s="213"/>
      <c r="BH36" s="213"/>
      <c r="BI36" s="213"/>
      <c r="BJ36" s="213"/>
      <c r="BK36" s="213"/>
      <c r="BL36" s="213"/>
      <c r="BM36" s="213"/>
      <c r="BN36" s="213"/>
      <c r="BO36" s="213"/>
      <c r="BP36" s="213"/>
      <c r="BQ36" s="213"/>
      <c r="BR36" s="213"/>
      <c r="BS36" s="213"/>
      <c r="BT36" s="213"/>
      <c r="BU36" s="213"/>
      <c r="BV36" s="213"/>
      <c r="BW36" s="213"/>
      <c r="BX36" s="213"/>
    </row>
    <row r="37" spans="1:76" s="126" customFormat="1" ht="11.25" customHeight="1" x14ac:dyDescent="0.2">
      <c r="A37" s="5"/>
      <c r="B37" s="5"/>
      <c r="C37" s="5"/>
      <c r="D37" s="5"/>
      <c r="E37" s="5"/>
      <c r="F37" s="5"/>
      <c r="G37" s="5"/>
      <c r="H37" s="5"/>
      <c r="I37" s="5"/>
      <c r="J37" s="5"/>
      <c r="K37" s="5"/>
      <c r="L37" s="213"/>
      <c r="M37" s="213"/>
      <c r="N37" s="213"/>
      <c r="O37" s="213"/>
      <c r="P37" s="213"/>
      <c r="Q37" s="5"/>
      <c r="R37" s="5"/>
      <c r="S37" s="5"/>
      <c r="T37" s="5"/>
      <c r="U37" s="5"/>
      <c r="V37" s="5"/>
      <c r="W37" s="5"/>
      <c r="X37" s="5"/>
      <c r="Y37" s="213"/>
      <c r="Z37" s="213"/>
      <c r="AA37" s="213"/>
      <c r="AB37" s="213"/>
      <c r="AC37" s="213"/>
      <c r="AD37" s="213"/>
      <c r="AE37" s="213"/>
      <c r="AF37" s="213"/>
      <c r="AG37" s="213"/>
      <c r="AH37" s="213"/>
      <c r="AI37" s="213"/>
      <c r="AJ37" s="213"/>
      <c r="AK37" s="213"/>
      <c r="AL37" s="213"/>
      <c r="AM37" s="213"/>
      <c r="AN37" s="213"/>
      <c r="AO37" s="213"/>
      <c r="AP37" s="213"/>
      <c r="AQ37" s="213"/>
      <c r="AR37" s="213"/>
      <c r="AS37" s="213"/>
      <c r="AT37" s="213"/>
      <c r="AU37" s="213"/>
      <c r="AV37" s="213"/>
      <c r="AW37" s="213"/>
      <c r="AX37" s="213"/>
      <c r="AY37" s="213"/>
      <c r="AZ37" s="213"/>
      <c r="BA37" s="213"/>
      <c r="BB37" s="213"/>
      <c r="BC37" s="213"/>
      <c r="BD37" s="213"/>
      <c r="BE37" s="213"/>
      <c r="BF37" s="213"/>
      <c r="BG37" s="213"/>
      <c r="BH37" s="213"/>
      <c r="BI37" s="213"/>
      <c r="BJ37" s="213"/>
      <c r="BK37" s="213"/>
      <c r="BL37" s="213"/>
      <c r="BM37" s="213"/>
      <c r="BN37" s="213"/>
      <c r="BO37" s="213"/>
      <c r="BP37" s="213"/>
      <c r="BQ37" s="213"/>
      <c r="BR37" s="213"/>
      <c r="BS37" s="213"/>
      <c r="BT37" s="213"/>
      <c r="BU37" s="213"/>
      <c r="BV37" s="213"/>
      <c r="BW37" s="213"/>
      <c r="BX37" s="213"/>
    </row>
    <row r="38" spans="1:76" s="126" customFormat="1" ht="11.25" customHeight="1" x14ac:dyDescent="0.2">
      <c r="A38" s="5"/>
      <c r="B38" s="5"/>
      <c r="C38" s="5"/>
      <c r="D38" s="5"/>
      <c r="E38" s="5"/>
      <c r="F38" s="5"/>
      <c r="G38" s="5"/>
      <c r="H38" s="5"/>
      <c r="I38" s="5"/>
      <c r="J38" s="5"/>
      <c r="K38" s="5"/>
      <c r="L38" s="213"/>
      <c r="M38" s="213"/>
      <c r="N38" s="213"/>
      <c r="O38" s="213"/>
      <c r="P38" s="213"/>
      <c r="Q38" s="5"/>
      <c r="R38" s="5"/>
      <c r="S38" s="5"/>
      <c r="T38" s="5"/>
      <c r="U38" s="5"/>
      <c r="V38" s="5"/>
      <c r="W38" s="5"/>
      <c r="X38" s="5"/>
      <c r="Y38" s="213"/>
      <c r="Z38" s="213"/>
      <c r="AA38" s="213"/>
      <c r="AB38" s="213"/>
      <c r="AC38" s="213"/>
      <c r="AD38" s="213"/>
      <c r="AE38" s="213"/>
      <c r="AF38" s="213"/>
      <c r="AG38" s="213"/>
      <c r="AH38" s="213"/>
      <c r="AI38" s="213"/>
      <c r="AJ38" s="213"/>
      <c r="AK38" s="213"/>
      <c r="AL38" s="213"/>
      <c r="AM38" s="213"/>
      <c r="AN38" s="213"/>
      <c r="AO38" s="213"/>
      <c r="AP38" s="213"/>
      <c r="AQ38" s="213"/>
      <c r="AR38" s="213"/>
      <c r="AS38" s="213"/>
      <c r="AT38" s="213"/>
      <c r="AU38" s="213"/>
      <c r="AV38" s="213"/>
      <c r="AW38" s="213"/>
      <c r="AX38" s="213"/>
      <c r="AY38" s="213"/>
      <c r="AZ38" s="213"/>
      <c r="BA38" s="213"/>
      <c r="BB38" s="213"/>
      <c r="BC38" s="213"/>
      <c r="BD38" s="213"/>
      <c r="BE38" s="213"/>
      <c r="BF38" s="213"/>
      <c r="BG38" s="213"/>
      <c r="BH38" s="213"/>
      <c r="BI38" s="213"/>
      <c r="BJ38" s="213"/>
      <c r="BK38" s="213"/>
      <c r="BL38" s="213"/>
      <c r="BM38" s="213"/>
      <c r="BN38" s="213"/>
      <c r="BO38" s="213"/>
      <c r="BP38" s="213"/>
      <c r="BQ38" s="213"/>
      <c r="BR38" s="213"/>
      <c r="BS38" s="213"/>
      <c r="BT38" s="213"/>
      <c r="BU38" s="213"/>
      <c r="BV38" s="213"/>
      <c r="BW38" s="213"/>
      <c r="BX38" s="213"/>
    </row>
    <row r="39" spans="1:76" s="126" customFormat="1" ht="11.25" customHeight="1" x14ac:dyDescent="0.2">
      <c r="A39" s="5"/>
      <c r="B39" s="5"/>
      <c r="C39" s="5"/>
      <c r="D39" s="5"/>
      <c r="E39" s="5"/>
      <c r="F39" s="5"/>
      <c r="G39" s="5"/>
      <c r="H39" s="5"/>
      <c r="I39" s="5"/>
      <c r="J39" s="5"/>
      <c r="K39" s="5"/>
      <c r="L39" s="213"/>
      <c r="M39" s="213"/>
      <c r="N39" s="213"/>
      <c r="O39" s="213"/>
      <c r="P39" s="213"/>
      <c r="Q39" s="5"/>
      <c r="R39" s="5"/>
      <c r="S39" s="5"/>
      <c r="T39" s="5"/>
      <c r="U39" s="5"/>
      <c r="V39" s="5"/>
      <c r="W39" s="5"/>
      <c r="X39" s="5"/>
      <c r="Y39" s="213"/>
      <c r="Z39" s="213"/>
      <c r="AA39" s="213"/>
      <c r="AB39" s="213"/>
      <c r="AC39" s="213"/>
      <c r="AD39" s="213"/>
      <c r="AE39" s="213"/>
      <c r="AF39" s="213"/>
      <c r="AG39" s="213"/>
      <c r="AH39" s="213"/>
      <c r="AI39" s="213"/>
      <c r="AJ39" s="213"/>
      <c r="AK39" s="213"/>
      <c r="AL39" s="213"/>
      <c r="AM39" s="213"/>
      <c r="AN39" s="213"/>
      <c r="AO39" s="213"/>
      <c r="AP39" s="213"/>
      <c r="AQ39" s="213"/>
      <c r="AR39" s="213"/>
      <c r="AS39" s="213"/>
      <c r="AT39" s="213"/>
      <c r="AU39" s="213"/>
      <c r="AV39" s="213"/>
      <c r="AW39" s="213"/>
      <c r="AX39" s="213"/>
      <c r="AY39" s="213"/>
      <c r="AZ39" s="213"/>
      <c r="BA39" s="213"/>
      <c r="BB39" s="213"/>
      <c r="BC39" s="213"/>
      <c r="BD39" s="213"/>
      <c r="BE39" s="213"/>
      <c r="BF39" s="213"/>
      <c r="BG39" s="213"/>
      <c r="BH39" s="213"/>
      <c r="BI39" s="213"/>
      <c r="BJ39" s="213"/>
      <c r="BK39" s="213"/>
      <c r="BL39" s="213"/>
      <c r="BM39" s="213"/>
      <c r="BN39" s="213"/>
      <c r="BO39" s="213"/>
      <c r="BP39" s="213"/>
      <c r="BQ39" s="213"/>
      <c r="BR39" s="213"/>
      <c r="BS39" s="213"/>
      <c r="BT39" s="213"/>
      <c r="BU39" s="213"/>
      <c r="BV39" s="213"/>
      <c r="BW39" s="213"/>
      <c r="BX39" s="213"/>
    </row>
    <row r="40" spans="1:76" s="126" customFormat="1" ht="11.25" customHeight="1" x14ac:dyDescent="0.2">
      <c r="A40" s="5"/>
      <c r="B40" s="5"/>
      <c r="C40" s="5"/>
      <c r="D40" s="5"/>
      <c r="E40" s="5"/>
      <c r="F40" s="5"/>
      <c r="G40" s="5"/>
      <c r="H40" s="5"/>
      <c r="I40" s="5"/>
      <c r="J40" s="5"/>
      <c r="K40" s="5"/>
      <c r="L40" s="213"/>
      <c r="M40" s="213"/>
      <c r="N40" s="213"/>
      <c r="O40" s="213"/>
      <c r="P40" s="213"/>
      <c r="Q40" s="5"/>
      <c r="R40" s="5"/>
      <c r="S40" s="5"/>
      <c r="T40" s="5"/>
      <c r="U40" s="5"/>
      <c r="V40" s="5"/>
      <c r="W40" s="5"/>
      <c r="X40" s="5"/>
      <c r="Y40" s="213"/>
      <c r="Z40" s="213"/>
      <c r="AA40" s="213"/>
      <c r="AB40" s="213"/>
      <c r="AC40" s="213"/>
      <c r="AD40" s="213"/>
      <c r="AE40" s="213"/>
      <c r="AF40" s="213"/>
      <c r="AG40" s="213"/>
      <c r="AH40" s="213"/>
      <c r="AI40" s="213"/>
      <c r="AJ40" s="213"/>
      <c r="AK40" s="213"/>
      <c r="AL40" s="213"/>
      <c r="AM40" s="213"/>
      <c r="AN40" s="213"/>
      <c r="AO40" s="213"/>
      <c r="AP40" s="213"/>
      <c r="AQ40" s="213"/>
      <c r="AR40" s="213"/>
      <c r="AS40" s="213"/>
      <c r="AT40" s="213"/>
      <c r="AU40" s="213"/>
      <c r="AV40" s="213"/>
      <c r="AW40" s="213"/>
      <c r="AX40" s="213"/>
      <c r="AY40" s="213"/>
      <c r="AZ40" s="213"/>
      <c r="BA40" s="213"/>
      <c r="BB40" s="213"/>
      <c r="BC40" s="213"/>
      <c r="BD40" s="213"/>
      <c r="BE40" s="213"/>
      <c r="BF40" s="213"/>
      <c r="BG40" s="213"/>
      <c r="BH40" s="213"/>
      <c r="BI40" s="213"/>
      <c r="BJ40" s="213"/>
      <c r="BK40" s="213"/>
      <c r="BL40" s="213"/>
      <c r="BM40" s="213"/>
      <c r="BN40" s="213"/>
      <c r="BO40" s="213"/>
      <c r="BP40" s="213"/>
      <c r="BQ40" s="213"/>
      <c r="BR40" s="213"/>
      <c r="BS40" s="213"/>
      <c r="BT40" s="213"/>
      <c r="BU40" s="213"/>
      <c r="BV40" s="213"/>
      <c r="BW40" s="213"/>
      <c r="BX40" s="213"/>
    </row>
    <row r="41" spans="1:76" s="126" customFormat="1" ht="11.25" customHeight="1" x14ac:dyDescent="0.2">
      <c r="A41" s="5"/>
      <c r="B41" s="5"/>
      <c r="C41" s="5"/>
      <c r="D41" s="5"/>
      <c r="E41" s="5"/>
      <c r="F41" s="5"/>
      <c r="G41" s="5"/>
      <c r="H41" s="5"/>
      <c r="I41" s="5"/>
      <c r="J41" s="5"/>
      <c r="K41" s="5"/>
      <c r="L41" s="213"/>
      <c r="M41" s="213"/>
      <c r="N41" s="213"/>
      <c r="O41" s="213"/>
      <c r="P41" s="213"/>
      <c r="Q41" s="5"/>
      <c r="R41" s="5"/>
      <c r="S41" s="5"/>
      <c r="T41" s="5"/>
      <c r="U41" s="5"/>
      <c r="V41" s="5"/>
      <c r="W41" s="5"/>
      <c r="X41" s="5"/>
      <c r="Y41" s="213"/>
      <c r="Z41" s="213"/>
      <c r="AA41" s="213"/>
      <c r="AB41" s="213"/>
      <c r="AC41" s="213"/>
      <c r="AD41" s="213"/>
      <c r="AE41" s="213"/>
      <c r="AF41" s="213"/>
      <c r="AG41" s="213"/>
      <c r="AH41" s="213"/>
      <c r="AI41" s="213"/>
      <c r="AJ41" s="213"/>
      <c r="AK41" s="213"/>
      <c r="AL41" s="213"/>
      <c r="AM41" s="213"/>
      <c r="AN41" s="213"/>
      <c r="AO41" s="213"/>
      <c r="AP41" s="213"/>
      <c r="AQ41" s="213"/>
      <c r="AR41" s="213"/>
      <c r="AS41" s="213"/>
      <c r="AT41" s="213"/>
      <c r="AU41" s="213"/>
      <c r="AV41" s="213"/>
      <c r="AW41" s="213"/>
      <c r="AX41" s="213"/>
      <c r="AY41" s="213"/>
      <c r="AZ41" s="213"/>
      <c r="BA41" s="213"/>
      <c r="BB41" s="213"/>
      <c r="BC41" s="213"/>
      <c r="BD41" s="213"/>
      <c r="BE41" s="213"/>
      <c r="BF41" s="213"/>
      <c r="BG41" s="213"/>
      <c r="BH41" s="213"/>
      <c r="BI41" s="213"/>
      <c r="BJ41" s="213"/>
      <c r="BK41" s="213"/>
      <c r="BL41" s="213"/>
      <c r="BM41" s="213"/>
      <c r="BN41" s="213"/>
      <c r="BO41" s="213"/>
      <c r="BP41" s="213"/>
      <c r="BQ41" s="213"/>
      <c r="BR41" s="213"/>
      <c r="BS41" s="213"/>
      <c r="BT41" s="213"/>
      <c r="BU41" s="213"/>
      <c r="BV41" s="213"/>
      <c r="BW41" s="213"/>
      <c r="BX41" s="213"/>
    </row>
    <row r="42" spans="1:76" s="126" customFormat="1" ht="11.25" customHeight="1" x14ac:dyDescent="0.2">
      <c r="A42" s="5"/>
      <c r="B42" s="5"/>
      <c r="C42" s="5"/>
      <c r="D42" s="5"/>
      <c r="E42" s="5"/>
      <c r="F42" s="5"/>
      <c r="G42" s="5"/>
      <c r="H42" s="5"/>
      <c r="I42" s="5"/>
      <c r="J42" s="5"/>
      <c r="K42" s="5"/>
      <c r="L42" s="213"/>
      <c r="M42" s="213"/>
      <c r="N42" s="213"/>
      <c r="O42" s="213"/>
      <c r="P42" s="213"/>
      <c r="Q42" s="5"/>
      <c r="R42" s="5"/>
      <c r="S42" s="5"/>
      <c r="T42" s="5"/>
      <c r="U42" s="5"/>
      <c r="V42" s="5"/>
      <c r="W42" s="5"/>
      <c r="X42" s="5"/>
      <c r="Y42" s="213"/>
      <c r="Z42" s="213"/>
      <c r="AA42" s="213"/>
      <c r="AB42" s="213"/>
      <c r="AC42" s="213"/>
      <c r="AD42" s="213"/>
      <c r="AE42" s="213"/>
      <c r="AF42" s="213"/>
      <c r="AG42" s="213"/>
      <c r="AH42" s="213"/>
      <c r="AI42" s="213"/>
      <c r="AJ42" s="213"/>
      <c r="AK42" s="213"/>
      <c r="AL42" s="213"/>
      <c r="AM42" s="213"/>
      <c r="AN42" s="213"/>
      <c r="AO42" s="213"/>
      <c r="AP42" s="213"/>
      <c r="AQ42" s="213"/>
      <c r="AR42" s="213"/>
      <c r="AS42" s="213"/>
      <c r="AT42" s="213"/>
      <c r="AU42" s="213"/>
      <c r="AV42" s="213"/>
      <c r="AW42" s="213"/>
      <c r="AX42" s="213"/>
      <c r="AY42" s="213"/>
      <c r="AZ42" s="213"/>
      <c r="BA42" s="213"/>
      <c r="BB42" s="213"/>
      <c r="BC42" s="213"/>
      <c r="BD42" s="213"/>
      <c r="BE42" s="213"/>
      <c r="BF42" s="213"/>
      <c r="BG42" s="213"/>
      <c r="BH42" s="213"/>
      <c r="BI42" s="213"/>
      <c r="BJ42" s="213"/>
      <c r="BK42" s="213"/>
      <c r="BL42" s="213"/>
      <c r="BM42" s="213"/>
      <c r="BN42" s="213"/>
      <c r="BO42" s="213"/>
      <c r="BP42" s="213"/>
      <c r="BQ42" s="213"/>
      <c r="BR42" s="213"/>
      <c r="BS42" s="213"/>
      <c r="BT42" s="213"/>
      <c r="BU42" s="213"/>
      <c r="BV42" s="213"/>
      <c r="BW42" s="213"/>
      <c r="BX42" s="213"/>
    </row>
    <row r="43" spans="1:76" s="126" customFormat="1" ht="11.25" customHeight="1" x14ac:dyDescent="0.2">
      <c r="A43" s="5"/>
      <c r="B43" s="5"/>
      <c r="C43" s="5"/>
      <c r="D43" s="5"/>
      <c r="E43" s="5"/>
      <c r="F43" s="5"/>
      <c r="G43" s="5"/>
      <c r="H43" s="5"/>
      <c r="I43" s="5"/>
      <c r="J43" s="5"/>
      <c r="K43" s="5"/>
      <c r="L43" s="213"/>
      <c r="M43" s="213"/>
      <c r="N43" s="213"/>
      <c r="O43" s="213"/>
      <c r="P43" s="213"/>
      <c r="Q43" s="5"/>
      <c r="R43" s="5"/>
      <c r="S43" s="5"/>
      <c r="T43" s="5"/>
      <c r="U43" s="5"/>
      <c r="V43" s="5"/>
      <c r="W43" s="5"/>
      <c r="X43" s="5"/>
      <c r="Y43" s="213"/>
      <c r="Z43" s="213"/>
      <c r="AA43" s="213"/>
      <c r="AB43" s="213"/>
      <c r="AC43" s="213"/>
      <c r="AD43" s="213"/>
      <c r="AE43" s="213"/>
      <c r="AF43" s="213"/>
      <c r="AG43" s="213"/>
      <c r="AH43" s="213"/>
      <c r="AI43" s="213"/>
      <c r="AJ43" s="213"/>
      <c r="AK43" s="213"/>
      <c r="AL43" s="213"/>
      <c r="AM43" s="213"/>
      <c r="AN43" s="213"/>
      <c r="AO43" s="213"/>
      <c r="AP43" s="213"/>
      <c r="AQ43" s="213"/>
      <c r="AR43" s="213"/>
      <c r="AS43" s="213"/>
      <c r="AT43" s="213"/>
      <c r="AU43" s="213"/>
      <c r="AV43" s="213"/>
      <c r="AW43" s="213"/>
      <c r="AX43" s="213"/>
      <c r="AY43" s="213"/>
      <c r="AZ43" s="213"/>
      <c r="BA43" s="213"/>
      <c r="BB43" s="213"/>
      <c r="BC43" s="213"/>
      <c r="BD43" s="213"/>
      <c r="BE43" s="213"/>
      <c r="BF43" s="213"/>
      <c r="BG43" s="213"/>
      <c r="BH43" s="213"/>
      <c r="BI43" s="213"/>
      <c r="BJ43" s="213"/>
      <c r="BK43" s="213"/>
      <c r="BL43" s="213"/>
      <c r="BM43" s="213"/>
      <c r="BN43" s="213"/>
      <c r="BO43" s="213"/>
      <c r="BP43" s="213"/>
      <c r="BQ43" s="213"/>
      <c r="BR43" s="213"/>
      <c r="BS43" s="213"/>
      <c r="BT43" s="213"/>
      <c r="BU43" s="213"/>
      <c r="BV43" s="213"/>
      <c r="BW43" s="213"/>
      <c r="BX43" s="213"/>
    </row>
    <row r="44" spans="1:76" s="126" customFormat="1" ht="11.25" customHeight="1" x14ac:dyDescent="0.2">
      <c r="A44" s="5"/>
      <c r="B44" s="5"/>
      <c r="C44" s="5"/>
      <c r="D44" s="5"/>
      <c r="E44" s="5"/>
      <c r="F44" s="5"/>
      <c r="G44" s="5"/>
      <c r="H44" s="5"/>
      <c r="I44" s="5"/>
      <c r="J44" s="5"/>
      <c r="K44" s="5"/>
      <c r="L44" s="213"/>
      <c r="M44" s="213"/>
      <c r="N44" s="213"/>
      <c r="O44" s="213"/>
      <c r="P44" s="213"/>
      <c r="Q44" s="5"/>
      <c r="R44" s="5"/>
      <c r="S44" s="5"/>
      <c r="T44" s="5"/>
      <c r="U44" s="5"/>
      <c r="V44" s="5"/>
      <c r="W44" s="5"/>
      <c r="X44" s="5"/>
      <c r="Y44" s="213"/>
      <c r="Z44" s="213"/>
      <c r="AA44" s="213"/>
      <c r="AB44" s="213"/>
      <c r="AC44" s="213"/>
      <c r="AD44" s="213"/>
      <c r="AE44" s="213"/>
      <c r="AF44" s="213"/>
      <c r="AG44" s="213"/>
      <c r="AH44" s="213"/>
      <c r="AI44" s="213"/>
      <c r="AJ44" s="213"/>
      <c r="AK44" s="213"/>
      <c r="AL44" s="213"/>
      <c r="AM44" s="213"/>
      <c r="AN44" s="213"/>
      <c r="AO44" s="213"/>
      <c r="AP44" s="213"/>
      <c r="AQ44" s="213"/>
      <c r="AR44" s="213"/>
      <c r="AS44" s="213"/>
      <c r="AT44" s="213"/>
      <c r="AU44" s="213"/>
      <c r="AV44" s="213"/>
      <c r="AW44" s="213"/>
      <c r="AX44" s="213"/>
      <c r="AY44" s="213"/>
      <c r="AZ44" s="213"/>
      <c r="BA44" s="213"/>
      <c r="BB44" s="213"/>
      <c r="BC44" s="213"/>
      <c r="BD44" s="213"/>
      <c r="BE44" s="213"/>
      <c r="BF44" s="213"/>
      <c r="BG44" s="213"/>
      <c r="BH44" s="213"/>
      <c r="BI44" s="213"/>
      <c r="BJ44" s="213"/>
      <c r="BK44" s="213"/>
      <c r="BL44" s="213"/>
      <c r="BM44" s="213"/>
      <c r="BN44" s="213"/>
      <c r="BO44" s="213"/>
      <c r="BP44" s="213"/>
      <c r="BQ44" s="213"/>
      <c r="BR44" s="213"/>
      <c r="BS44" s="213"/>
      <c r="BT44" s="213"/>
      <c r="BU44" s="213"/>
      <c r="BV44" s="213"/>
      <c r="BW44" s="213"/>
      <c r="BX44" s="213"/>
    </row>
    <row r="45" spans="1:76" s="126" customFormat="1" ht="11.25" customHeight="1" x14ac:dyDescent="0.2">
      <c r="A45" s="5"/>
      <c r="B45" s="5"/>
      <c r="C45" s="5"/>
      <c r="D45" s="5"/>
      <c r="E45" s="5"/>
      <c r="F45" s="5"/>
      <c r="G45" s="5"/>
      <c r="H45" s="5"/>
      <c r="I45" s="5"/>
      <c r="J45" s="5"/>
      <c r="K45" s="5"/>
      <c r="L45" s="213"/>
      <c r="M45" s="213"/>
      <c r="N45" s="213"/>
      <c r="O45" s="213"/>
      <c r="P45" s="213"/>
      <c r="Q45" s="5"/>
      <c r="R45" s="5"/>
      <c r="S45" s="5"/>
      <c r="T45" s="5"/>
      <c r="U45" s="5"/>
      <c r="V45" s="5"/>
      <c r="W45" s="5"/>
      <c r="X45" s="5"/>
      <c r="Y45" s="213"/>
      <c r="Z45" s="213"/>
      <c r="AA45" s="213"/>
      <c r="AB45" s="213"/>
      <c r="AC45" s="213"/>
      <c r="AD45" s="213"/>
      <c r="AE45" s="213"/>
      <c r="AF45" s="213"/>
      <c r="AG45" s="213"/>
      <c r="AH45" s="213"/>
      <c r="AI45" s="213"/>
      <c r="AJ45" s="213"/>
      <c r="AK45" s="213"/>
      <c r="AL45" s="213"/>
      <c r="AM45" s="213"/>
      <c r="AN45" s="213"/>
      <c r="AO45" s="213"/>
      <c r="AP45" s="213"/>
      <c r="AQ45" s="213"/>
      <c r="AR45" s="213"/>
      <c r="AS45" s="213"/>
      <c r="AT45" s="213"/>
      <c r="AU45" s="213"/>
      <c r="AV45" s="213"/>
      <c r="AW45" s="213"/>
      <c r="AX45" s="213"/>
      <c r="AY45" s="213"/>
      <c r="AZ45" s="213"/>
      <c r="BA45" s="213"/>
      <c r="BB45" s="213"/>
      <c r="BC45" s="213"/>
      <c r="BD45" s="213"/>
      <c r="BE45" s="213"/>
      <c r="BF45" s="213"/>
      <c r="BG45" s="213"/>
      <c r="BH45" s="213"/>
      <c r="BI45" s="213"/>
      <c r="BJ45" s="213"/>
      <c r="BK45" s="213"/>
      <c r="BL45" s="213"/>
      <c r="BM45" s="213"/>
      <c r="BN45" s="213"/>
      <c r="BO45" s="213"/>
      <c r="BP45" s="213"/>
      <c r="BQ45" s="213"/>
      <c r="BR45" s="213"/>
      <c r="BS45" s="213"/>
      <c r="BT45" s="213"/>
      <c r="BU45" s="213"/>
      <c r="BV45" s="213"/>
      <c r="BW45" s="213"/>
      <c r="BX45" s="213"/>
    </row>
    <row r="46" spans="1:76" s="126" customFormat="1" ht="11.25" customHeight="1" x14ac:dyDescent="0.2">
      <c r="A46" s="5"/>
      <c r="B46" s="5"/>
      <c r="C46" s="5"/>
      <c r="D46" s="5"/>
      <c r="E46" s="5"/>
      <c r="F46" s="5"/>
      <c r="G46" s="5"/>
      <c r="H46" s="5"/>
      <c r="I46" s="5"/>
      <c r="J46" s="5"/>
      <c r="K46" s="5"/>
      <c r="L46" s="213"/>
      <c r="M46" s="213"/>
      <c r="N46" s="213"/>
      <c r="O46" s="213"/>
      <c r="P46" s="213"/>
      <c r="Q46" s="5"/>
      <c r="R46" s="5"/>
      <c r="S46" s="5"/>
      <c r="T46" s="5"/>
      <c r="U46" s="5"/>
      <c r="V46" s="5"/>
      <c r="W46" s="5"/>
      <c r="X46" s="5"/>
      <c r="Y46" s="213"/>
      <c r="Z46" s="213"/>
      <c r="AA46" s="213"/>
      <c r="AB46" s="213"/>
      <c r="AC46" s="213"/>
      <c r="AD46" s="213"/>
      <c r="AE46" s="213"/>
      <c r="AF46" s="213"/>
      <c r="AG46" s="213"/>
      <c r="AH46" s="213"/>
      <c r="AI46" s="213"/>
      <c r="AJ46" s="213"/>
      <c r="AK46" s="213"/>
      <c r="AL46" s="213"/>
      <c r="AM46" s="213"/>
      <c r="AN46" s="213"/>
      <c r="AO46" s="213"/>
      <c r="AP46" s="213"/>
      <c r="AQ46" s="213"/>
      <c r="AR46" s="213"/>
      <c r="AS46" s="213"/>
      <c r="AT46" s="213"/>
      <c r="AU46" s="213"/>
      <c r="AV46" s="213"/>
      <c r="AW46" s="213"/>
      <c r="AX46" s="213"/>
      <c r="AY46" s="213"/>
      <c r="AZ46" s="213"/>
      <c r="BA46" s="213"/>
      <c r="BB46" s="213"/>
      <c r="BC46" s="213"/>
      <c r="BD46" s="213"/>
      <c r="BE46" s="213"/>
      <c r="BF46" s="213"/>
      <c r="BG46" s="213"/>
      <c r="BH46" s="213"/>
      <c r="BI46" s="213"/>
      <c r="BJ46" s="213"/>
      <c r="BK46" s="213"/>
      <c r="BL46" s="213"/>
      <c r="BM46" s="213"/>
      <c r="BN46" s="213"/>
      <c r="BO46" s="213"/>
      <c r="BP46" s="213"/>
      <c r="BQ46" s="213"/>
      <c r="BR46" s="213"/>
      <c r="BS46" s="213"/>
      <c r="BT46" s="213"/>
      <c r="BU46" s="213"/>
      <c r="BV46" s="213"/>
      <c r="BW46" s="213"/>
      <c r="BX46" s="213"/>
    </row>
    <row r="47" spans="1:76" s="126" customFormat="1" ht="11.25" customHeight="1" x14ac:dyDescent="0.2">
      <c r="A47" s="5"/>
      <c r="B47" s="5"/>
      <c r="C47" s="5"/>
      <c r="D47" s="5"/>
      <c r="E47" s="5"/>
      <c r="F47" s="5"/>
      <c r="G47" s="5"/>
      <c r="H47" s="5"/>
      <c r="I47" s="5"/>
      <c r="J47" s="5"/>
      <c r="K47" s="5"/>
      <c r="L47" s="213"/>
      <c r="M47" s="213"/>
      <c r="N47" s="213"/>
      <c r="O47" s="213"/>
      <c r="P47" s="213"/>
      <c r="Q47" s="5"/>
      <c r="R47" s="5"/>
      <c r="S47" s="5"/>
      <c r="T47" s="5"/>
      <c r="U47" s="5"/>
      <c r="V47" s="5"/>
      <c r="W47" s="5"/>
      <c r="X47" s="5"/>
      <c r="Y47" s="213"/>
      <c r="Z47" s="213"/>
      <c r="AA47" s="213"/>
      <c r="AB47" s="213"/>
      <c r="AC47" s="213"/>
      <c r="AD47" s="213"/>
      <c r="AE47" s="213"/>
      <c r="AF47" s="213"/>
      <c r="AG47" s="213"/>
      <c r="AH47" s="213"/>
      <c r="AI47" s="213"/>
      <c r="AJ47" s="213"/>
      <c r="AK47" s="213"/>
      <c r="AL47" s="213"/>
      <c r="AM47" s="213"/>
      <c r="AN47" s="213"/>
      <c r="AO47" s="213"/>
      <c r="AP47" s="213"/>
      <c r="AQ47" s="213"/>
      <c r="AR47" s="213"/>
      <c r="AS47" s="213"/>
      <c r="AT47" s="213"/>
      <c r="AU47" s="213"/>
      <c r="AV47" s="213"/>
      <c r="AW47" s="213"/>
      <c r="AX47" s="213"/>
      <c r="AY47" s="213"/>
      <c r="AZ47" s="213"/>
      <c r="BA47" s="213"/>
      <c r="BB47" s="213"/>
      <c r="BC47" s="213"/>
      <c r="BD47" s="213"/>
      <c r="BE47" s="213"/>
      <c r="BF47" s="213"/>
      <c r="BG47" s="213"/>
      <c r="BH47" s="213"/>
      <c r="BI47" s="213"/>
      <c r="BJ47" s="213"/>
      <c r="BK47" s="213"/>
      <c r="BL47" s="213"/>
      <c r="BM47" s="213"/>
      <c r="BN47" s="213"/>
      <c r="BO47" s="213"/>
      <c r="BP47" s="213"/>
      <c r="BQ47" s="213"/>
      <c r="BR47" s="213"/>
      <c r="BS47" s="213"/>
      <c r="BT47" s="213"/>
      <c r="BU47" s="213"/>
      <c r="BV47" s="213"/>
      <c r="BW47" s="213"/>
      <c r="BX47" s="213"/>
    </row>
    <row r="48" spans="1:76" s="126" customFormat="1" ht="11.25" customHeight="1" x14ac:dyDescent="0.2">
      <c r="A48" s="5"/>
      <c r="B48" s="5"/>
      <c r="C48" s="5"/>
      <c r="D48" s="5"/>
      <c r="E48" s="5"/>
      <c r="F48" s="5"/>
      <c r="G48" s="5"/>
      <c r="H48" s="5"/>
      <c r="I48" s="5"/>
      <c r="J48" s="5"/>
      <c r="K48" s="5"/>
      <c r="L48" s="213"/>
      <c r="M48" s="213"/>
      <c r="N48" s="213"/>
      <c r="O48" s="213"/>
      <c r="P48" s="213"/>
      <c r="Q48" s="5"/>
      <c r="R48" s="5"/>
      <c r="S48" s="5"/>
      <c r="T48" s="5"/>
      <c r="U48" s="5"/>
      <c r="V48" s="5"/>
      <c r="W48" s="5"/>
      <c r="X48" s="5"/>
      <c r="Y48" s="213"/>
      <c r="Z48" s="213"/>
      <c r="AA48" s="213"/>
      <c r="AB48" s="213"/>
      <c r="AC48" s="213"/>
      <c r="AD48" s="213"/>
      <c r="AE48" s="213"/>
      <c r="AF48" s="213"/>
      <c r="AG48" s="213"/>
      <c r="AH48" s="213"/>
      <c r="AI48" s="213"/>
      <c r="AJ48" s="213"/>
      <c r="AK48" s="213"/>
      <c r="AL48" s="213"/>
      <c r="AM48" s="213"/>
      <c r="AN48" s="213"/>
      <c r="AO48" s="213"/>
      <c r="AP48" s="213"/>
      <c r="AQ48" s="213"/>
      <c r="AR48" s="213"/>
      <c r="AS48" s="213"/>
      <c r="AT48" s="213"/>
      <c r="AU48" s="213"/>
      <c r="AV48" s="213"/>
      <c r="AW48" s="213"/>
      <c r="AX48" s="213"/>
      <c r="AY48" s="213"/>
      <c r="AZ48" s="213"/>
      <c r="BA48" s="213"/>
      <c r="BB48" s="213"/>
      <c r="BC48" s="213"/>
      <c r="BD48" s="213"/>
      <c r="BE48" s="213"/>
      <c r="BF48" s="213"/>
      <c r="BG48" s="213"/>
      <c r="BH48" s="213"/>
      <c r="BI48" s="213"/>
      <c r="BJ48" s="213"/>
      <c r="BK48" s="213"/>
      <c r="BL48" s="213"/>
      <c r="BM48" s="213"/>
      <c r="BN48" s="213"/>
      <c r="BO48" s="213"/>
      <c r="BP48" s="213"/>
      <c r="BQ48" s="213"/>
      <c r="BR48" s="213"/>
      <c r="BS48" s="213"/>
      <c r="BT48" s="213"/>
      <c r="BU48" s="213"/>
      <c r="BV48" s="213"/>
      <c r="BW48" s="213"/>
      <c r="BX48" s="213"/>
    </row>
    <row r="49" spans="1:76" s="126" customFormat="1" ht="11.25" customHeight="1" x14ac:dyDescent="0.2">
      <c r="A49" s="5"/>
      <c r="B49" s="5"/>
      <c r="C49" s="5"/>
      <c r="D49" s="5"/>
      <c r="E49" s="5"/>
      <c r="F49" s="5"/>
      <c r="G49" s="5"/>
      <c r="H49" s="5"/>
      <c r="I49" s="5"/>
      <c r="J49" s="5"/>
      <c r="K49" s="5"/>
      <c r="L49" s="213"/>
      <c r="M49" s="213"/>
      <c r="N49" s="213"/>
      <c r="O49" s="213"/>
      <c r="P49" s="213"/>
      <c r="Q49" s="5"/>
      <c r="R49" s="5"/>
      <c r="S49" s="5"/>
      <c r="T49" s="5"/>
      <c r="U49" s="5"/>
      <c r="V49" s="5"/>
      <c r="W49" s="5"/>
      <c r="X49" s="5"/>
      <c r="Y49" s="213"/>
      <c r="Z49" s="213"/>
      <c r="AA49" s="213"/>
      <c r="AB49" s="213"/>
      <c r="AC49" s="213"/>
      <c r="AD49" s="213"/>
      <c r="AE49" s="213"/>
      <c r="AF49" s="213"/>
      <c r="AG49" s="213"/>
      <c r="AH49" s="213"/>
      <c r="AI49" s="213"/>
      <c r="AJ49" s="213"/>
      <c r="AK49" s="213"/>
      <c r="AL49" s="213"/>
      <c r="AM49" s="213"/>
      <c r="AN49" s="213"/>
      <c r="AO49" s="213"/>
      <c r="AP49" s="213"/>
      <c r="AQ49" s="213"/>
      <c r="AR49" s="213"/>
      <c r="AS49" s="213"/>
      <c r="AT49" s="213"/>
      <c r="AU49" s="213"/>
      <c r="AV49" s="213"/>
      <c r="AW49" s="213"/>
      <c r="AX49" s="213"/>
      <c r="AY49" s="213"/>
      <c r="AZ49" s="213"/>
      <c r="BA49" s="213"/>
      <c r="BB49" s="213"/>
      <c r="BC49" s="213"/>
      <c r="BD49" s="213"/>
      <c r="BE49" s="213"/>
      <c r="BF49" s="213"/>
      <c r="BG49" s="213"/>
      <c r="BH49" s="213"/>
      <c r="BI49" s="213"/>
      <c r="BJ49" s="213"/>
      <c r="BK49" s="213"/>
      <c r="BL49" s="213"/>
      <c r="BM49" s="213"/>
      <c r="BN49" s="213"/>
      <c r="BO49" s="213"/>
      <c r="BP49" s="213"/>
      <c r="BQ49" s="213"/>
      <c r="BR49" s="213"/>
      <c r="BS49" s="213"/>
      <c r="BT49" s="213"/>
      <c r="BU49" s="213"/>
      <c r="BV49" s="213"/>
      <c r="BW49" s="213"/>
      <c r="BX49" s="213"/>
    </row>
    <row r="50" spans="1:76" s="126" customFormat="1" ht="11.25" customHeight="1" x14ac:dyDescent="0.2">
      <c r="A50" s="5"/>
      <c r="B50" s="5"/>
      <c r="C50" s="5"/>
      <c r="D50" s="5"/>
      <c r="E50" s="5"/>
      <c r="F50" s="5"/>
      <c r="G50" s="5"/>
      <c r="H50" s="5"/>
      <c r="I50" s="5"/>
      <c r="J50" s="5"/>
      <c r="K50" s="5"/>
      <c r="L50" s="213"/>
      <c r="M50" s="213"/>
      <c r="N50" s="213"/>
      <c r="O50" s="213"/>
      <c r="P50" s="213"/>
      <c r="Q50" s="5"/>
      <c r="R50" s="5"/>
      <c r="S50" s="5"/>
      <c r="T50" s="5"/>
      <c r="U50" s="5"/>
      <c r="V50" s="5"/>
      <c r="W50" s="5"/>
      <c r="X50" s="5"/>
      <c r="Y50" s="213"/>
      <c r="Z50" s="213"/>
      <c r="AA50" s="213"/>
      <c r="AB50" s="213"/>
      <c r="AC50" s="213"/>
      <c r="AD50" s="213"/>
      <c r="AE50" s="213"/>
      <c r="AF50" s="213"/>
      <c r="AG50" s="213"/>
      <c r="AH50" s="213"/>
      <c r="AI50" s="213"/>
      <c r="AJ50" s="213"/>
      <c r="AK50" s="213"/>
      <c r="AL50" s="213"/>
      <c r="AM50" s="213"/>
      <c r="AN50" s="213"/>
      <c r="AO50" s="213"/>
      <c r="AP50" s="213"/>
      <c r="AQ50" s="213"/>
      <c r="AR50" s="213"/>
      <c r="AS50" s="213"/>
      <c r="AT50" s="213"/>
      <c r="AU50" s="213"/>
      <c r="AV50" s="213"/>
      <c r="AW50" s="213"/>
      <c r="AX50" s="213"/>
      <c r="AY50" s="213"/>
      <c r="AZ50" s="213"/>
      <c r="BA50" s="213"/>
      <c r="BB50" s="213"/>
      <c r="BC50" s="213"/>
      <c r="BD50" s="213"/>
      <c r="BE50" s="213"/>
      <c r="BF50" s="213"/>
      <c r="BG50" s="213"/>
      <c r="BH50" s="213"/>
      <c r="BI50" s="213"/>
      <c r="BJ50" s="213"/>
      <c r="BK50" s="213"/>
      <c r="BL50" s="213"/>
      <c r="BM50" s="213"/>
      <c r="BN50" s="213"/>
      <c r="BO50" s="213"/>
      <c r="BP50" s="213"/>
      <c r="BQ50" s="213"/>
      <c r="BR50" s="213"/>
      <c r="BS50" s="213"/>
      <c r="BT50" s="213"/>
      <c r="BU50" s="213"/>
      <c r="BV50" s="213"/>
      <c r="BW50" s="213"/>
      <c r="BX50" s="213"/>
    </row>
    <row r="51" spans="1:76" s="126" customFormat="1" ht="11.25" customHeight="1" x14ac:dyDescent="0.2">
      <c r="A51" s="5"/>
      <c r="B51" s="5"/>
      <c r="C51" s="5"/>
      <c r="D51" s="5"/>
      <c r="E51" s="5"/>
      <c r="F51" s="5"/>
      <c r="G51" s="5"/>
      <c r="H51" s="5"/>
      <c r="I51" s="5"/>
      <c r="J51" s="5"/>
      <c r="K51" s="5"/>
      <c r="L51" s="213"/>
      <c r="M51" s="213"/>
      <c r="N51" s="213"/>
      <c r="O51" s="213"/>
      <c r="P51" s="213"/>
      <c r="Q51" s="5"/>
      <c r="R51" s="5"/>
      <c r="S51" s="5"/>
      <c r="T51" s="5"/>
      <c r="U51" s="5"/>
      <c r="V51" s="5"/>
      <c r="W51" s="5"/>
      <c r="X51" s="5"/>
      <c r="Y51" s="213"/>
      <c r="Z51" s="213"/>
      <c r="AA51" s="213"/>
      <c r="AB51" s="213"/>
      <c r="AC51" s="213"/>
      <c r="AD51" s="213"/>
      <c r="AE51" s="213"/>
      <c r="AF51" s="213"/>
      <c r="AG51" s="213"/>
      <c r="AH51" s="213"/>
      <c r="AI51" s="213"/>
      <c r="AJ51" s="213"/>
      <c r="AK51" s="213"/>
      <c r="AL51" s="213"/>
      <c r="AM51" s="213"/>
      <c r="AN51" s="213"/>
      <c r="AO51" s="213"/>
      <c r="AP51" s="213"/>
      <c r="AQ51" s="213"/>
      <c r="AR51" s="213"/>
      <c r="AS51" s="213"/>
      <c r="AT51" s="213"/>
      <c r="AU51" s="213"/>
      <c r="AV51" s="213"/>
      <c r="AW51" s="213"/>
      <c r="AX51" s="213"/>
      <c r="AY51" s="213"/>
      <c r="AZ51" s="213"/>
      <c r="BA51" s="213"/>
      <c r="BB51" s="213"/>
      <c r="BC51" s="213"/>
      <c r="BD51" s="213"/>
      <c r="BE51" s="213"/>
      <c r="BF51" s="213"/>
      <c r="BG51" s="213"/>
      <c r="BH51" s="213"/>
      <c r="BI51" s="213"/>
      <c r="BJ51" s="213"/>
      <c r="BK51" s="213"/>
      <c r="BL51" s="213"/>
      <c r="BM51" s="213"/>
      <c r="BN51" s="213"/>
      <c r="BO51" s="213"/>
      <c r="BP51" s="213"/>
      <c r="BQ51" s="213"/>
      <c r="BR51" s="213"/>
      <c r="BS51" s="213"/>
      <c r="BT51" s="213"/>
      <c r="BU51" s="213"/>
      <c r="BV51" s="213"/>
      <c r="BW51" s="213"/>
      <c r="BX51" s="213"/>
    </row>
    <row r="52" spans="1:76" s="126" customFormat="1" ht="11.25" customHeight="1" x14ac:dyDescent="0.2">
      <c r="A52" s="5"/>
      <c r="B52" s="5"/>
      <c r="C52" s="5"/>
      <c r="D52" s="5"/>
      <c r="E52" s="5"/>
      <c r="F52" s="5"/>
      <c r="G52" s="5"/>
      <c r="H52" s="5"/>
      <c r="I52" s="5"/>
      <c r="J52" s="5"/>
      <c r="K52" s="5"/>
      <c r="L52" s="213"/>
      <c r="M52" s="213"/>
      <c r="N52" s="213"/>
      <c r="O52" s="213"/>
      <c r="P52" s="213"/>
      <c r="Q52" s="5"/>
      <c r="R52" s="5"/>
      <c r="S52" s="5"/>
      <c r="T52" s="5"/>
      <c r="U52" s="5"/>
      <c r="V52" s="5"/>
      <c r="W52" s="5"/>
      <c r="X52" s="5"/>
      <c r="Y52" s="213"/>
      <c r="Z52" s="213"/>
      <c r="AA52" s="213"/>
      <c r="AB52" s="213"/>
      <c r="AC52" s="213"/>
      <c r="AD52" s="213"/>
      <c r="AE52" s="213"/>
      <c r="AF52" s="213"/>
      <c r="AG52" s="213"/>
      <c r="AH52" s="213"/>
      <c r="AI52" s="213"/>
      <c r="AJ52" s="213"/>
      <c r="AK52" s="213"/>
      <c r="AL52" s="213"/>
      <c r="AM52" s="213"/>
      <c r="AN52" s="213"/>
      <c r="AO52" s="213"/>
      <c r="AP52" s="213"/>
      <c r="AQ52" s="213"/>
      <c r="AR52" s="213"/>
      <c r="AS52" s="213"/>
      <c r="AT52" s="213"/>
      <c r="AU52" s="213"/>
      <c r="AV52" s="213"/>
      <c r="AW52" s="213"/>
      <c r="AX52" s="213"/>
      <c r="AY52" s="213"/>
      <c r="AZ52" s="213"/>
      <c r="BA52" s="213"/>
      <c r="BB52" s="213"/>
      <c r="BC52" s="213"/>
      <c r="BD52" s="213"/>
      <c r="BE52" s="213"/>
      <c r="BF52" s="213"/>
      <c r="BG52" s="213"/>
      <c r="BH52" s="213"/>
      <c r="BI52" s="213"/>
      <c r="BJ52" s="213"/>
      <c r="BK52" s="213"/>
      <c r="BL52" s="213"/>
      <c r="BM52" s="213"/>
      <c r="BN52" s="213"/>
      <c r="BO52" s="213"/>
      <c r="BP52" s="213"/>
      <c r="BQ52" s="213"/>
      <c r="BR52" s="213"/>
      <c r="BS52" s="213"/>
      <c r="BT52" s="213"/>
      <c r="BU52" s="213"/>
      <c r="BV52" s="213"/>
      <c r="BW52" s="213"/>
      <c r="BX52" s="213"/>
    </row>
    <row r="53" spans="1:76" s="126" customFormat="1" ht="11.25" customHeight="1" x14ac:dyDescent="0.2">
      <c r="A53" s="5"/>
      <c r="B53" s="5"/>
      <c r="C53" s="5"/>
      <c r="D53" s="5"/>
      <c r="E53" s="5"/>
      <c r="F53" s="5"/>
      <c r="G53" s="5"/>
      <c r="H53" s="5"/>
      <c r="I53" s="5"/>
      <c r="J53" s="5"/>
      <c r="K53" s="5"/>
      <c r="L53" s="213"/>
      <c r="M53" s="213"/>
      <c r="N53" s="213"/>
      <c r="O53" s="213"/>
      <c r="P53" s="213"/>
      <c r="Q53" s="5"/>
      <c r="R53" s="5"/>
      <c r="S53" s="5"/>
      <c r="T53" s="5"/>
      <c r="U53" s="5"/>
      <c r="V53" s="5"/>
      <c r="W53" s="5"/>
      <c r="X53" s="5"/>
      <c r="Y53" s="213"/>
      <c r="Z53" s="213"/>
      <c r="AA53" s="213"/>
      <c r="AB53" s="213"/>
      <c r="AC53" s="213"/>
      <c r="AD53" s="213"/>
      <c r="AE53" s="213"/>
      <c r="AF53" s="213"/>
      <c r="AG53" s="213"/>
      <c r="AH53" s="213"/>
      <c r="AI53" s="213"/>
      <c r="AJ53" s="213"/>
      <c r="AK53" s="213"/>
      <c r="AL53" s="213"/>
      <c r="AM53" s="213"/>
      <c r="AN53" s="213"/>
      <c r="AO53" s="213"/>
      <c r="AP53" s="213"/>
      <c r="AQ53" s="213"/>
      <c r="AR53" s="213"/>
      <c r="AS53" s="213"/>
      <c r="AT53" s="213"/>
      <c r="AU53" s="213"/>
      <c r="AV53" s="213"/>
      <c r="AW53" s="213"/>
      <c r="AX53" s="213"/>
      <c r="AY53" s="213"/>
      <c r="AZ53" s="213"/>
      <c r="BA53" s="213"/>
      <c r="BB53" s="213"/>
      <c r="BC53" s="213"/>
      <c r="BD53" s="213"/>
      <c r="BE53" s="213"/>
      <c r="BF53" s="213"/>
      <c r="BG53" s="213"/>
      <c r="BH53" s="213"/>
      <c r="BI53" s="213"/>
      <c r="BJ53" s="213"/>
      <c r="BK53" s="213"/>
      <c r="BL53" s="213"/>
      <c r="BM53" s="213"/>
      <c r="BN53" s="213"/>
      <c r="BO53" s="213"/>
      <c r="BP53" s="213"/>
      <c r="BQ53" s="213"/>
      <c r="BR53" s="213"/>
      <c r="BS53" s="213"/>
      <c r="BT53" s="213"/>
      <c r="BU53" s="213"/>
      <c r="BV53" s="213"/>
      <c r="BW53" s="213"/>
      <c r="BX53" s="213"/>
    </row>
    <row r="54" spans="1:76" s="126" customFormat="1" ht="11.25" customHeight="1" x14ac:dyDescent="0.2">
      <c r="A54" s="5"/>
      <c r="B54" s="5"/>
      <c r="C54" s="5"/>
      <c r="D54" s="5"/>
      <c r="E54" s="5"/>
      <c r="F54" s="5"/>
      <c r="G54" s="5"/>
      <c r="H54" s="5"/>
      <c r="I54" s="5"/>
      <c r="J54" s="5"/>
      <c r="K54" s="5"/>
      <c r="L54" s="213"/>
      <c r="M54" s="213"/>
      <c r="N54" s="213"/>
      <c r="O54" s="213"/>
      <c r="P54" s="213"/>
      <c r="Q54" s="5"/>
      <c r="R54" s="5"/>
      <c r="S54" s="5"/>
      <c r="T54" s="5"/>
      <c r="U54" s="5"/>
      <c r="V54" s="5"/>
      <c r="W54" s="5"/>
      <c r="X54" s="5"/>
      <c r="Y54" s="213"/>
      <c r="Z54" s="213"/>
      <c r="AA54" s="213"/>
      <c r="AB54" s="213"/>
      <c r="AC54" s="213"/>
      <c r="AD54" s="213"/>
      <c r="AE54" s="213"/>
      <c r="AF54" s="213"/>
      <c r="AG54" s="213"/>
      <c r="AH54" s="213"/>
      <c r="AI54" s="213"/>
      <c r="AJ54" s="213"/>
      <c r="AK54" s="213"/>
      <c r="AL54" s="213"/>
      <c r="AM54" s="213"/>
      <c r="AN54" s="213"/>
      <c r="AO54" s="213"/>
      <c r="AP54" s="213"/>
      <c r="AQ54" s="213"/>
      <c r="AR54" s="213"/>
      <c r="AS54" s="213"/>
      <c r="AT54" s="213"/>
      <c r="AU54" s="213"/>
      <c r="AV54" s="213"/>
      <c r="AW54" s="213"/>
      <c r="AX54" s="213"/>
      <c r="AY54" s="213"/>
      <c r="AZ54" s="213"/>
      <c r="BA54" s="213"/>
      <c r="BB54" s="213"/>
      <c r="BC54" s="213"/>
      <c r="BD54" s="213"/>
      <c r="BE54" s="213"/>
      <c r="BF54" s="213"/>
      <c r="BG54" s="213"/>
      <c r="BH54" s="213"/>
      <c r="BI54" s="213"/>
      <c r="BJ54" s="213"/>
      <c r="BK54" s="213"/>
      <c r="BL54" s="213"/>
      <c r="BM54" s="213"/>
      <c r="BN54" s="213"/>
      <c r="BO54" s="213"/>
      <c r="BP54" s="213"/>
      <c r="BQ54" s="213"/>
      <c r="BR54" s="213"/>
      <c r="BS54" s="213"/>
      <c r="BT54" s="213"/>
      <c r="BU54" s="213"/>
      <c r="BV54" s="213"/>
      <c r="BW54" s="213"/>
      <c r="BX54" s="213"/>
    </row>
    <row r="55" spans="1:76" s="126" customFormat="1" ht="11.25" customHeight="1" x14ac:dyDescent="0.2">
      <c r="A55" s="5"/>
      <c r="B55" s="5"/>
      <c r="C55" s="5"/>
      <c r="D55" s="5"/>
      <c r="E55" s="5"/>
      <c r="F55" s="5"/>
      <c r="G55" s="5"/>
      <c r="H55" s="5"/>
      <c r="I55" s="5"/>
      <c r="J55" s="5"/>
      <c r="K55" s="5"/>
      <c r="L55" s="213"/>
      <c r="M55" s="213"/>
      <c r="N55" s="213"/>
      <c r="O55" s="213"/>
      <c r="P55" s="213"/>
      <c r="Q55" s="5"/>
      <c r="R55" s="5"/>
      <c r="S55" s="5"/>
      <c r="T55" s="5"/>
      <c r="U55" s="5"/>
      <c r="V55" s="5"/>
      <c r="W55" s="5"/>
      <c r="X55" s="5"/>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c r="BW55" s="213"/>
      <c r="BX55" s="213"/>
    </row>
    <row r="56" spans="1:76" s="126" customFormat="1" ht="11.25" customHeight="1" x14ac:dyDescent="0.2">
      <c r="A56" s="5"/>
      <c r="B56" s="5"/>
      <c r="C56" s="5"/>
      <c r="D56" s="5"/>
      <c r="E56" s="5"/>
      <c r="F56" s="5"/>
      <c r="G56" s="5"/>
      <c r="H56" s="5"/>
      <c r="I56" s="5"/>
      <c r="J56" s="5"/>
      <c r="K56" s="5"/>
      <c r="L56" s="213"/>
      <c r="M56" s="213"/>
      <c r="N56" s="213"/>
      <c r="O56" s="213"/>
      <c r="P56" s="213"/>
      <c r="Q56" s="5"/>
      <c r="R56" s="5"/>
      <c r="S56" s="5"/>
      <c r="T56" s="5"/>
      <c r="U56" s="5"/>
      <c r="V56" s="5"/>
      <c r="W56" s="5"/>
      <c r="X56" s="5"/>
      <c r="Y56" s="213"/>
      <c r="Z56" s="213"/>
      <c r="AA56" s="213"/>
      <c r="AB56" s="213"/>
      <c r="AC56" s="213"/>
      <c r="AD56" s="213"/>
      <c r="AE56" s="213"/>
      <c r="AF56" s="213"/>
      <c r="AG56" s="213"/>
      <c r="AH56" s="213"/>
      <c r="AI56" s="213"/>
      <c r="AJ56" s="213"/>
      <c r="AK56" s="213"/>
      <c r="AL56" s="213"/>
      <c r="AM56" s="213"/>
      <c r="AN56" s="213"/>
      <c r="AO56" s="213"/>
      <c r="AP56" s="213"/>
      <c r="AQ56" s="213"/>
      <c r="AR56" s="213"/>
      <c r="AS56" s="213"/>
      <c r="AT56" s="213"/>
      <c r="AU56" s="213"/>
      <c r="AV56" s="213"/>
      <c r="AW56" s="213"/>
      <c r="AX56" s="213"/>
      <c r="AY56" s="213"/>
      <c r="AZ56" s="213"/>
      <c r="BA56" s="213"/>
      <c r="BB56" s="213"/>
      <c r="BC56" s="213"/>
      <c r="BD56" s="213"/>
      <c r="BE56" s="213"/>
      <c r="BF56" s="213"/>
      <c r="BG56" s="213"/>
      <c r="BH56" s="213"/>
      <c r="BI56" s="213"/>
      <c r="BJ56" s="213"/>
      <c r="BK56" s="213"/>
      <c r="BL56" s="213"/>
      <c r="BM56" s="213"/>
      <c r="BN56" s="213"/>
      <c r="BO56" s="213"/>
      <c r="BP56" s="213"/>
      <c r="BQ56" s="213"/>
      <c r="BR56" s="213"/>
      <c r="BS56" s="213"/>
      <c r="BT56" s="213"/>
      <c r="BU56" s="213"/>
      <c r="BV56" s="213"/>
      <c r="BW56" s="213"/>
      <c r="BX56" s="213"/>
    </row>
    <row r="57" spans="1:76" s="126" customFormat="1" ht="11.25" customHeight="1" x14ac:dyDescent="0.2">
      <c r="A57" s="5"/>
      <c r="B57" s="5"/>
      <c r="C57" s="5"/>
      <c r="D57" s="5"/>
      <c r="E57" s="5"/>
      <c r="F57" s="5"/>
      <c r="G57" s="5"/>
      <c r="H57" s="5"/>
      <c r="I57" s="5"/>
      <c r="J57" s="5"/>
      <c r="K57" s="5"/>
      <c r="L57" s="213"/>
      <c r="M57" s="213"/>
      <c r="N57" s="213"/>
      <c r="O57" s="213"/>
      <c r="P57" s="213"/>
      <c r="Q57" s="5"/>
      <c r="R57" s="5"/>
      <c r="S57" s="5"/>
      <c r="T57" s="5"/>
      <c r="U57" s="5"/>
      <c r="V57" s="5"/>
      <c r="W57" s="5"/>
      <c r="X57" s="5"/>
      <c r="Y57" s="213"/>
      <c r="Z57" s="213"/>
      <c r="AA57" s="213"/>
      <c r="AB57" s="213"/>
      <c r="AC57" s="213"/>
      <c r="AD57" s="213"/>
      <c r="AE57" s="213"/>
      <c r="AF57" s="213"/>
      <c r="AG57" s="213"/>
      <c r="AH57" s="213"/>
      <c r="AI57" s="213"/>
      <c r="AJ57" s="213"/>
      <c r="AK57" s="213"/>
      <c r="AL57" s="213"/>
      <c r="AM57" s="213"/>
      <c r="AN57" s="213"/>
      <c r="AO57" s="213"/>
      <c r="AP57" s="213"/>
      <c r="AQ57" s="213"/>
      <c r="AR57" s="213"/>
      <c r="AS57" s="213"/>
      <c r="AT57" s="213"/>
      <c r="AU57" s="213"/>
      <c r="AV57" s="213"/>
      <c r="AW57" s="213"/>
      <c r="AX57" s="213"/>
      <c r="AY57" s="213"/>
      <c r="AZ57" s="213"/>
      <c r="BA57" s="213"/>
      <c r="BB57" s="213"/>
      <c r="BC57" s="213"/>
      <c r="BD57" s="213"/>
      <c r="BE57" s="213"/>
      <c r="BF57" s="213"/>
      <c r="BG57" s="213"/>
      <c r="BH57" s="213"/>
      <c r="BI57" s="213"/>
      <c r="BJ57" s="213"/>
      <c r="BK57" s="213"/>
      <c r="BL57" s="213"/>
      <c r="BM57" s="213"/>
      <c r="BN57" s="213"/>
      <c r="BO57" s="213"/>
      <c r="BP57" s="213"/>
      <c r="BQ57" s="213"/>
      <c r="BR57" s="213"/>
      <c r="BS57" s="213"/>
      <c r="BT57" s="213"/>
      <c r="BU57" s="213"/>
      <c r="BV57" s="213"/>
      <c r="BW57" s="213"/>
      <c r="BX57" s="213"/>
    </row>
    <row r="58" spans="1:76" s="126" customFormat="1" ht="11.25" customHeight="1" x14ac:dyDescent="0.2">
      <c r="A58" s="5"/>
      <c r="B58" s="5"/>
      <c r="C58" s="5"/>
      <c r="D58" s="5"/>
      <c r="E58" s="5"/>
      <c r="F58" s="5"/>
      <c r="G58" s="5"/>
      <c r="H58" s="5"/>
      <c r="I58" s="5"/>
      <c r="J58" s="5"/>
      <c r="K58" s="5"/>
      <c r="L58" s="213"/>
      <c r="M58" s="213"/>
      <c r="N58" s="213"/>
      <c r="O58" s="213"/>
      <c r="P58" s="213"/>
      <c r="Q58" s="5"/>
      <c r="R58" s="5"/>
      <c r="S58" s="5"/>
      <c r="T58" s="5"/>
      <c r="U58" s="5"/>
      <c r="V58" s="5"/>
      <c r="W58" s="5"/>
      <c r="X58" s="5"/>
      <c r="Y58" s="213"/>
      <c r="Z58" s="213"/>
      <c r="AA58" s="213"/>
      <c r="AB58" s="213"/>
      <c r="AC58" s="213"/>
      <c r="AD58" s="213"/>
      <c r="AE58" s="213"/>
      <c r="AF58" s="213"/>
      <c r="AG58" s="213"/>
      <c r="AH58" s="213"/>
      <c r="AI58" s="213"/>
      <c r="AJ58" s="213"/>
      <c r="AK58" s="213"/>
      <c r="AL58" s="213"/>
      <c r="AM58" s="213"/>
      <c r="AN58" s="213"/>
      <c r="AO58" s="213"/>
      <c r="AP58" s="213"/>
      <c r="AQ58" s="213"/>
      <c r="AR58" s="213"/>
      <c r="AS58" s="213"/>
      <c r="AT58" s="213"/>
      <c r="AU58" s="213"/>
      <c r="AV58" s="213"/>
      <c r="AW58" s="213"/>
      <c r="AX58" s="213"/>
      <c r="AY58" s="213"/>
      <c r="AZ58" s="213"/>
      <c r="BA58" s="213"/>
      <c r="BB58" s="213"/>
      <c r="BC58" s="213"/>
      <c r="BD58" s="213"/>
      <c r="BE58" s="213"/>
      <c r="BF58" s="213"/>
      <c r="BG58" s="213"/>
      <c r="BH58" s="213"/>
      <c r="BI58" s="213"/>
      <c r="BJ58" s="213"/>
      <c r="BK58" s="213"/>
      <c r="BL58" s="213"/>
      <c r="BM58" s="213"/>
      <c r="BN58" s="213"/>
      <c r="BO58" s="213"/>
      <c r="BP58" s="213"/>
      <c r="BQ58" s="213"/>
      <c r="BR58" s="213"/>
      <c r="BS58" s="213"/>
      <c r="BT58" s="213"/>
      <c r="BU58" s="213"/>
      <c r="BV58" s="213"/>
      <c r="BW58" s="213"/>
      <c r="BX58" s="213"/>
    </row>
    <row r="59" spans="1:76" s="126" customFormat="1" ht="11.25" customHeight="1" x14ac:dyDescent="0.2">
      <c r="A59" s="5"/>
      <c r="B59" s="5"/>
      <c r="C59" s="5"/>
      <c r="D59" s="5"/>
      <c r="E59" s="5"/>
      <c r="F59" s="5"/>
      <c r="G59" s="5"/>
      <c r="H59" s="5"/>
      <c r="I59" s="5"/>
      <c r="J59" s="5"/>
      <c r="K59" s="5"/>
      <c r="L59" s="213"/>
      <c r="M59" s="213"/>
      <c r="N59" s="213"/>
      <c r="O59" s="213"/>
      <c r="P59" s="213"/>
      <c r="Q59" s="5"/>
      <c r="R59" s="5"/>
      <c r="S59" s="5"/>
      <c r="T59" s="5"/>
      <c r="U59" s="5"/>
      <c r="V59" s="5"/>
      <c r="W59" s="5"/>
      <c r="X59" s="5"/>
      <c r="Y59" s="213"/>
      <c r="Z59" s="213"/>
      <c r="AA59" s="213"/>
      <c r="AB59" s="213"/>
      <c r="AC59" s="213"/>
      <c r="AD59" s="213"/>
      <c r="AE59" s="213"/>
      <c r="AF59" s="213"/>
      <c r="AG59" s="213"/>
      <c r="AH59" s="213"/>
      <c r="AI59" s="213"/>
      <c r="AJ59" s="213"/>
      <c r="AK59" s="213"/>
      <c r="AL59" s="213"/>
      <c r="AM59" s="213"/>
      <c r="AN59" s="213"/>
      <c r="AO59" s="213"/>
      <c r="AP59" s="213"/>
      <c r="AQ59" s="213"/>
      <c r="AR59" s="213"/>
      <c r="AS59" s="213"/>
      <c r="AT59" s="213"/>
      <c r="AU59" s="213"/>
      <c r="AV59" s="213"/>
      <c r="AW59" s="213"/>
      <c r="AX59" s="213"/>
      <c r="AY59" s="213"/>
      <c r="AZ59" s="213"/>
      <c r="BA59" s="213"/>
      <c r="BB59" s="213"/>
      <c r="BC59" s="213"/>
      <c r="BD59" s="213"/>
      <c r="BE59" s="213"/>
      <c r="BF59" s="213"/>
      <c r="BG59" s="213"/>
      <c r="BH59" s="213"/>
      <c r="BI59" s="213"/>
      <c r="BJ59" s="213"/>
      <c r="BK59" s="213"/>
      <c r="BL59" s="213"/>
      <c r="BM59" s="213"/>
      <c r="BN59" s="213"/>
      <c r="BO59" s="213"/>
      <c r="BP59" s="213"/>
      <c r="BQ59" s="213"/>
      <c r="BR59" s="213"/>
      <c r="BS59" s="213"/>
      <c r="BT59" s="213"/>
      <c r="BU59" s="213"/>
      <c r="BV59" s="213"/>
      <c r="BW59" s="213"/>
      <c r="BX59" s="213"/>
    </row>
    <row r="60" spans="1:76" s="126" customFormat="1" ht="11.25" customHeight="1" x14ac:dyDescent="0.2">
      <c r="A60" s="5"/>
      <c r="B60" s="5"/>
      <c r="C60" s="5"/>
      <c r="D60" s="5"/>
      <c r="E60" s="5"/>
      <c r="F60" s="5"/>
      <c r="G60" s="5"/>
      <c r="H60" s="5"/>
      <c r="I60" s="5"/>
      <c r="J60" s="5"/>
      <c r="K60" s="5"/>
      <c r="L60" s="213"/>
      <c r="M60" s="213"/>
      <c r="N60" s="213"/>
      <c r="O60" s="213"/>
      <c r="P60" s="213"/>
      <c r="Q60" s="5"/>
      <c r="R60" s="5"/>
      <c r="S60" s="5"/>
      <c r="T60" s="5"/>
      <c r="U60" s="5"/>
      <c r="V60" s="5"/>
      <c r="W60" s="5"/>
      <c r="X60" s="5"/>
      <c r="Y60" s="213"/>
      <c r="Z60" s="213"/>
      <c r="AA60" s="213"/>
      <c r="AB60" s="213"/>
      <c r="AC60" s="213"/>
      <c r="AD60" s="213"/>
      <c r="AE60" s="213"/>
      <c r="AF60" s="213"/>
      <c r="AG60" s="213"/>
      <c r="AH60" s="213"/>
      <c r="AI60" s="213"/>
      <c r="AJ60" s="213"/>
      <c r="AK60" s="213"/>
      <c r="AL60" s="213"/>
      <c r="AM60" s="213"/>
      <c r="AN60" s="213"/>
      <c r="AO60" s="213"/>
      <c r="AP60" s="213"/>
      <c r="AQ60" s="213"/>
      <c r="AR60" s="213"/>
      <c r="AS60" s="213"/>
      <c r="AT60" s="213"/>
      <c r="AU60" s="213"/>
      <c r="AV60" s="213"/>
      <c r="AW60" s="213"/>
      <c r="AX60" s="213"/>
      <c r="AY60" s="213"/>
      <c r="AZ60" s="213"/>
      <c r="BA60" s="213"/>
      <c r="BB60" s="213"/>
      <c r="BC60" s="213"/>
      <c r="BD60" s="213"/>
      <c r="BE60" s="213"/>
      <c r="BF60" s="213"/>
      <c r="BG60" s="213"/>
      <c r="BH60" s="213"/>
      <c r="BI60" s="213"/>
      <c r="BJ60" s="213"/>
      <c r="BK60" s="213"/>
      <c r="BL60" s="213"/>
      <c r="BM60" s="213"/>
      <c r="BN60" s="213"/>
      <c r="BO60" s="213"/>
      <c r="BP60" s="213"/>
      <c r="BQ60" s="213"/>
      <c r="BR60" s="213"/>
      <c r="BS60" s="213"/>
      <c r="BT60" s="213"/>
      <c r="BU60" s="213"/>
      <c r="BV60" s="213"/>
      <c r="BW60" s="213"/>
      <c r="BX60" s="213"/>
    </row>
    <row r="61" spans="1:76" s="126" customFormat="1" ht="11.25" customHeight="1" x14ac:dyDescent="0.2">
      <c r="A61" s="5"/>
      <c r="B61" s="5"/>
      <c r="C61" s="5"/>
      <c r="D61" s="5"/>
      <c r="E61" s="5"/>
      <c r="F61" s="5"/>
      <c r="G61" s="5"/>
      <c r="H61" s="5"/>
      <c r="I61" s="5"/>
      <c r="J61" s="5"/>
      <c r="K61" s="5"/>
      <c r="L61" s="213"/>
      <c r="M61" s="213"/>
      <c r="N61" s="213"/>
      <c r="O61" s="213"/>
      <c r="P61" s="213"/>
      <c r="Q61" s="5"/>
      <c r="R61" s="5"/>
      <c r="S61" s="5"/>
      <c r="T61" s="5"/>
      <c r="U61" s="5"/>
      <c r="V61" s="5"/>
      <c r="W61" s="5"/>
      <c r="X61" s="5"/>
      <c r="Y61" s="213"/>
      <c r="Z61" s="213"/>
      <c r="AA61" s="213"/>
      <c r="AB61" s="213"/>
      <c r="AC61" s="213"/>
      <c r="AD61" s="213"/>
      <c r="AE61" s="213"/>
      <c r="AF61" s="213"/>
      <c r="AG61" s="213"/>
      <c r="AH61" s="213"/>
      <c r="AI61" s="213"/>
      <c r="AJ61" s="213"/>
      <c r="AK61" s="213"/>
      <c r="AL61" s="213"/>
      <c r="AM61" s="213"/>
      <c r="AN61" s="213"/>
      <c r="AO61" s="213"/>
      <c r="AP61" s="213"/>
      <c r="AQ61" s="213"/>
      <c r="AR61" s="213"/>
      <c r="AS61" s="213"/>
      <c r="AT61" s="213"/>
      <c r="AU61" s="213"/>
      <c r="AV61" s="213"/>
      <c r="AW61" s="213"/>
      <c r="AX61" s="213"/>
      <c r="AY61" s="213"/>
      <c r="AZ61" s="213"/>
      <c r="BA61" s="213"/>
      <c r="BB61" s="213"/>
      <c r="BC61" s="213"/>
      <c r="BD61" s="213"/>
      <c r="BE61" s="213"/>
      <c r="BF61" s="213"/>
      <c r="BG61" s="213"/>
      <c r="BH61" s="213"/>
      <c r="BI61" s="213"/>
      <c r="BJ61" s="213"/>
      <c r="BK61" s="213"/>
      <c r="BL61" s="213"/>
      <c r="BM61" s="213"/>
      <c r="BN61" s="213"/>
      <c r="BO61" s="213"/>
      <c r="BP61" s="213"/>
      <c r="BQ61" s="213"/>
      <c r="BR61" s="213"/>
      <c r="BS61" s="213"/>
      <c r="BT61" s="213"/>
      <c r="BU61" s="213"/>
      <c r="BV61" s="213"/>
      <c r="BW61" s="213"/>
      <c r="BX61" s="213"/>
    </row>
    <row r="62" spans="1:76" s="126" customFormat="1" ht="11.25" customHeight="1" x14ac:dyDescent="0.2">
      <c r="A62" s="5"/>
      <c r="B62" s="5"/>
      <c r="C62" s="5"/>
      <c r="D62" s="5"/>
      <c r="E62" s="5"/>
      <c r="F62" s="5"/>
      <c r="G62" s="5"/>
      <c r="H62" s="5"/>
      <c r="I62" s="5"/>
      <c r="J62" s="5"/>
      <c r="K62" s="5"/>
      <c r="L62" s="213"/>
      <c r="M62" s="213"/>
      <c r="N62" s="213"/>
      <c r="O62" s="213"/>
      <c r="P62" s="213"/>
      <c r="Q62" s="5"/>
      <c r="R62" s="5"/>
      <c r="S62" s="5"/>
      <c r="T62" s="5"/>
      <c r="U62" s="5"/>
      <c r="V62" s="5"/>
      <c r="W62" s="5"/>
      <c r="X62" s="5"/>
      <c r="Y62" s="213"/>
      <c r="Z62" s="213"/>
      <c r="AA62" s="213"/>
      <c r="AB62" s="213"/>
      <c r="AC62" s="213"/>
      <c r="AD62" s="213"/>
      <c r="AE62" s="213"/>
      <c r="AF62" s="213"/>
      <c r="AG62" s="213"/>
      <c r="AH62" s="213"/>
      <c r="AI62" s="213"/>
      <c r="AJ62" s="213"/>
      <c r="AK62" s="213"/>
      <c r="AL62" s="213"/>
      <c r="AM62" s="213"/>
      <c r="AN62" s="213"/>
      <c r="AO62" s="213"/>
      <c r="AP62" s="213"/>
      <c r="AQ62" s="213"/>
      <c r="AR62" s="213"/>
      <c r="AS62" s="213"/>
      <c r="AT62" s="213"/>
      <c r="AU62" s="213"/>
      <c r="AV62" s="213"/>
      <c r="AW62" s="213"/>
      <c r="AX62" s="213"/>
      <c r="AY62" s="213"/>
      <c r="AZ62" s="213"/>
      <c r="BA62" s="213"/>
      <c r="BB62" s="213"/>
      <c r="BC62" s="213"/>
      <c r="BD62" s="213"/>
      <c r="BE62" s="213"/>
      <c r="BF62" s="213"/>
      <c r="BG62" s="213"/>
      <c r="BH62" s="213"/>
      <c r="BI62" s="213"/>
      <c r="BJ62" s="213"/>
      <c r="BK62" s="213"/>
      <c r="BL62" s="213"/>
      <c r="BM62" s="213"/>
      <c r="BN62" s="213"/>
      <c r="BO62" s="213"/>
      <c r="BP62" s="213"/>
      <c r="BQ62" s="213"/>
      <c r="BR62" s="213"/>
      <c r="BS62" s="213"/>
      <c r="BT62" s="213"/>
      <c r="BU62" s="213"/>
      <c r="BV62" s="213"/>
      <c r="BW62" s="213"/>
      <c r="BX62" s="213"/>
    </row>
    <row r="63" spans="1:76" s="126" customFormat="1" ht="11.25" customHeight="1" x14ac:dyDescent="0.2">
      <c r="A63" s="5"/>
      <c r="B63" s="5"/>
      <c r="C63" s="5"/>
      <c r="D63" s="5"/>
      <c r="E63" s="5"/>
      <c r="F63" s="5"/>
      <c r="G63" s="5"/>
      <c r="H63" s="5"/>
      <c r="I63" s="5"/>
      <c r="J63" s="5"/>
      <c r="K63" s="5"/>
      <c r="L63" s="213"/>
      <c r="M63" s="213"/>
      <c r="N63" s="213"/>
      <c r="O63" s="213"/>
      <c r="P63" s="213"/>
      <c r="Q63" s="5"/>
      <c r="R63" s="5"/>
      <c r="S63" s="5"/>
      <c r="T63" s="5"/>
      <c r="U63" s="5"/>
      <c r="V63" s="5"/>
      <c r="W63" s="5"/>
      <c r="X63" s="5"/>
      <c r="Y63" s="213"/>
      <c r="Z63" s="213"/>
      <c r="AA63" s="213"/>
      <c r="AB63" s="213"/>
      <c r="AC63" s="213"/>
      <c r="AD63" s="213"/>
      <c r="AE63" s="213"/>
      <c r="AF63" s="213"/>
      <c r="AG63" s="213"/>
      <c r="AH63" s="213"/>
      <c r="AI63" s="213"/>
      <c r="AJ63" s="213"/>
      <c r="AK63" s="213"/>
      <c r="AL63" s="213"/>
      <c r="AM63" s="213"/>
      <c r="AN63" s="213"/>
      <c r="AO63" s="213"/>
      <c r="AP63" s="213"/>
      <c r="AQ63" s="213"/>
      <c r="AR63" s="213"/>
      <c r="AS63" s="213"/>
      <c r="AT63" s="213"/>
      <c r="AU63" s="213"/>
      <c r="AV63" s="213"/>
      <c r="AW63" s="213"/>
      <c r="AX63" s="213"/>
      <c r="AY63" s="213"/>
      <c r="AZ63" s="213"/>
      <c r="BA63" s="213"/>
      <c r="BB63" s="213"/>
      <c r="BC63" s="213"/>
      <c r="BD63" s="213"/>
      <c r="BE63" s="213"/>
      <c r="BF63" s="213"/>
      <c r="BG63" s="213"/>
      <c r="BH63" s="213"/>
      <c r="BI63" s="213"/>
      <c r="BJ63" s="213"/>
      <c r="BK63" s="213"/>
      <c r="BL63" s="213"/>
      <c r="BM63" s="213"/>
      <c r="BN63" s="213"/>
      <c r="BO63" s="213"/>
      <c r="BP63" s="213"/>
      <c r="BQ63" s="213"/>
      <c r="BR63" s="213"/>
      <c r="BS63" s="213"/>
      <c r="BT63" s="213"/>
      <c r="BU63" s="213"/>
      <c r="BV63" s="213"/>
      <c r="BW63" s="213"/>
      <c r="BX63" s="213"/>
    </row>
    <row r="64" spans="1:76" s="126" customFormat="1" ht="11.25" customHeight="1" x14ac:dyDescent="0.2">
      <c r="A64" s="5"/>
      <c r="B64" s="5"/>
      <c r="C64" s="5"/>
      <c r="D64" s="5"/>
      <c r="E64" s="5"/>
      <c r="F64" s="5"/>
      <c r="G64" s="5"/>
      <c r="H64" s="5"/>
      <c r="I64" s="5"/>
      <c r="J64" s="5"/>
      <c r="K64" s="5"/>
      <c r="L64" s="213"/>
      <c r="M64" s="213"/>
      <c r="N64" s="213"/>
      <c r="O64" s="213"/>
      <c r="P64" s="213"/>
      <c r="Q64" s="5"/>
      <c r="R64" s="5"/>
      <c r="S64" s="5"/>
      <c r="T64" s="5"/>
      <c r="U64" s="5"/>
      <c r="V64" s="5"/>
      <c r="W64" s="5"/>
      <c r="X64" s="5"/>
      <c r="Y64" s="213"/>
      <c r="Z64" s="213"/>
      <c r="AA64" s="213"/>
      <c r="AB64" s="213"/>
      <c r="AC64" s="213"/>
      <c r="AD64" s="213"/>
      <c r="AE64" s="213"/>
      <c r="AF64" s="213"/>
      <c r="AG64" s="213"/>
      <c r="AH64" s="213"/>
      <c r="AI64" s="213"/>
      <c r="AJ64" s="213"/>
      <c r="AK64" s="213"/>
      <c r="AL64" s="213"/>
      <c r="AM64" s="213"/>
      <c r="AN64" s="213"/>
      <c r="AO64" s="213"/>
      <c r="AP64" s="213"/>
      <c r="AQ64" s="213"/>
      <c r="AR64" s="213"/>
      <c r="AS64" s="213"/>
      <c r="AT64" s="213"/>
      <c r="AU64" s="213"/>
      <c r="AV64" s="213"/>
      <c r="AW64" s="213"/>
      <c r="AX64" s="213"/>
      <c r="AY64" s="213"/>
      <c r="AZ64" s="213"/>
      <c r="BA64" s="213"/>
      <c r="BB64" s="213"/>
      <c r="BC64" s="213"/>
      <c r="BD64" s="213"/>
      <c r="BE64" s="213"/>
      <c r="BF64" s="213"/>
      <c r="BG64" s="213"/>
      <c r="BH64" s="213"/>
      <c r="BI64" s="213"/>
      <c r="BJ64" s="213"/>
      <c r="BK64" s="213"/>
      <c r="BL64" s="213"/>
      <c r="BM64" s="213"/>
      <c r="BN64" s="213"/>
      <c r="BO64" s="213"/>
      <c r="BP64" s="213"/>
      <c r="BQ64" s="213"/>
      <c r="BR64" s="213"/>
      <c r="BS64" s="213"/>
      <c r="BT64" s="213"/>
      <c r="BU64" s="213"/>
      <c r="BV64" s="213"/>
      <c r="BW64" s="213"/>
      <c r="BX64" s="213"/>
    </row>
    <row r="65" spans="1:76" s="126" customFormat="1" ht="11.25" customHeight="1" x14ac:dyDescent="0.2">
      <c r="A65" s="5"/>
      <c r="B65" s="5"/>
      <c r="C65" s="5"/>
      <c r="D65" s="5"/>
      <c r="E65" s="5"/>
      <c r="F65" s="5"/>
      <c r="G65" s="5"/>
      <c r="H65" s="5"/>
      <c r="I65" s="5"/>
      <c r="J65" s="5"/>
      <c r="K65" s="5"/>
      <c r="L65" s="213"/>
      <c r="M65" s="213"/>
      <c r="N65" s="213"/>
      <c r="O65" s="213"/>
      <c r="P65" s="213"/>
      <c r="Q65" s="5"/>
      <c r="R65" s="5"/>
      <c r="S65" s="5"/>
      <c r="T65" s="5"/>
      <c r="U65" s="5"/>
      <c r="V65" s="5"/>
      <c r="W65" s="5"/>
      <c r="X65" s="5"/>
      <c r="Y65" s="213"/>
      <c r="Z65" s="213"/>
      <c r="AA65" s="213"/>
      <c r="AB65" s="213"/>
      <c r="AC65" s="213"/>
      <c r="AD65" s="213"/>
      <c r="AE65" s="213"/>
      <c r="AF65" s="213"/>
      <c r="AG65" s="213"/>
      <c r="AH65" s="213"/>
      <c r="AI65" s="213"/>
      <c r="AJ65" s="213"/>
      <c r="AK65" s="213"/>
      <c r="AL65" s="213"/>
      <c r="AM65" s="213"/>
      <c r="AN65" s="213"/>
      <c r="AO65" s="213"/>
      <c r="AP65" s="213"/>
      <c r="AQ65" s="213"/>
      <c r="AR65" s="213"/>
      <c r="AS65" s="213"/>
      <c r="AT65" s="213"/>
      <c r="AU65" s="213"/>
      <c r="AV65" s="213"/>
      <c r="AW65" s="213"/>
      <c r="AX65" s="213"/>
      <c r="AY65" s="213"/>
      <c r="AZ65" s="213"/>
      <c r="BA65" s="213"/>
      <c r="BB65" s="213"/>
      <c r="BC65" s="213"/>
      <c r="BD65" s="213"/>
      <c r="BE65" s="213"/>
      <c r="BF65" s="213"/>
      <c r="BG65" s="213"/>
      <c r="BH65" s="213"/>
      <c r="BI65" s="213"/>
      <c r="BJ65" s="213"/>
      <c r="BK65" s="213"/>
      <c r="BL65" s="213"/>
      <c r="BM65" s="213"/>
      <c r="BN65" s="213"/>
      <c r="BO65" s="213"/>
      <c r="BP65" s="213"/>
      <c r="BQ65" s="213"/>
      <c r="BR65" s="213"/>
      <c r="BS65" s="213"/>
      <c r="BT65" s="213"/>
      <c r="BU65" s="213"/>
      <c r="BV65" s="213"/>
      <c r="BW65" s="213"/>
      <c r="BX65" s="213"/>
    </row>
    <row r="66" spans="1:76" s="126" customFormat="1" ht="11.25" customHeight="1" x14ac:dyDescent="0.2">
      <c r="A66" s="5"/>
      <c r="B66" s="5"/>
      <c r="C66" s="5"/>
      <c r="D66" s="5"/>
      <c r="E66" s="5"/>
      <c r="F66" s="5"/>
      <c r="G66" s="5"/>
      <c r="H66" s="5"/>
      <c r="I66" s="5"/>
      <c r="J66" s="5"/>
      <c r="K66" s="5"/>
      <c r="L66" s="213"/>
      <c r="M66" s="213"/>
      <c r="N66" s="213"/>
      <c r="O66" s="213"/>
      <c r="P66" s="213"/>
      <c r="Q66" s="5"/>
      <c r="R66" s="5"/>
      <c r="S66" s="5"/>
      <c r="T66" s="5"/>
      <c r="U66" s="5"/>
      <c r="V66" s="5"/>
      <c r="W66" s="5"/>
      <c r="X66" s="5"/>
      <c r="Y66" s="213"/>
      <c r="Z66" s="213"/>
      <c r="AA66" s="213"/>
      <c r="AB66" s="213"/>
      <c r="AC66" s="213"/>
      <c r="AD66" s="213"/>
      <c r="AE66" s="213"/>
      <c r="AF66" s="213"/>
      <c r="AG66" s="213"/>
      <c r="AH66" s="213"/>
      <c r="AI66" s="213"/>
      <c r="AJ66" s="213"/>
      <c r="AK66" s="213"/>
      <c r="AL66" s="213"/>
      <c r="AM66" s="213"/>
      <c r="AN66" s="213"/>
      <c r="AO66" s="213"/>
      <c r="AP66" s="213"/>
      <c r="AQ66" s="213"/>
      <c r="AR66" s="213"/>
      <c r="AS66" s="213"/>
      <c r="AT66" s="213"/>
      <c r="AU66" s="213"/>
      <c r="AV66" s="213"/>
      <c r="AW66" s="213"/>
      <c r="AX66" s="213"/>
      <c r="AY66" s="213"/>
      <c r="AZ66" s="213"/>
      <c r="BA66" s="213"/>
      <c r="BB66" s="213"/>
      <c r="BC66" s="213"/>
      <c r="BD66" s="213"/>
      <c r="BE66" s="213"/>
      <c r="BF66" s="213"/>
      <c r="BG66" s="213"/>
      <c r="BH66" s="213"/>
      <c r="BI66" s="213"/>
      <c r="BJ66" s="213"/>
      <c r="BK66" s="213"/>
      <c r="BL66" s="213"/>
      <c r="BM66" s="213"/>
      <c r="BN66" s="213"/>
      <c r="BO66" s="213"/>
      <c r="BP66" s="213"/>
      <c r="BQ66" s="213"/>
      <c r="BR66" s="213"/>
      <c r="BS66" s="213"/>
      <c r="BT66" s="213"/>
      <c r="BU66" s="213"/>
      <c r="BV66" s="213"/>
      <c r="BW66" s="213"/>
      <c r="BX66" s="213"/>
    </row>
    <row r="67" spans="1:76" s="126" customFormat="1" ht="11.25" customHeight="1" x14ac:dyDescent="0.2">
      <c r="A67" s="5"/>
      <c r="B67" s="5"/>
      <c r="C67" s="5"/>
      <c r="D67" s="5"/>
      <c r="E67" s="5"/>
      <c r="F67" s="5"/>
      <c r="G67" s="5"/>
      <c r="H67" s="5"/>
      <c r="I67" s="5"/>
      <c r="J67" s="5"/>
      <c r="K67" s="5"/>
      <c r="L67" s="213"/>
      <c r="M67" s="213"/>
      <c r="N67" s="213"/>
      <c r="O67" s="213"/>
      <c r="P67" s="213"/>
      <c r="Q67" s="5"/>
      <c r="R67" s="5"/>
      <c r="S67" s="5"/>
      <c r="T67" s="5"/>
      <c r="U67" s="5"/>
      <c r="V67" s="5"/>
      <c r="W67" s="5"/>
      <c r="X67" s="5"/>
      <c r="Y67" s="213"/>
      <c r="Z67" s="213"/>
      <c r="AA67" s="213"/>
      <c r="AB67" s="213"/>
      <c r="AC67" s="213"/>
      <c r="AD67" s="213"/>
      <c r="AE67" s="213"/>
      <c r="AF67" s="213"/>
      <c r="AG67" s="213"/>
      <c r="AH67" s="213"/>
      <c r="AI67" s="213"/>
      <c r="AJ67" s="213"/>
      <c r="AK67" s="213"/>
      <c r="AL67" s="213"/>
      <c r="AM67" s="213"/>
      <c r="AN67" s="213"/>
      <c r="AO67" s="213"/>
      <c r="AP67" s="213"/>
      <c r="AQ67" s="213"/>
      <c r="AR67" s="213"/>
      <c r="AS67" s="213"/>
      <c r="AT67" s="213"/>
      <c r="AU67" s="213"/>
      <c r="AV67" s="213"/>
      <c r="AW67" s="213"/>
      <c r="AX67" s="213"/>
      <c r="AY67" s="213"/>
      <c r="AZ67" s="213"/>
      <c r="BA67" s="213"/>
      <c r="BB67" s="213"/>
      <c r="BC67" s="213"/>
      <c r="BD67" s="213"/>
      <c r="BE67" s="213"/>
      <c r="BF67" s="213"/>
      <c r="BG67" s="213"/>
      <c r="BH67" s="213"/>
      <c r="BI67" s="213"/>
      <c r="BJ67" s="213"/>
      <c r="BK67" s="213"/>
      <c r="BL67" s="213"/>
      <c r="BM67" s="213"/>
      <c r="BN67" s="213"/>
      <c r="BO67" s="213"/>
      <c r="BP67" s="213"/>
      <c r="BQ67" s="213"/>
      <c r="BR67" s="213"/>
      <c r="BS67" s="213"/>
      <c r="BT67" s="213"/>
      <c r="BU67" s="213"/>
      <c r="BV67" s="213"/>
      <c r="BW67" s="213"/>
      <c r="BX67" s="213"/>
    </row>
    <row r="68" spans="1:76" s="126" customFormat="1" ht="11.25" customHeight="1" x14ac:dyDescent="0.2">
      <c r="A68" s="5"/>
      <c r="B68" s="5"/>
      <c r="C68" s="5"/>
      <c r="D68" s="5"/>
      <c r="E68" s="5"/>
      <c r="F68" s="5"/>
      <c r="G68" s="5"/>
      <c r="H68" s="5"/>
      <c r="I68" s="5"/>
      <c r="J68" s="5"/>
      <c r="K68" s="5"/>
      <c r="L68" s="213"/>
      <c r="M68" s="213"/>
      <c r="N68" s="213"/>
      <c r="O68" s="213"/>
      <c r="P68" s="213"/>
      <c r="Q68" s="5"/>
      <c r="R68" s="5"/>
      <c r="S68" s="5"/>
      <c r="T68" s="5"/>
      <c r="U68" s="5"/>
      <c r="V68" s="5"/>
      <c r="W68" s="5"/>
      <c r="X68" s="5"/>
      <c r="Y68" s="213"/>
      <c r="Z68" s="213"/>
      <c r="AA68" s="213"/>
      <c r="AB68" s="213"/>
      <c r="AC68" s="213"/>
      <c r="AD68" s="213"/>
      <c r="AE68" s="213"/>
      <c r="AF68" s="213"/>
      <c r="AG68" s="213"/>
      <c r="AH68" s="213"/>
      <c r="AI68" s="213"/>
      <c r="AJ68" s="213"/>
      <c r="AK68" s="213"/>
      <c r="AL68" s="213"/>
      <c r="AM68" s="213"/>
      <c r="AN68" s="213"/>
      <c r="AO68" s="213"/>
      <c r="AP68" s="213"/>
      <c r="AQ68" s="213"/>
      <c r="AR68" s="213"/>
      <c r="AS68" s="213"/>
      <c r="AT68" s="213"/>
      <c r="AU68" s="213"/>
      <c r="AV68" s="213"/>
      <c r="AW68" s="213"/>
      <c r="AX68" s="213"/>
      <c r="AY68" s="213"/>
      <c r="AZ68" s="213"/>
      <c r="BA68" s="213"/>
      <c r="BB68" s="213"/>
      <c r="BC68" s="213"/>
      <c r="BD68" s="213"/>
      <c r="BE68" s="213"/>
      <c r="BF68" s="213"/>
      <c r="BG68" s="213"/>
      <c r="BH68" s="213"/>
      <c r="BI68" s="213"/>
      <c r="BJ68" s="213"/>
      <c r="BK68" s="213"/>
      <c r="BL68" s="213"/>
      <c r="BM68" s="213"/>
      <c r="BN68" s="213"/>
      <c r="BO68" s="213"/>
      <c r="BP68" s="213"/>
      <c r="BQ68" s="213"/>
      <c r="BR68" s="213"/>
      <c r="BS68" s="213"/>
      <c r="BT68" s="213"/>
      <c r="BU68" s="213"/>
      <c r="BV68" s="213"/>
      <c r="BW68" s="213"/>
      <c r="BX68" s="213"/>
    </row>
    <row r="69" spans="1:76" s="126" customFormat="1" ht="11.25" customHeight="1" x14ac:dyDescent="0.2">
      <c r="A69" s="5"/>
      <c r="B69" s="5"/>
      <c r="C69" s="5"/>
      <c r="D69" s="5"/>
      <c r="E69" s="5"/>
      <c r="F69" s="5"/>
      <c r="G69" s="5"/>
      <c r="H69" s="5"/>
      <c r="I69" s="5"/>
      <c r="J69" s="5"/>
      <c r="K69" s="5"/>
      <c r="L69" s="213"/>
      <c r="M69" s="213"/>
      <c r="N69" s="213"/>
      <c r="O69" s="213"/>
      <c r="P69" s="213"/>
      <c r="Q69" s="5"/>
      <c r="R69" s="5"/>
      <c r="S69" s="5"/>
      <c r="T69" s="5"/>
      <c r="U69" s="5"/>
      <c r="V69" s="5"/>
      <c r="W69" s="5"/>
      <c r="X69" s="5"/>
      <c r="Y69" s="213"/>
      <c r="Z69" s="213"/>
      <c r="AA69" s="213"/>
      <c r="AB69" s="213"/>
      <c r="AC69" s="213"/>
      <c r="AD69" s="213"/>
      <c r="AE69" s="213"/>
      <c r="AF69" s="213"/>
      <c r="AG69" s="213"/>
      <c r="AH69" s="213"/>
      <c r="AI69" s="213"/>
      <c r="AJ69" s="213"/>
      <c r="AK69" s="213"/>
      <c r="AL69" s="213"/>
      <c r="AM69" s="213"/>
      <c r="AN69" s="213"/>
      <c r="AO69" s="213"/>
      <c r="AP69" s="213"/>
      <c r="AQ69" s="213"/>
      <c r="AR69" s="213"/>
      <c r="AS69" s="213"/>
      <c r="AT69" s="213"/>
      <c r="AU69" s="213"/>
      <c r="AV69" s="213"/>
      <c r="AW69" s="213"/>
      <c r="AX69" s="213"/>
      <c r="AY69" s="213"/>
      <c r="AZ69" s="213"/>
      <c r="BA69" s="213"/>
      <c r="BB69" s="213"/>
      <c r="BC69" s="213"/>
      <c r="BD69" s="213"/>
      <c r="BE69" s="213"/>
      <c r="BF69" s="213"/>
      <c r="BG69" s="213"/>
      <c r="BH69" s="213"/>
      <c r="BI69" s="213"/>
      <c r="BJ69" s="213"/>
      <c r="BK69" s="213"/>
      <c r="BL69" s="213"/>
      <c r="BM69" s="213"/>
      <c r="BN69" s="213"/>
      <c r="BO69" s="213"/>
      <c r="BP69" s="213"/>
      <c r="BQ69" s="213"/>
      <c r="BR69" s="213"/>
      <c r="BS69" s="213"/>
      <c r="BT69" s="213"/>
      <c r="BU69" s="213"/>
      <c r="BV69" s="213"/>
      <c r="BW69" s="213"/>
      <c r="BX69" s="213"/>
    </row>
    <row r="70" spans="1:76" s="126" customFormat="1" ht="11.25" customHeight="1" x14ac:dyDescent="0.2">
      <c r="A70" s="5"/>
      <c r="B70" s="5"/>
      <c r="C70" s="5"/>
      <c r="D70" s="5"/>
      <c r="E70" s="5"/>
      <c r="F70" s="5"/>
      <c r="G70" s="5"/>
      <c r="H70" s="5"/>
      <c r="I70" s="5"/>
      <c r="J70" s="5"/>
      <c r="K70" s="5"/>
      <c r="L70" s="213"/>
      <c r="M70" s="213"/>
      <c r="N70" s="213"/>
      <c r="O70" s="213"/>
      <c r="P70" s="213"/>
      <c r="Q70" s="5"/>
      <c r="R70" s="5"/>
      <c r="S70" s="5"/>
      <c r="T70" s="5"/>
      <c r="U70" s="5"/>
      <c r="V70" s="5"/>
      <c r="W70" s="5"/>
      <c r="X70" s="5"/>
      <c r="Y70" s="213"/>
      <c r="Z70" s="213"/>
      <c r="AA70" s="213"/>
      <c r="AB70" s="213"/>
      <c r="AC70" s="213"/>
      <c r="AD70" s="213"/>
      <c r="AE70" s="213"/>
      <c r="AF70" s="213"/>
      <c r="AG70" s="213"/>
      <c r="AH70" s="213"/>
      <c r="AI70" s="213"/>
      <c r="AJ70" s="213"/>
      <c r="AK70" s="213"/>
      <c r="AL70" s="213"/>
      <c r="AM70" s="213"/>
      <c r="AN70" s="213"/>
      <c r="AO70" s="213"/>
      <c r="AP70" s="213"/>
      <c r="AQ70" s="213"/>
      <c r="AR70" s="213"/>
      <c r="AS70" s="213"/>
      <c r="AT70" s="213"/>
      <c r="AU70" s="213"/>
      <c r="AV70" s="213"/>
      <c r="AW70" s="213"/>
      <c r="AX70" s="213"/>
      <c r="AY70" s="213"/>
      <c r="AZ70" s="213"/>
      <c r="BA70" s="213"/>
      <c r="BB70" s="213"/>
      <c r="BC70" s="213"/>
      <c r="BD70" s="213"/>
      <c r="BE70" s="213"/>
      <c r="BF70" s="213"/>
      <c r="BG70" s="213"/>
      <c r="BH70" s="213"/>
      <c r="BI70" s="213"/>
      <c r="BJ70" s="213"/>
      <c r="BK70" s="213"/>
      <c r="BL70" s="213"/>
      <c r="BM70" s="213"/>
      <c r="BN70" s="213"/>
      <c r="BO70" s="213"/>
      <c r="BP70" s="213"/>
      <c r="BQ70" s="213"/>
      <c r="BR70" s="213"/>
      <c r="BS70" s="213"/>
      <c r="BT70" s="213"/>
      <c r="BU70" s="213"/>
      <c r="BV70" s="213"/>
      <c r="BW70" s="213"/>
      <c r="BX70" s="213"/>
    </row>
    <row r="71" spans="1:76" s="126" customFormat="1" ht="11.25" customHeight="1" x14ac:dyDescent="0.2">
      <c r="A71" s="5"/>
      <c r="B71" s="5"/>
      <c r="C71" s="5"/>
      <c r="D71" s="5"/>
      <c r="E71" s="5"/>
      <c r="F71" s="5"/>
      <c r="G71" s="5"/>
      <c r="H71" s="5"/>
      <c r="I71" s="5"/>
      <c r="J71" s="5"/>
      <c r="K71" s="5"/>
      <c r="L71" s="213"/>
      <c r="M71" s="213"/>
      <c r="N71" s="213"/>
      <c r="O71" s="213"/>
      <c r="P71" s="213"/>
      <c r="Q71" s="5"/>
      <c r="R71" s="5"/>
      <c r="S71" s="5"/>
      <c r="T71" s="5"/>
      <c r="U71" s="5"/>
      <c r="V71" s="5"/>
      <c r="W71" s="5"/>
      <c r="X71" s="5"/>
      <c r="Y71" s="213"/>
      <c r="Z71" s="213"/>
      <c r="AA71" s="213"/>
      <c r="AB71" s="213"/>
      <c r="AC71" s="213"/>
      <c r="AD71" s="213"/>
      <c r="AE71" s="213"/>
      <c r="AF71" s="213"/>
      <c r="AG71" s="213"/>
      <c r="AH71" s="213"/>
      <c r="AI71" s="213"/>
      <c r="AJ71" s="213"/>
      <c r="AK71" s="213"/>
      <c r="AL71" s="213"/>
      <c r="AM71" s="213"/>
      <c r="AN71" s="213"/>
      <c r="AO71" s="213"/>
      <c r="AP71" s="213"/>
      <c r="AQ71" s="213"/>
      <c r="AR71" s="213"/>
      <c r="AS71" s="213"/>
      <c r="AT71" s="213"/>
      <c r="AU71" s="213"/>
      <c r="AV71" s="213"/>
      <c r="AW71" s="213"/>
      <c r="AX71" s="213"/>
      <c r="AY71" s="213"/>
      <c r="AZ71" s="213"/>
      <c r="BA71" s="213"/>
      <c r="BB71" s="213"/>
      <c r="BC71" s="213"/>
      <c r="BD71" s="213"/>
      <c r="BE71" s="213"/>
      <c r="BF71" s="213"/>
      <c r="BG71" s="213"/>
      <c r="BH71" s="213"/>
      <c r="BI71" s="213"/>
      <c r="BJ71" s="213"/>
      <c r="BK71" s="213"/>
      <c r="BL71" s="213"/>
      <c r="BM71" s="213"/>
      <c r="BN71" s="213"/>
      <c r="BO71" s="213"/>
      <c r="BP71" s="213"/>
      <c r="BQ71" s="213"/>
      <c r="BR71" s="213"/>
      <c r="BS71" s="213"/>
      <c r="BT71" s="213"/>
      <c r="BU71" s="213"/>
      <c r="BV71" s="213"/>
      <c r="BW71" s="213"/>
      <c r="BX71" s="213"/>
    </row>
    <row r="72" spans="1:76" s="126" customFormat="1" ht="11.25" customHeight="1" x14ac:dyDescent="0.2">
      <c r="A72" s="5"/>
      <c r="B72" s="5"/>
      <c r="C72" s="5"/>
      <c r="D72" s="5"/>
      <c r="E72" s="5"/>
      <c r="F72" s="5"/>
      <c r="G72" s="5"/>
      <c r="H72" s="5"/>
      <c r="I72" s="5"/>
      <c r="J72" s="5"/>
      <c r="K72" s="5"/>
      <c r="L72" s="213"/>
      <c r="M72" s="213"/>
      <c r="N72" s="213"/>
      <c r="O72" s="213"/>
      <c r="P72" s="213"/>
      <c r="Q72" s="5"/>
      <c r="R72" s="5"/>
      <c r="S72" s="5"/>
      <c r="T72" s="5"/>
      <c r="U72" s="5"/>
      <c r="V72" s="5"/>
      <c r="W72" s="5"/>
      <c r="X72" s="5"/>
      <c r="Y72" s="213"/>
      <c r="Z72" s="213"/>
      <c r="AA72" s="213"/>
      <c r="AB72" s="213"/>
      <c r="AC72" s="213"/>
      <c r="AD72" s="213"/>
      <c r="AE72" s="213"/>
      <c r="AF72" s="213"/>
      <c r="AG72" s="213"/>
      <c r="AH72" s="213"/>
      <c r="AI72" s="213"/>
      <c r="AJ72" s="213"/>
      <c r="AK72" s="213"/>
      <c r="AL72" s="213"/>
      <c r="AM72" s="213"/>
      <c r="AN72" s="213"/>
      <c r="AO72" s="213"/>
      <c r="AP72" s="213"/>
      <c r="AQ72" s="213"/>
      <c r="AR72" s="213"/>
      <c r="AS72" s="213"/>
      <c r="AT72" s="213"/>
      <c r="AU72" s="213"/>
      <c r="AV72" s="213"/>
      <c r="AW72" s="213"/>
      <c r="AX72" s="213"/>
      <c r="AY72" s="213"/>
      <c r="AZ72" s="213"/>
      <c r="BA72" s="213"/>
      <c r="BB72" s="213"/>
      <c r="BC72" s="213"/>
      <c r="BD72" s="213"/>
      <c r="BE72" s="213"/>
      <c r="BF72" s="213"/>
      <c r="BG72" s="213"/>
      <c r="BH72" s="213"/>
      <c r="BI72" s="213"/>
      <c r="BJ72" s="213"/>
      <c r="BK72" s="213"/>
      <c r="BL72" s="213"/>
      <c r="BM72" s="213"/>
      <c r="BN72" s="213"/>
      <c r="BO72" s="213"/>
      <c r="BP72" s="213"/>
      <c r="BQ72" s="213"/>
      <c r="BR72" s="213"/>
      <c r="BS72" s="213"/>
      <c r="BT72" s="213"/>
      <c r="BU72" s="213"/>
      <c r="BV72" s="213"/>
      <c r="BW72" s="213"/>
      <c r="BX72" s="213"/>
    </row>
    <row r="73" spans="1:76" s="126" customFormat="1" ht="11.25" customHeight="1" x14ac:dyDescent="0.2">
      <c r="A73" s="5"/>
      <c r="B73" s="5"/>
      <c r="C73" s="5"/>
      <c r="D73" s="5"/>
      <c r="E73" s="5"/>
      <c r="F73" s="5"/>
      <c r="G73" s="5"/>
      <c r="H73" s="5"/>
      <c r="I73" s="5"/>
      <c r="J73" s="5"/>
      <c r="K73" s="5"/>
      <c r="L73" s="213"/>
      <c r="M73" s="213"/>
      <c r="N73" s="213"/>
      <c r="O73" s="213"/>
      <c r="P73" s="213"/>
      <c r="Q73" s="5"/>
      <c r="R73" s="5"/>
      <c r="S73" s="5"/>
      <c r="T73" s="5"/>
      <c r="U73" s="5"/>
      <c r="V73" s="5"/>
      <c r="W73" s="5"/>
      <c r="X73" s="5"/>
      <c r="Y73" s="213"/>
      <c r="Z73" s="213"/>
      <c r="AA73" s="213"/>
      <c r="AB73" s="213"/>
      <c r="AC73" s="213"/>
      <c r="AD73" s="213"/>
      <c r="AE73" s="213"/>
      <c r="AF73" s="213"/>
      <c r="AG73" s="213"/>
      <c r="AH73" s="213"/>
      <c r="AI73" s="213"/>
      <c r="AJ73" s="213"/>
      <c r="AK73" s="213"/>
      <c r="AL73" s="213"/>
      <c r="AM73" s="213"/>
      <c r="AN73" s="213"/>
      <c r="AO73" s="213"/>
      <c r="AP73" s="213"/>
      <c r="AQ73" s="213"/>
      <c r="AR73" s="213"/>
      <c r="AS73" s="213"/>
      <c r="AT73" s="213"/>
      <c r="AU73" s="213"/>
      <c r="AV73" s="213"/>
      <c r="AW73" s="213"/>
      <c r="AX73" s="213"/>
      <c r="AY73" s="213"/>
      <c r="AZ73" s="213"/>
      <c r="BA73" s="213"/>
      <c r="BB73" s="213"/>
      <c r="BC73" s="213"/>
      <c r="BD73" s="213"/>
      <c r="BE73" s="213"/>
      <c r="BF73" s="213"/>
      <c r="BG73" s="213"/>
      <c r="BH73" s="213"/>
      <c r="BI73" s="213"/>
      <c r="BJ73" s="213"/>
      <c r="BK73" s="213"/>
      <c r="BL73" s="213"/>
      <c r="BM73" s="213"/>
      <c r="BN73" s="213"/>
      <c r="BO73" s="213"/>
      <c r="BP73" s="213"/>
      <c r="BQ73" s="213"/>
      <c r="BR73" s="213"/>
      <c r="BS73" s="213"/>
      <c r="BT73" s="213"/>
      <c r="BU73" s="213"/>
      <c r="BV73" s="213"/>
      <c r="BW73" s="213"/>
      <c r="BX73" s="213"/>
    </row>
    <row r="74" spans="1:76" s="126" customFormat="1" ht="11.25" customHeight="1" x14ac:dyDescent="0.2">
      <c r="A74" s="5"/>
      <c r="B74" s="5"/>
      <c r="C74" s="5"/>
      <c r="D74" s="5"/>
      <c r="E74" s="5"/>
      <c r="F74" s="5"/>
      <c r="G74" s="5"/>
      <c r="H74" s="5"/>
      <c r="I74" s="5"/>
      <c r="J74" s="5"/>
      <c r="K74" s="5"/>
      <c r="L74" s="213"/>
      <c r="M74" s="213"/>
      <c r="N74" s="213"/>
      <c r="O74" s="213"/>
      <c r="P74" s="213"/>
      <c r="Q74" s="5"/>
      <c r="R74" s="5"/>
      <c r="S74" s="5"/>
      <c r="T74" s="5"/>
      <c r="U74" s="5"/>
      <c r="V74" s="5"/>
      <c r="W74" s="5"/>
      <c r="X74" s="5"/>
      <c r="Y74" s="213"/>
      <c r="Z74" s="213"/>
      <c r="AA74" s="213"/>
      <c r="AB74" s="213"/>
      <c r="AC74" s="213"/>
      <c r="AD74" s="213"/>
      <c r="AE74" s="213"/>
      <c r="AF74" s="213"/>
      <c r="AG74" s="213"/>
      <c r="AH74" s="213"/>
      <c r="AI74" s="213"/>
      <c r="AJ74" s="213"/>
      <c r="AK74" s="213"/>
      <c r="AL74" s="213"/>
      <c r="AM74" s="213"/>
      <c r="AN74" s="213"/>
      <c r="AO74" s="213"/>
      <c r="AP74" s="213"/>
      <c r="AQ74" s="213"/>
      <c r="AR74" s="213"/>
      <c r="AS74" s="213"/>
      <c r="AT74" s="213"/>
      <c r="AU74" s="213"/>
      <c r="AV74" s="213"/>
      <c r="AW74" s="213"/>
      <c r="AX74" s="213"/>
      <c r="AY74" s="213"/>
      <c r="AZ74" s="213"/>
      <c r="BA74" s="213"/>
      <c r="BB74" s="213"/>
      <c r="BC74" s="213"/>
      <c r="BD74" s="213"/>
      <c r="BE74" s="213"/>
      <c r="BF74" s="213"/>
      <c r="BG74" s="213"/>
      <c r="BH74" s="213"/>
      <c r="BI74" s="213"/>
      <c r="BJ74" s="213"/>
      <c r="BK74" s="213"/>
      <c r="BL74" s="213"/>
      <c r="BM74" s="213"/>
      <c r="BN74" s="213"/>
      <c r="BO74" s="213"/>
      <c r="BP74" s="213"/>
      <c r="BQ74" s="213"/>
      <c r="BR74" s="213"/>
      <c r="BS74" s="213"/>
      <c r="BT74" s="213"/>
      <c r="BU74" s="213"/>
      <c r="BV74" s="213"/>
      <c r="BW74" s="213"/>
      <c r="BX74" s="213"/>
    </row>
    <row r="75" spans="1:76" s="126" customFormat="1" ht="11.25" customHeight="1" x14ac:dyDescent="0.2">
      <c r="A75" s="5"/>
      <c r="B75" s="5"/>
      <c r="C75" s="5"/>
      <c r="D75" s="5"/>
      <c r="E75" s="5"/>
      <c r="F75" s="5"/>
      <c r="G75" s="5"/>
      <c r="H75" s="5"/>
      <c r="I75" s="5"/>
      <c r="J75" s="5"/>
      <c r="K75" s="5"/>
      <c r="L75" s="213"/>
      <c r="M75" s="213"/>
      <c r="N75" s="213"/>
      <c r="O75" s="213"/>
      <c r="P75" s="213"/>
      <c r="Q75" s="5"/>
      <c r="R75" s="5"/>
      <c r="S75" s="5"/>
      <c r="T75" s="5"/>
      <c r="U75" s="5"/>
      <c r="V75" s="5"/>
      <c r="W75" s="5"/>
      <c r="X75" s="5"/>
      <c r="Y75" s="213"/>
      <c r="Z75" s="213"/>
      <c r="AA75" s="213"/>
      <c r="AB75" s="213"/>
      <c r="AC75" s="213"/>
      <c r="AD75" s="213"/>
      <c r="AE75" s="213"/>
      <c r="AF75" s="213"/>
      <c r="AG75" s="213"/>
      <c r="AH75" s="213"/>
      <c r="AI75" s="213"/>
      <c r="AJ75" s="213"/>
      <c r="AK75" s="213"/>
      <c r="AL75" s="213"/>
      <c r="AM75" s="213"/>
      <c r="AN75" s="213"/>
      <c r="AO75" s="213"/>
      <c r="AP75" s="213"/>
      <c r="AQ75" s="213"/>
      <c r="AR75" s="213"/>
      <c r="AS75" s="213"/>
      <c r="AT75" s="213"/>
      <c r="AU75" s="213"/>
      <c r="AV75" s="213"/>
      <c r="AW75" s="213"/>
      <c r="AX75" s="213"/>
      <c r="AY75" s="213"/>
      <c r="AZ75" s="213"/>
      <c r="BA75" s="213"/>
      <c r="BB75" s="213"/>
      <c r="BC75" s="213"/>
      <c r="BD75" s="213"/>
      <c r="BE75" s="213"/>
      <c r="BF75" s="213"/>
      <c r="BG75" s="213"/>
      <c r="BH75" s="213"/>
      <c r="BI75" s="213"/>
      <c r="BJ75" s="213"/>
      <c r="BK75" s="213"/>
      <c r="BL75" s="213"/>
      <c r="BM75" s="213"/>
      <c r="BN75" s="213"/>
      <c r="BO75" s="213"/>
      <c r="BP75" s="213"/>
      <c r="BQ75" s="213"/>
      <c r="BR75" s="213"/>
      <c r="BS75" s="213"/>
      <c r="BT75" s="213"/>
      <c r="BU75" s="213"/>
      <c r="BV75" s="213"/>
      <c r="BW75" s="213"/>
      <c r="BX75" s="213"/>
    </row>
    <row r="76" spans="1:76" s="126" customFormat="1" ht="11.25" customHeight="1" x14ac:dyDescent="0.2">
      <c r="A76" s="5"/>
      <c r="B76" s="5"/>
      <c r="C76" s="5"/>
      <c r="D76" s="5"/>
      <c r="E76" s="5"/>
      <c r="F76" s="5"/>
      <c r="G76" s="5"/>
      <c r="H76" s="5"/>
      <c r="I76" s="5"/>
      <c r="J76" s="5"/>
      <c r="K76" s="5"/>
      <c r="L76" s="213"/>
      <c r="M76" s="213"/>
      <c r="N76" s="213"/>
      <c r="O76" s="213"/>
      <c r="P76" s="213"/>
      <c r="Q76" s="5"/>
      <c r="R76" s="5"/>
      <c r="S76" s="5"/>
      <c r="T76" s="5"/>
      <c r="U76" s="5"/>
      <c r="V76" s="5"/>
      <c r="W76" s="5"/>
      <c r="X76" s="5"/>
      <c r="Y76" s="213"/>
      <c r="Z76" s="213"/>
      <c r="AA76" s="213"/>
      <c r="AB76" s="213"/>
      <c r="AC76" s="213"/>
      <c r="AD76" s="213"/>
      <c r="AE76" s="213"/>
      <c r="AF76" s="213"/>
      <c r="AG76" s="213"/>
      <c r="AH76" s="213"/>
      <c r="AI76" s="213"/>
      <c r="AJ76" s="213"/>
      <c r="AK76" s="213"/>
      <c r="AL76" s="213"/>
      <c r="AM76" s="213"/>
      <c r="AN76" s="213"/>
      <c r="AO76" s="213"/>
      <c r="AP76" s="213"/>
      <c r="AQ76" s="213"/>
      <c r="AR76" s="213"/>
      <c r="AS76" s="213"/>
      <c r="AT76" s="213"/>
      <c r="AU76" s="213"/>
      <c r="AV76" s="213"/>
      <c r="AW76" s="213"/>
      <c r="AX76" s="213"/>
      <c r="AY76" s="213"/>
      <c r="AZ76" s="213"/>
      <c r="BA76" s="213"/>
      <c r="BB76" s="213"/>
      <c r="BC76" s="213"/>
      <c r="BD76" s="213"/>
      <c r="BE76" s="213"/>
      <c r="BF76" s="213"/>
      <c r="BG76" s="213"/>
      <c r="BH76" s="213"/>
      <c r="BI76" s="213"/>
      <c r="BJ76" s="213"/>
      <c r="BK76" s="213"/>
      <c r="BL76" s="213"/>
      <c r="BM76" s="213"/>
      <c r="BN76" s="213"/>
      <c r="BO76" s="213"/>
      <c r="BP76" s="213"/>
      <c r="BQ76" s="213"/>
      <c r="BR76" s="213"/>
      <c r="BS76" s="213"/>
      <c r="BT76" s="213"/>
      <c r="BU76" s="213"/>
      <c r="BV76" s="213"/>
      <c r="BW76" s="213"/>
      <c r="BX76" s="213"/>
    </row>
    <row r="77" spans="1:76" s="126" customFormat="1" ht="11.25" customHeight="1" x14ac:dyDescent="0.2">
      <c r="A77" s="5"/>
      <c r="B77" s="5"/>
      <c r="C77" s="5"/>
      <c r="D77" s="5"/>
      <c r="E77" s="5"/>
      <c r="F77" s="5"/>
      <c r="G77" s="5"/>
      <c r="H77" s="5"/>
      <c r="I77" s="5"/>
      <c r="J77" s="5"/>
      <c r="K77" s="5"/>
      <c r="L77" s="213"/>
      <c r="M77" s="213"/>
      <c r="N77" s="213"/>
      <c r="O77" s="213"/>
      <c r="P77" s="213"/>
      <c r="Q77" s="5"/>
      <c r="R77" s="5"/>
      <c r="S77" s="5"/>
      <c r="T77" s="5"/>
      <c r="U77" s="5"/>
      <c r="V77" s="5"/>
      <c r="W77" s="5"/>
      <c r="X77" s="5"/>
      <c r="Y77" s="213"/>
      <c r="Z77" s="213"/>
      <c r="AA77" s="213"/>
      <c r="AB77" s="213"/>
      <c r="AC77" s="213"/>
      <c r="AD77" s="213"/>
      <c r="AE77" s="213"/>
      <c r="AF77" s="213"/>
      <c r="AG77" s="213"/>
      <c r="AH77" s="213"/>
      <c r="AI77" s="213"/>
      <c r="AJ77" s="213"/>
      <c r="AK77" s="213"/>
      <c r="AL77" s="213"/>
      <c r="AM77" s="213"/>
      <c r="AN77" s="213"/>
      <c r="AO77" s="213"/>
      <c r="AP77" s="213"/>
      <c r="AQ77" s="213"/>
      <c r="AR77" s="213"/>
      <c r="AS77" s="213"/>
      <c r="AT77" s="213"/>
      <c r="AU77" s="213"/>
      <c r="AV77" s="213"/>
      <c r="AW77" s="213"/>
      <c r="AX77" s="213"/>
      <c r="AY77" s="213"/>
      <c r="AZ77" s="213"/>
      <c r="BA77" s="213"/>
      <c r="BB77" s="213"/>
      <c r="BC77" s="213"/>
      <c r="BD77" s="213"/>
      <c r="BE77" s="213"/>
      <c r="BF77" s="213"/>
      <c r="BG77" s="213"/>
      <c r="BH77" s="213"/>
      <c r="BI77" s="213"/>
      <c r="BJ77" s="213"/>
      <c r="BK77" s="213"/>
      <c r="BL77" s="213"/>
      <c r="BM77" s="213"/>
      <c r="BN77" s="213"/>
      <c r="BO77" s="213"/>
      <c r="BP77" s="213"/>
      <c r="BQ77" s="213"/>
      <c r="BR77" s="213"/>
      <c r="BS77" s="213"/>
      <c r="BT77" s="213"/>
      <c r="BU77" s="213"/>
      <c r="BV77" s="213"/>
      <c r="BW77" s="213"/>
      <c r="BX77" s="213"/>
    </row>
    <row r="78" spans="1:76" s="126" customFormat="1" ht="11.25" customHeight="1" x14ac:dyDescent="0.2">
      <c r="A78" s="5"/>
      <c r="B78" s="5"/>
      <c r="C78" s="5"/>
      <c r="D78" s="5"/>
      <c r="E78" s="5"/>
      <c r="F78" s="5"/>
      <c r="G78" s="5"/>
      <c r="H78" s="5"/>
      <c r="I78" s="5"/>
      <c r="J78" s="5"/>
      <c r="K78" s="5"/>
      <c r="L78" s="213"/>
      <c r="M78" s="213"/>
      <c r="N78" s="213"/>
      <c r="O78" s="213"/>
      <c r="P78" s="213"/>
      <c r="Q78" s="5"/>
      <c r="R78" s="5"/>
      <c r="S78" s="5"/>
      <c r="T78" s="5"/>
      <c r="U78" s="5"/>
      <c r="V78" s="5"/>
      <c r="W78" s="5"/>
      <c r="X78" s="5"/>
      <c r="Y78" s="213"/>
      <c r="Z78" s="213"/>
      <c r="AA78" s="213"/>
      <c r="AB78" s="213"/>
      <c r="AC78" s="213"/>
      <c r="AD78" s="213"/>
      <c r="AE78" s="213"/>
      <c r="AF78" s="213"/>
      <c r="AG78" s="213"/>
      <c r="AH78" s="213"/>
      <c r="AI78" s="213"/>
      <c r="AJ78" s="213"/>
      <c r="AK78" s="213"/>
      <c r="AL78" s="213"/>
      <c r="AM78" s="213"/>
      <c r="AN78" s="213"/>
      <c r="AO78" s="213"/>
      <c r="AP78" s="213"/>
      <c r="AQ78" s="213"/>
      <c r="AR78" s="213"/>
      <c r="AS78" s="213"/>
      <c r="AT78" s="213"/>
      <c r="AU78" s="213"/>
      <c r="AV78" s="213"/>
      <c r="AW78" s="213"/>
      <c r="AX78" s="213"/>
      <c r="AY78" s="213"/>
      <c r="AZ78" s="213"/>
      <c r="BA78" s="213"/>
      <c r="BB78" s="213"/>
      <c r="BC78" s="213"/>
      <c r="BD78" s="213"/>
      <c r="BE78" s="213"/>
      <c r="BF78" s="213"/>
      <c r="BG78" s="213"/>
      <c r="BH78" s="213"/>
      <c r="BI78" s="213"/>
      <c r="BJ78" s="213"/>
      <c r="BK78" s="213"/>
      <c r="BL78" s="213"/>
      <c r="BM78" s="213"/>
      <c r="BN78" s="213"/>
      <c r="BO78" s="213"/>
      <c r="BP78" s="213"/>
      <c r="BQ78" s="213"/>
      <c r="BR78" s="213"/>
      <c r="BS78" s="213"/>
      <c r="BT78" s="213"/>
      <c r="BU78" s="213"/>
      <c r="BV78" s="213"/>
      <c r="BW78" s="213"/>
      <c r="BX78" s="213"/>
    </row>
    <row r="79" spans="1:76" s="126" customFormat="1" ht="11.25" customHeight="1" x14ac:dyDescent="0.2">
      <c r="A79" s="5"/>
      <c r="B79" s="5"/>
      <c r="C79" s="5"/>
      <c r="D79" s="5"/>
      <c r="E79" s="5"/>
      <c r="F79" s="5"/>
      <c r="G79" s="5"/>
      <c r="H79" s="5"/>
      <c r="I79" s="5"/>
      <c r="J79" s="5"/>
      <c r="K79" s="5"/>
      <c r="L79" s="213"/>
      <c r="M79" s="213"/>
      <c r="N79" s="213"/>
      <c r="O79" s="213"/>
      <c r="P79" s="213"/>
      <c r="Q79" s="5"/>
      <c r="R79" s="5"/>
      <c r="S79" s="5"/>
      <c r="T79" s="5"/>
      <c r="U79" s="5"/>
      <c r="V79" s="5"/>
      <c r="W79" s="5"/>
      <c r="X79" s="5"/>
      <c r="Y79" s="213"/>
      <c r="Z79" s="213"/>
      <c r="AA79" s="213"/>
      <c r="AB79" s="213"/>
      <c r="AC79" s="213"/>
      <c r="AD79" s="213"/>
      <c r="AE79" s="213"/>
      <c r="AF79" s="213"/>
      <c r="AG79" s="213"/>
      <c r="AH79" s="213"/>
      <c r="AI79" s="213"/>
      <c r="AJ79" s="213"/>
      <c r="AK79" s="213"/>
      <c r="AL79" s="213"/>
      <c r="AM79" s="213"/>
      <c r="AN79" s="213"/>
      <c r="AO79" s="213"/>
      <c r="AP79" s="213"/>
      <c r="AQ79" s="213"/>
      <c r="AR79" s="213"/>
      <c r="AS79" s="213"/>
      <c r="AT79" s="213"/>
      <c r="AU79" s="213"/>
      <c r="AV79" s="213"/>
      <c r="AW79" s="213"/>
      <c r="AX79" s="213"/>
      <c r="AY79" s="213"/>
      <c r="AZ79" s="213"/>
      <c r="BA79" s="213"/>
      <c r="BB79" s="213"/>
      <c r="BC79" s="213"/>
      <c r="BD79" s="213"/>
      <c r="BE79" s="213"/>
      <c r="BF79" s="213"/>
      <c r="BG79" s="213"/>
      <c r="BH79" s="213"/>
      <c r="BI79" s="213"/>
      <c r="BJ79" s="213"/>
      <c r="BK79" s="213"/>
      <c r="BL79" s="213"/>
      <c r="BM79" s="213"/>
      <c r="BN79" s="213"/>
      <c r="BO79" s="213"/>
      <c r="BP79" s="213"/>
      <c r="BQ79" s="213"/>
      <c r="BR79" s="213"/>
      <c r="BS79" s="213"/>
      <c r="BT79" s="213"/>
      <c r="BU79" s="213"/>
      <c r="BV79" s="213"/>
      <c r="BW79" s="213"/>
      <c r="BX79" s="213"/>
    </row>
    <row r="80" spans="1:76" s="126" customFormat="1" ht="11.25" customHeight="1" x14ac:dyDescent="0.2">
      <c r="A80" s="5"/>
      <c r="B80" s="5"/>
      <c r="C80" s="5"/>
      <c r="D80" s="5"/>
      <c r="E80" s="5"/>
      <c r="F80" s="5"/>
      <c r="G80" s="5"/>
      <c r="H80" s="5"/>
      <c r="I80" s="5"/>
      <c r="J80" s="5"/>
      <c r="K80" s="5"/>
      <c r="L80" s="213"/>
      <c r="M80" s="213"/>
      <c r="N80" s="213"/>
      <c r="O80" s="213"/>
      <c r="P80" s="213"/>
      <c r="Q80" s="5"/>
      <c r="R80" s="5"/>
      <c r="S80" s="5"/>
      <c r="T80" s="5"/>
      <c r="U80" s="5"/>
      <c r="V80" s="5"/>
      <c r="W80" s="5"/>
      <c r="X80" s="5"/>
      <c r="Y80" s="213"/>
      <c r="Z80" s="213"/>
      <c r="AA80" s="213"/>
      <c r="AB80" s="213"/>
      <c r="AC80" s="213"/>
      <c r="AD80" s="213"/>
      <c r="AE80" s="213"/>
      <c r="AF80" s="213"/>
      <c r="AG80" s="213"/>
      <c r="AH80" s="213"/>
      <c r="AI80" s="213"/>
      <c r="AJ80" s="213"/>
      <c r="AK80" s="213"/>
      <c r="AL80" s="213"/>
      <c r="AM80" s="213"/>
      <c r="AN80" s="213"/>
      <c r="AO80" s="213"/>
      <c r="AP80" s="213"/>
      <c r="AQ80" s="213"/>
      <c r="AR80" s="213"/>
      <c r="AS80" s="213"/>
      <c r="AT80" s="213"/>
      <c r="AU80" s="213"/>
      <c r="AV80" s="213"/>
      <c r="AW80" s="213"/>
      <c r="AX80" s="213"/>
      <c r="AY80" s="213"/>
      <c r="AZ80" s="213"/>
      <c r="BA80" s="213"/>
      <c r="BB80" s="213"/>
      <c r="BC80" s="213"/>
      <c r="BD80" s="213"/>
      <c r="BE80" s="213"/>
      <c r="BF80" s="213"/>
      <c r="BG80" s="213"/>
      <c r="BH80" s="213"/>
      <c r="BI80" s="213"/>
      <c r="BJ80" s="213"/>
      <c r="BK80" s="213"/>
      <c r="BL80" s="213"/>
      <c r="BM80" s="213"/>
      <c r="BN80" s="213"/>
      <c r="BO80" s="213"/>
      <c r="BP80" s="213"/>
      <c r="BQ80" s="213"/>
      <c r="BR80" s="213"/>
      <c r="BS80" s="213"/>
      <c r="BT80" s="213"/>
      <c r="BU80" s="213"/>
      <c r="BV80" s="213"/>
      <c r="BW80" s="213"/>
      <c r="BX80" s="213"/>
    </row>
    <row r="81" spans="1:76" s="126" customFormat="1" ht="11.25" customHeight="1" x14ac:dyDescent="0.2">
      <c r="A81" s="5"/>
      <c r="B81" s="5"/>
      <c r="C81" s="5"/>
      <c r="D81" s="5"/>
      <c r="E81" s="5"/>
      <c r="F81" s="5"/>
      <c r="G81" s="5"/>
      <c r="H81" s="5"/>
      <c r="I81" s="5"/>
      <c r="J81" s="5"/>
      <c r="K81" s="5"/>
      <c r="L81" s="213"/>
      <c r="M81" s="213"/>
      <c r="N81" s="213"/>
      <c r="O81" s="213"/>
      <c r="P81" s="213"/>
      <c r="Q81" s="5"/>
      <c r="R81" s="5"/>
      <c r="S81" s="5"/>
      <c r="T81" s="5"/>
      <c r="U81" s="5"/>
      <c r="V81" s="5"/>
      <c r="W81" s="5"/>
      <c r="X81" s="5"/>
      <c r="Y81" s="213"/>
      <c r="Z81" s="213"/>
      <c r="AA81" s="213"/>
      <c r="AB81" s="213"/>
      <c r="AC81" s="213"/>
      <c r="AD81" s="213"/>
      <c r="AE81" s="213"/>
      <c r="AF81" s="213"/>
      <c r="AG81" s="213"/>
      <c r="AH81" s="213"/>
      <c r="AI81" s="213"/>
      <c r="AJ81" s="213"/>
      <c r="AK81" s="213"/>
      <c r="AL81" s="213"/>
      <c r="AM81" s="213"/>
      <c r="AN81" s="213"/>
      <c r="AO81" s="213"/>
      <c r="AP81" s="213"/>
      <c r="AQ81" s="213"/>
      <c r="AR81" s="213"/>
      <c r="AS81" s="213"/>
      <c r="AT81" s="213"/>
      <c r="AU81" s="213"/>
      <c r="AV81" s="213"/>
      <c r="AW81" s="213"/>
      <c r="AX81" s="213"/>
      <c r="AY81" s="213"/>
      <c r="AZ81" s="213"/>
      <c r="BA81" s="213"/>
      <c r="BB81" s="213"/>
      <c r="BC81" s="213"/>
      <c r="BD81" s="213"/>
      <c r="BE81" s="213"/>
      <c r="BF81" s="213"/>
      <c r="BG81" s="213"/>
      <c r="BH81" s="213"/>
      <c r="BI81" s="213"/>
      <c r="BJ81" s="213"/>
      <c r="BK81" s="213"/>
      <c r="BL81" s="213"/>
      <c r="BM81" s="213"/>
      <c r="BN81" s="213"/>
      <c r="BO81" s="213"/>
      <c r="BP81" s="213"/>
      <c r="BQ81" s="213"/>
      <c r="BR81" s="213"/>
      <c r="BS81" s="213"/>
      <c r="BT81" s="213"/>
      <c r="BU81" s="213"/>
      <c r="BV81" s="213"/>
      <c r="BW81" s="213"/>
      <c r="BX81" s="213"/>
    </row>
    <row r="82" spans="1:76" s="126" customFormat="1" ht="11.25" customHeight="1" x14ac:dyDescent="0.2">
      <c r="A82" s="5"/>
      <c r="B82" s="5"/>
      <c r="C82" s="5"/>
      <c r="D82" s="5"/>
      <c r="E82" s="5"/>
      <c r="F82" s="5"/>
      <c r="G82" s="5"/>
      <c r="H82" s="5"/>
      <c r="I82" s="5"/>
      <c r="J82" s="5"/>
      <c r="K82" s="5"/>
      <c r="L82" s="213"/>
      <c r="M82" s="213"/>
      <c r="N82" s="213"/>
      <c r="O82" s="213"/>
      <c r="P82" s="213"/>
      <c r="Q82" s="5"/>
      <c r="R82" s="5"/>
      <c r="S82" s="5"/>
      <c r="T82" s="5"/>
      <c r="U82" s="5"/>
      <c r="V82" s="5"/>
      <c r="W82" s="5"/>
      <c r="X82" s="5"/>
      <c r="Y82" s="213"/>
      <c r="Z82" s="213"/>
      <c r="AA82" s="213"/>
      <c r="AB82" s="213"/>
      <c r="AC82" s="213"/>
      <c r="AD82" s="213"/>
      <c r="AE82" s="213"/>
      <c r="AF82" s="213"/>
      <c r="AG82" s="213"/>
      <c r="AH82" s="213"/>
      <c r="AI82" s="213"/>
      <c r="AJ82" s="213"/>
      <c r="AK82" s="213"/>
      <c r="AL82" s="213"/>
      <c r="AM82" s="213"/>
      <c r="AN82" s="213"/>
      <c r="AO82" s="213"/>
      <c r="AP82" s="213"/>
      <c r="AQ82" s="213"/>
      <c r="AR82" s="213"/>
      <c r="AS82" s="213"/>
      <c r="AT82" s="213"/>
      <c r="AU82" s="213"/>
      <c r="AV82" s="213"/>
      <c r="AW82" s="213"/>
      <c r="AX82" s="213"/>
      <c r="AY82" s="213"/>
      <c r="AZ82" s="213"/>
      <c r="BA82" s="213"/>
      <c r="BB82" s="213"/>
      <c r="BC82" s="213"/>
      <c r="BD82" s="213"/>
      <c r="BE82" s="213"/>
      <c r="BF82" s="213"/>
      <c r="BG82" s="213"/>
      <c r="BH82" s="213"/>
      <c r="BI82" s="213"/>
      <c r="BJ82" s="213"/>
      <c r="BK82" s="213"/>
      <c r="BL82" s="213"/>
      <c r="BM82" s="213"/>
      <c r="BN82" s="213"/>
      <c r="BO82" s="213"/>
      <c r="BP82" s="213"/>
      <c r="BQ82" s="213"/>
      <c r="BR82" s="213"/>
      <c r="BS82" s="213"/>
      <c r="BT82" s="213"/>
      <c r="BU82" s="213"/>
      <c r="BV82" s="213"/>
      <c r="BW82" s="213"/>
      <c r="BX82" s="213"/>
    </row>
    <row r="83" spans="1:76" s="126" customFormat="1" ht="11.25" customHeight="1" x14ac:dyDescent="0.2">
      <c r="A83" s="5"/>
      <c r="B83" s="5"/>
      <c r="C83" s="5"/>
      <c r="D83" s="5"/>
      <c r="E83" s="5"/>
      <c r="F83" s="5"/>
      <c r="G83" s="5"/>
      <c r="H83" s="5"/>
      <c r="I83" s="5"/>
      <c r="J83" s="5"/>
      <c r="K83" s="5"/>
      <c r="L83" s="213"/>
      <c r="M83" s="213"/>
      <c r="N83" s="213"/>
      <c r="O83" s="213"/>
      <c r="P83" s="213"/>
      <c r="Q83" s="5"/>
      <c r="R83" s="5"/>
      <c r="S83" s="5"/>
      <c r="T83" s="5"/>
      <c r="U83" s="5"/>
      <c r="V83" s="5"/>
      <c r="W83" s="5"/>
      <c r="X83" s="5"/>
      <c r="Y83" s="213"/>
      <c r="Z83" s="213"/>
      <c r="AA83" s="213"/>
      <c r="AB83" s="213"/>
      <c r="AC83" s="213"/>
      <c r="AD83" s="213"/>
      <c r="AE83" s="213"/>
      <c r="AF83" s="213"/>
      <c r="AG83" s="213"/>
      <c r="AH83" s="213"/>
      <c r="AI83" s="213"/>
      <c r="AJ83" s="213"/>
      <c r="AK83" s="213"/>
      <c r="AL83" s="213"/>
      <c r="AM83" s="213"/>
      <c r="AN83" s="213"/>
      <c r="AO83" s="213"/>
      <c r="AP83" s="213"/>
      <c r="AQ83" s="213"/>
      <c r="AR83" s="213"/>
      <c r="AS83" s="213"/>
      <c r="AT83" s="213"/>
      <c r="AU83" s="213"/>
      <c r="AV83" s="213"/>
      <c r="AW83" s="213"/>
      <c r="AX83" s="213"/>
      <c r="AY83" s="213"/>
      <c r="AZ83" s="213"/>
      <c r="BA83" s="213"/>
      <c r="BB83" s="213"/>
      <c r="BC83" s="213"/>
      <c r="BD83" s="213"/>
      <c r="BE83" s="213"/>
      <c r="BF83" s="213"/>
      <c r="BG83" s="213"/>
      <c r="BH83" s="213"/>
      <c r="BI83" s="213"/>
      <c r="BJ83" s="213"/>
      <c r="BK83" s="213"/>
      <c r="BL83" s="213"/>
      <c r="BM83" s="213"/>
      <c r="BN83" s="213"/>
      <c r="BO83" s="213"/>
      <c r="BP83" s="213"/>
      <c r="BQ83" s="213"/>
      <c r="BR83" s="213"/>
      <c r="BS83" s="213"/>
      <c r="BT83" s="213"/>
      <c r="BU83" s="213"/>
      <c r="BV83" s="213"/>
      <c r="BW83" s="213"/>
      <c r="BX83" s="213"/>
    </row>
    <row r="84" spans="1:76" s="126" customFormat="1" ht="11.25" customHeight="1" x14ac:dyDescent="0.2">
      <c r="A84" s="5"/>
      <c r="B84" s="5"/>
      <c r="C84" s="5"/>
      <c r="D84" s="5"/>
      <c r="E84" s="5"/>
      <c r="F84" s="5"/>
      <c r="G84" s="5"/>
      <c r="H84" s="5"/>
      <c r="I84" s="5"/>
      <c r="J84" s="5"/>
      <c r="K84" s="5"/>
      <c r="L84" s="213"/>
      <c r="M84" s="213"/>
      <c r="N84" s="213"/>
      <c r="O84" s="213"/>
      <c r="P84" s="213"/>
      <c r="Q84" s="5"/>
      <c r="R84" s="5"/>
      <c r="S84" s="5"/>
      <c r="T84" s="5"/>
      <c r="U84" s="5"/>
      <c r="V84" s="5"/>
      <c r="W84" s="5"/>
      <c r="X84" s="5"/>
      <c r="Y84" s="213"/>
      <c r="Z84" s="213"/>
      <c r="AA84" s="213"/>
      <c r="AB84" s="213"/>
      <c r="AC84" s="213"/>
      <c r="AD84" s="213"/>
      <c r="AE84" s="213"/>
      <c r="AF84" s="213"/>
      <c r="AG84" s="213"/>
      <c r="AH84" s="213"/>
      <c r="AI84" s="213"/>
      <c r="AJ84" s="213"/>
      <c r="AK84" s="213"/>
      <c r="AL84" s="213"/>
      <c r="AM84" s="213"/>
      <c r="AN84" s="213"/>
      <c r="AO84" s="213"/>
      <c r="AP84" s="213"/>
      <c r="AQ84" s="213"/>
      <c r="AR84" s="213"/>
      <c r="AS84" s="213"/>
      <c r="AT84" s="213"/>
      <c r="AU84" s="213"/>
      <c r="AV84" s="213"/>
      <c r="AW84" s="213"/>
      <c r="AX84" s="213"/>
      <c r="AY84" s="213"/>
      <c r="AZ84" s="213"/>
      <c r="BA84" s="213"/>
      <c r="BB84" s="213"/>
      <c r="BC84" s="213"/>
      <c r="BD84" s="213"/>
      <c r="BE84" s="213"/>
      <c r="BF84" s="213"/>
      <c r="BG84" s="213"/>
      <c r="BH84" s="213"/>
      <c r="BI84" s="213"/>
      <c r="BJ84" s="213"/>
      <c r="BK84" s="213"/>
      <c r="BL84" s="213"/>
      <c r="BM84" s="213"/>
      <c r="BN84" s="213"/>
      <c r="BO84" s="213"/>
      <c r="BP84" s="213"/>
      <c r="BQ84" s="213"/>
      <c r="BR84" s="213"/>
      <c r="BS84" s="213"/>
      <c r="BT84" s="213"/>
      <c r="BU84" s="213"/>
      <c r="BV84" s="213"/>
      <c r="BW84" s="213"/>
      <c r="BX84" s="213"/>
    </row>
    <row r="85" spans="1:76" s="126" customFormat="1" ht="11.25" customHeight="1" x14ac:dyDescent="0.2">
      <c r="A85" s="5"/>
      <c r="B85" s="5"/>
      <c r="C85" s="5"/>
      <c r="D85" s="5"/>
      <c r="E85" s="5"/>
      <c r="F85" s="5"/>
      <c r="G85" s="5"/>
      <c r="H85" s="5"/>
      <c r="I85" s="5"/>
      <c r="J85" s="5"/>
      <c r="K85" s="5"/>
      <c r="L85" s="213"/>
      <c r="M85" s="213"/>
      <c r="N85" s="213"/>
      <c r="O85" s="213"/>
      <c r="P85" s="213"/>
      <c r="Q85" s="5"/>
      <c r="R85" s="5"/>
      <c r="S85" s="5"/>
      <c r="T85" s="5"/>
      <c r="U85" s="5"/>
      <c r="V85" s="5"/>
      <c r="W85" s="5"/>
      <c r="X85" s="5"/>
      <c r="Y85" s="213"/>
      <c r="Z85" s="213"/>
      <c r="AA85" s="213"/>
      <c r="AB85" s="213"/>
      <c r="AC85" s="213"/>
      <c r="AD85" s="213"/>
      <c r="AE85" s="213"/>
      <c r="AF85" s="213"/>
      <c r="AG85" s="213"/>
      <c r="AH85" s="213"/>
      <c r="AI85" s="213"/>
      <c r="AJ85" s="213"/>
      <c r="AK85" s="213"/>
      <c r="AL85" s="213"/>
      <c r="AM85" s="213"/>
      <c r="AN85" s="213"/>
      <c r="AO85" s="213"/>
      <c r="AP85" s="213"/>
      <c r="AQ85" s="213"/>
      <c r="AR85" s="213"/>
      <c r="AS85" s="213"/>
      <c r="AT85" s="213"/>
      <c r="AU85" s="213"/>
      <c r="AV85" s="213"/>
      <c r="AW85" s="213"/>
      <c r="AX85" s="213"/>
      <c r="AY85" s="213"/>
      <c r="AZ85" s="213"/>
      <c r="BA85" s="213"/>
      <c r="BB85" s="213"/>
      <c r="BC85" s="213"/>
      <c r="BD85" s="213"/>
      <c r="BE85" s="213"/>
      <c r="BF85" s="213"/>
      <c r="BG85" s="213"/>
      <c r="BH85" s="213"/>
      <c r="BI85" s="213"/>
      <c r="BJ85" s="213"/>
      <c r="BK85" s="213"/>
      <c r="BL85" s="213"/>
      <c r="BM85" s="213"/>
      <c r="BN85" s="213"/>
      <c r="BO85" s="213"/>
      <c r="BP85" s="213"/>
      <c r="BQ85" s="213"/>
      <c r="BR85" s="213"/>
      <c r="BS85" s="213"/>
      <c r="BT85" s="213"/>
      <c r="BU85" s="213"/>
      <c r="BV85" s="213"/>
      <c r="BW85" s="213"/>
      <c r="BX85" s="213"/>
    </row>
    <row r="86" spans="1:76" s="126" customFormat="1" ht="11.25" customHeight="1" x14ac:dyDescent="0.2">
      <c r="A86" s="5"/>
      <c r="B86" s="5"/>
      <c r="C86" s="5"/>
      <c r="D86" s="5"/>
      <c r="E86" s="5"/>
      <c r="F86" s="5"/>
      <c r="G86" s="5"/>
      <c r="H86" s="5"/>
      <c r="I86" s="5"/>
      <c r="J86" s="5"/>
      <c r="K86" s="5"/>
      <c r="L86" s="213"/>
      <c r="M86" s="213"/>
      <c r="N86" s="213"/>
      <c r="O86" s="213"/>
      <c r="P86" s="213"/>
      <c r="Q86" s="5"/>
      <c r="R86" s="5"/>
      <c r="S86" s="5"/>
      <c r="T86" s="5"/>
      <c r="U86" s="5"/>
      <c r="V86" s="5"/>
      <c r="W86" s="5"/>
      <c r="X86" s="5"/>
      <c r="Y86" s="213"/>
      <c r="Z86" s="213"/>
      <c r="AA86" s="213"/>
      <c r="AB86" s="213"/>
      <c r="AC86" s="213"/>
      <c r="AD86" s="213"/>
      <c r="AE86" s="213"/>
      <c r="AF86" s="213"/>
      <c r="AG86" s="213"/>
      <c r="AH86" s="213"/>
      <c r="AI86" s="213"/>
      <c r="AJ86" s="213"/>
      <c r="AK86" s="213"/>
      <c r="AL86" s="213"/>
      <c r="AM86" s="213"/>
      <c r="AN86" s="213"/>
      <c r="AO86" s="213"/>
      <c r="AP86" s="213"/>
      <c r="AQ86" s="213"/>
      <c r="AR86" s="213"/>
      <c r="AS86" s="213"/>
      <c r="AT86" s="213"/>
      <c r="AU86" s="213"/>
      <c r="AV86" s="213"/>
      <c r="AW86" s="213"/>
      <c r="AX86" s="213"/>
      <c r="AY86" s="213"/>
      <c r="AZ86" s="213"/>
      <c r="BA86" s="213"/>
      <c r="BB86" s="213"/>
      <c r="BC86" s="213"/>
      <c r="BD86" s="213"/>
      <c r="BE86" s="213"/>
      <c r="BF86" s="213"/>
      <c r="BG86" s="213"/>
      <c r="BH86" s="213"/>
      <c r="BI86" s="213"/>
      <c r="BJ86" s="213"/>
      <c r="BK86" s="213"/>
      <c r="BL86" s="213"/>
      <c r="BM86" s="213"/>
      <c r="BN86" s="213"/>
      <c r="BO86" s="213"/>
      <c r="BP86" s="213"/>
      <c r="BQ86" s="213"/>
      <c r="BR86" s="213"/>
      <c r="BS86" s="213"/>
      <c r="BT86" s="213"/>
      <c r="BU86" s="213"/>
      <c r="BV86" s="213"/>
      <c r="BW86" s="213"/>
      <c r="BX86" s="213"/>
    </row>
    <row r="87" spans="1:76" s="126" customFormat="1" ht="11.25" customHeight="1" x14ac:dyDescent="0.2">
      <c r="A87" s="5"/>
      <c r="B87" s="5"/>
      <c r="C87" s="5"/>
      <c r="D87" s="5"/>
      <c r="E87" s="5"/>
      <c r="F87" s="5"/>
      <c r="G87" s="5"/>
      <c r="H87" s="5"/>
      <c r="I87" s="5"/>
      <c r="J87" s="5"/>
      <c r="K87" s="5"/>
      <c r="L87" s="213"/>
      <c r="M87" s="213"/>
      <c r="N87" s="213"/>
      <c r="O87" s="213"/>
      <c r="P87" s="213"/>
      <c r="Q87" s="5"/>
      <c r="R87" s="5"/>
      <c r="S87" s="5"/>
      <c r="T87" s="5"/>
      <c r="U87" s="5"/>
      <c r="V87" s="5"/>
      <c r="W87" s="5"/>
      <c r="X87" s="5"/>
      <c r="Y87" s="213"/>
      <c r="Z87" s="213"/>
      <c r="AA87" s="213"/>
      <c r="AB87" s="213"/>
      <c r="AC87" s="213"/>
      <c r="AD87" s="213"/>
      <c r="AE87" s="213"/>
      <c r="AF87" s="213"/>
      <c r="AG87" s="213"/>
      <c r="AH87" s="213"/>
      <c r="AI87" s="213"/>
      <c r="AJ87" s="213"/>
      <c r="AK87" s="213"/>
      <c r="AL87" s="213"/>
      <c r="AM87" s="213"/>
      <c r="AN87" s="213"/>
      <c r="AO87" s="213"/>
      <c r="AP87" s="213"/>
      <c r="AQ87" s="213"/>
      <c r="AR87" s="213"/>
      <c r="AS87" s="213"/>
      <c r="AT87" s="213"/>
      <c r="AU87" s="213"/>
      <c r="AV87" s="213"/>
      <c r="AW87" s="213"/>
      <c r="AX87" s="213"/>
      <c r="AY87" s="213"/>
      <c r="AZ87" s="213"/>
      <c r="BA87" s="213"/>
      <c r="BB87" s="213"/>
      <c r="BC87" s="213"/>
      <c r="BD87" s="213"/>
      <c r="BE87" s="213"/>
      <c r="BF87" s="213"/>
      <c r="BG87" s="213"/>
      <c r="BH87" s="213"/>
      <c r="BI87" s="213"/>
      <c r="BJ87" s="213"/>
      <c r="BK87" s="213"/>
      <c r="BL87" s="213"/>
      <c r="BM87" s="213"/>
      <c r="BN87" s="213"/>
      <c r="BO87" s="213"/>
      <c r="BP87" s="213"/>
      <c r="BQ87" s="213"/>
      <c r="BR87" s="213"/>
      <c r="BS87" s="213"/>
      <c r="BT87" s="213"/>
      <c r="BU87" s="213"/>
      <c r="BV87" s="213"/>
      <c r="BW87" s="213"/>
      <c r="BX87" s="213"/>
    </row>
    <row r="88" spans="1:76" s="126" customFormat="1" ht="11.25" customHeight="1" x14ac:dyDescent="0.2">
      <c r="A88" s="5"/>
      <c r="B88" s="5"/>
      <c r="C88" s="5"/>
      <c r="D88" s="5"/>
      <c r="E88" s="5"/>
      <c r="F88" s="5"/>
      <c r="G88" s="5"/>
      <c r="H88" s="5"/>
      <c r="I88" s="5"/>
      <c r="J88" s="5"/>
      <c r="K88" s="5"/>
      <c r="L88" s="213"/>
      <c r="M88" s="213"/>
      <c r="N88" s="213"/>
      <c r="O88" s="213"/>
      <c r="P88" s="213"/>
      <c r="Q88" s="5"/>
      <c r="R88" s="5"/>
      <c r="S88" s="5"/>
      <c r="T88" s="5"/>
      <c r="U88" s="5"/>
      <c r="V88" s="5"/>
      <c r="W88" s="5"/>
      <c r="X88" s="5"/>
      <c r="Y88" s="213"/>
      <c r="Z88" s="213"/>
      <c r="AA88" s="213"/>
      <c r="AB88" s="213"/>
      <c r="AC88" s="213"/>
      <c r="AD88" s="213"/>
      <c r="AE88" s="213"/>
      <c r="AF88" s="213"/>
      <c r="AG88" s="213"/>
      <c r="AH88" s="213"/>
      <c r="AI88" s="213"/>
      <c r="AJ88" s="213"/>
      <c r="AK88" s="213"/>
      <c r="AL88" s="213"/>
      <c r="AM88" s="213"/>
      <c r="AN88" s="213"/>
      <c r="AO88" s="213"/>
      <c r="AP88" s="213"/>
      <c r="AQ88" s="213"/>
      <c r="AR88" s="213"/>
      <c r="AS88" s="213"/>
      <c r="AT88" s="213"/>
      <c r="AU88" s="213"/>
      <c r="AV88" s="213"/>
      <c r="AW88" s="213"/>
      <c r="AX88" s="213"/>
      <c r="AY88" s="213"/>
      <c r="AZ88" s="213"/>
      <c r="BA88" s="213"/>
      <c r="BB88" s="213"/>
      <c r="BC88" s="213"/>
      <c r="BD88" s="213"/>
      <c r="BE88" s="213"/>
      <c r="BF88" s="213"/>
      <c r="BG88" s="213"/>
      <c r="BH88" s="213"/>
      <c r="BI88" s="213"/>
      <c r="BJ88" s="213"/>
      <c r="BK88" s="213"/>
      <c r="BL88" s="213"/>
      <c r="BM88" s="213"/>
      <c r="BN88" s="213"/>
      <c r="BO88" s="213"/>
      <c r="BP88" s="213"/>
      <c r="BQ88" s="213"/>
      <c r="BR88" s="213"/>
      <c r="BS88" s="213"/>
      <c r="BT88" s="213"/>
      <c r="BU88" s="213"/>
      <c r="BV88" s="213"/>
      <c r="BW88" s="213"/>
      <c r="BX88" s="213"/>
    </row>
    <row r="89" spans="1:76" s="126" customFormat="1" ht="11.25" customHeight="1" x14ac:dyDescent="0.2">
      <c r="A89" s="5"/>
      <c r="B89" s="5"/>
      <c r="C89" s="5"/>
      <c r="D89" s="5"/>
      <c r="E89" s="5"/>
      <c r="F89" s="5"/>
      <c r="G89" s="5"/>
      <c r="H89" s="5"/>
      <c r="I89" s="5"/>
      <c r="J89" s="5"/>
      <c r="K89" s="5"/>
      <c r="L89" s="213"/>
      <c r="M89" s="213"/>
      <c r="N89" s="213"/>
      <c r="O89" s="213"/>
      <c r="P89" s="213"/>
      <c r="Q89" s="5"/>
      <c r="R89" s="5"/>
      <c r="S89" s="5"/>
      <c r="T89" s="5"/>
      <c r="U89" s="5"/>
      <c r="V89" s="5"/>
      <c r="W89" s="5"/>
      <c r="X89" s="5"/>
      <c r="Y89" s="213"/>
      <c r="Z89" s="213"/>
      <c r="AA89" s="213"/>
      <c r="AB89" s="213"/>
      <c r="AC89" s="213"/>
      <c r="AD89" s="213"/>
      <c r="AE89" s="213"/>
      <c r="AF89" s="213"/>
      <c r="AG89" s="213"/>
      <c r="AH89" s="213"/>
      <c r="AI89" s="213"/>
      <c r="AJ89" s="213"/>
      <c r="AK89" s="213"/>
      <c r="AL89" s="213"/>
      <c r="AM89" s="213"/>
      <c r="AN89" s="213"/>
      <c r="AO89" s="213"/>
      <c r="AP89" s="213"/>
      <c r="AQ89" s="213"/>
      <c r="AR89" s="213"/>
      <c r="AS89" s="213"/>
      <c r="AT89" s="213"/>
      <c r="AU89" s="213"/>
      <c r="AV89" s="213"/>
      <c r="AW89" s="213"/>
      <c r="AX89" s="213"/>
      <c r="AY89" s="213"/>
      <c r="AZ89" s="213"/>
      <c r="BA89" s="213"/>
      <c r="BB89" s="213"/>
      <c r="BC89" s="213"/>
      <c r="BD89" s="213"/>
      <c r="BE89" s="213"/>
      <c r="BF89" s="213"/>
      <c r="BG89" s="213"/>
      <c r="BH89" s="213"/>
      <c r="BI89" s="213"/>
      <c r="BJ89" s="213"/>
      <c r="BK89" s="213"/>
      <c r="BL89" s="213"/>
      <c r="BM89" s="213"/>
      <c r="BN89" s="213"/>
      <c r="BO89" s="213"/>
      <c r="BP89" s="213"/>
      <c r="BQ89" s="213"/>
      <c r="BR89" s="213"/>
      <c r="BS89" s="213"/>
      <c r="BT89" s="213"/>
      <c r="BU89" s="213"/>
      <c r="BV89" s="213"/>
      <c r="BW89" s="213"/>
      <c r="BX89" s="213"/>
    </row>
    <row r="90" spans="1:76" s="126" customFormat="1" ht="11.25" customHeight="1" x14ac:dyDescent="0.2">
      <c r="A90" s="5"/>
      <c r="B90" s="5"/>
      <c r="C90" s="5"/>
      <c r="D90" s="5"/>
      <c r="E90" s="5"/>
      <c r="F90" s="5"/>
      <c r="G90" s="5"/>
      <c r="H90" s="5"/>
      <c r="I90" s="5"/>
      <c r="J90" s="5"/>
      <c r="K90" s="5"/>
      <c r="L90" s="213"/>
      <c r="M90" s="213"/>
      <c r="N90" s="213"/>
      <c r="O90" s="213"/>
      <c r="P90" s="213"/>
      <c r="Q90" s="5"/>
      <c r="R90" s="5"/>
      <c r="S90" s="5"/>
      <c r="T90" s="5"/>
      <c r="U90" s="5"/>
      <c r="V90" s="5"/>
      <c r="W90" s="5"/>
      <c r="X90" s="5"/>
      <c r="Y90" s="213"/>
      <c r="Z90" s="213"/>
      <c r="AA90" s="213"/>
      <c r="AB90" s="213"/>
      <c r="AC90" s="213"/>
      <c r="AD90" s="213"/>
      <c r="AE90" s="213"/>
      <c r="AF90" s="213"/>
      <c r="AG90" s="213"/>
      <c r="AH90" s="213"/>
      <c r="AI90" s="213"/>
      <c r="AJ90" s="213"/>
      <c r="AK90" s="213"/>
      <c r="AL90" s="213"/>
      <c r="AM90" s="213"/>
      <c r="AN90" s="213"/>
      <c r="AO90" s="213"/>
      <c r="AP90" s="213"/>
      <c r="AQ90" s="213"/>
      <c r="AR90" s="213"/>
      <c r="AS90" s="213"/>
      <c r="AT90" s="213"/>
      <c r="AU90" s="213"/>
      <c r="AV90" s="213"/>
      <c r="AW90" s="213"/>
      <c r="AX90" s="213"/>
      <c r="AY90" s="213"/>
      <c r="AZ90" s="213"/>
      <c r="BA90" s="213"/>
      <c r="BB90" s="213"/>
      <c r="BC90" s="213"/>
      <c r="BD90" s="213"/>
      <c r="BE90" s="213"/>
      <c r="BF90" s="213"/>
      <c r="BG90" s="213"/>
      <c r="BH90" s="213"/>
      <c r="BI90" s="213"/>
      <c r="BJ90" s="213"/>
      <c r="BK90" s="213"/>
      <c r="BL90" s="213"/>
      <c r="BM90" s="213"/>
      <c r="BN90" s="213"/>
      <c r="BO90" s="213"/>
      <c r="BP90" s="213"/>
      <c r="BQ90" s="213"/>
      <c r="BR90" s="213"/>
      <c r="BS90" s="213"/>
      <c r="BT90" s="213"/>
      <c r="BU90" s="213"/>
      <c r="BV90" s="213"/>
      <c r="BW90" s="213"/>
      <c r="BX90" s="213"/>
    </row>
    <row r="91" spans="1:76" s="126" customFormat="1" ht="11.25" customHeight="1" x14ac:dyDescent="0.2">
      <c r="A91" s="5"/>
      <c r="B91" s="5"/>
      <c r="C91" s="5"/>
      <c r="D91" s="5"/>
      <c r="E91" s="5"/>
      <c r="F91" s="5"/>
      <c r="G91" s="5"/>
      <c r="H91" s="5"/>
      <c r="I91" s="5"/>
      <c r="J91" s="5"/>
      <c r="K91" s="5"/>
      <c r="L91" s="213"/>
      <c r="M91" s="213"/>
      <c r="N91" s="213"/>
      <c r="O91" s="213"/>
      <c r="P91" s="213"/>
      <c r="Q91" s="5"/>
      <c r="R91" s="5"/>
      <c r="S91" s="5"/>
      <c r="T91" s="5"/>
      <c r="U91" s="5"/>
      <c r="V91" s="5"/>
      <c r="W91" s="5"/>
      <c r="X91" s="5"/>
      <c r="Y91" s="213"/>
      <c r="Z91" s="213"/>
      <c r="AA91" s="213"/>
      <c r="AB91" s="213"/>
      <c r="AC91" s="213"/>
      <c r="AD91" s="213"/>
      <c r="AE91" s="213"/>
      <c r="AF91" s="213"/>
      <c r="AG91" s="213"/>
      <c r="AH91" s="213"/>
      <c r="AI91" s="213"/>
      <c r="AJ91" s="213"/>
      <c r="AK91" s="213"/>
      <c r="AL91" s="213"/>
      <c r="AM91" s="213"/>
      <c r="AN91" s="213"/>
      <c r="AO91" s="213"/>
      <c r="AP91" s="213"/>
      <c r="AQ91" s="213"/>
      <c r="AR91" s="213"/>
      <c r="AS91" s="213"/>
      <c r="AT91" s="213"/>
      <c r="AU91" s="213"/>
      <c r="AV91" s="213"/>
      <c r="AW91" s="213"/>
      <c r="AX91" s="213"/>
      <c r="AY91" s="213"/>
      <c r="AZ91" s="213"/>
      <c r="BA91" s="213"/>
      <c r="BB91" s="213"/>
      <c r="BC91" s="213"/>
      <c r="BD91" s="213"/>
      <c r="BE91" s="213"/>
      <c r="BF91" s="213"/>
      <c r="BG91" s="213"/>
      <c r="BH91" s="213"/>
      <c r="BI91" s="213"/>
      <c r="BJ91" s="213"/>
      <c r="BK91" s="213"/>
      <c r="BL91" s="213"/>
      <c r="BM91" s="213"/>
      <c r="BN91" s="213"/>
      <c r="BO91" s="213"/>
      <c r="BP91" s="213"/>
      <c r="BQ91" s="213"/>
      <c r="BR91" s="213"/>
      <c r="BS91" s="213"/>
      <c r="BT91" s="213"/>
      <c r="BU91" s="213"/>
      <c r="BV91" s="213"/>
      <c r="BW91" s="213"/>
      <c r="BX91" s="213"/>
    </row>
    <row r="92" spans="1:76" s="126" customFormat="1" ht="11.25" customHeight="1" x14ac:dyDescent="0.2">
      <c r="A92" s="5"/>
      <c r="B92" s="5"/>
      <c r="C92" s="5"/>
      <c r="D92" s="5"/>
      <c r="E92" s="5"/>
      <c r="F92" s="5"/>
      <c r="G92" s="5"/>
      <c r="H92" s="5"/>
      <c r="I92" s="5"/>
      <c r="J92" s="5"/>
      <c r="K92" s="5"/>
      <c r="L92" s="213"/>
      <c r="M92" s="213"/>
      <c r="N92" s="213"/>
      <c r="O92" s="213"/>
      <c r="P92" s="213"/>
      <c r="Q92" s="5"/>
      <c r="R92" s="5"/>
      <c r="S92" s="5"/>
      <c r="T92" s="5"/>
      <c r="U92" s="5"/>
      <c r="V92" s="5"/>
      <c r="W92" s="5"/>
      <c r="X92" s="5"/>
      <c r="Y92" s="213"/>
      <c r="Z92" s="213"/>
      <c r="AA92" s="213"/>
      <c r="AB92" s="213"/>
      <c r="AC92" s="213"/>
      <c r="AD92" s="213"/>
      <c r="AE92" s="213"/>
      <c r="AF92" s="213"/>
      <c r="AG92" s="213"/>
      <c r="AH92" s="213"/>
      <c r="AI92" s="213"/>
      <c r="AJ92" s="213"/>
      <c r="AK92" s="213"/>
      <c r="AL92" s="213"/>
      <c r="AM92" s="213"/>
      <c r="AN92" s="213"/>
      <c r="AO92" s="213"/>
      <c r="AP92" s="213"/>
      <c r="AQ92" s="213"/>
      <c r="AR92" s="213"/>
      <c r="AS92" s="213"/>
      <c r="AT92" s="213"/>
      <c r="AU92" s="213"/>
      <c r="AV92" s="213"/>
      <c r="AW92" s="213"/>
      <c r="AX92" s="213"/>
      <c r="AY92" s="213"/>
      <c r="AZ92" s="213"/>
      <c r="BA92" s="213"/>
      <c r="BB92" s="213"/>
      <c r="BC92" s="213"/>
      <c r="BD92" s="213"/>
      <c r="BE92" s="213"/>
      <c r="BF92" s="213"/>
      <c r="BG92" s="213"/>
      <c r="BH92" s="213"/>
      <c r="BI92" s="213"/>
      <c r="BJ92" s="213"/>
      <c r="BK92" s="213"/>
      <c r="BL92" s="213"/>
      <c r="BM92" s="213"/>
      <c r="BN92" s="213"/>
      <c r="BO92" s="213"/>
      <c r="BP92" s="213"/>
      <c r="BQ92" s="213"/>
      <c r="BR92" s="213"/>
      <c r="BS92" s="213"/>
      <c r="BT92" s="213"/>
      <c r="BU92" s="213"/>
      <c r="BV92" s="213"/>
      <c r="BW92" s="213"/>
      <c r="BX92" s="213"/>
    </row>
    <row r="93" spans="1:76" s="126" customFormat="1" ht="11.25" customHeight="1" x14ac:dyDescent="0.2">
      <c r="A93" s="5"/>
      <c r="B93" s="5"/>
      <c r="C93" s="5"/>
      <c r="D93" s="5"/>
      <c r="E93" s="5"/>
      <c r="F93" s="5"/>
      <c r="G93" s="5"/>
      <c r="H93" s="5"/>
      <c r="I93" s="5"/>
      <c r="J93" s="5"/>
      <c r="K93" s="5"/>
      <c r="L93" s="213"/>
      <c r="M93" s="213"/>
      <c r="N93" s="213"/>
      <c r="O93" s="213"/>
      <c r="P93" s="213"/>
      <c r="Q93" s="5"/>
      <c r="R93" s="5"/>
      <c r="S93" s="5"/>
      <c r="T93" s="5"/>
      <c r="U93" s="5"/>
      <c r="V93" s="5"/>
      <c r="W93" s="5"/>
      <c r="X93" s="5"/>
      <c r="Y93" s="213"/>
      <c r="Z93" s="213"/>
      <c r="AA93" s="213"/>
      <c r="AB93" s="213"/>
      <c r="AC93" s="213"/>
      <c r="AD93" s="213"/>
      <c r="AE93" s="213"/>
      <c r="AF93" s="213"/>
      <c r="AG93" s="213"/>
      <c r="AH93" s="213"/>
      <c r="AI93" s="213"/>
      <c r="AJ93" s="213"/>
      <c r="AK93" s="213"/>
      <c r="AL93" s="213"/>
      <c r="AM93" s="213"/>
      <c r="AN93" s="213"/>
      <c r="AO93" s="213"/>
      <c r="AP93" s="213"/>
      <c r="AQ93" s="213"/>
      <c r="AR93" s="213"/>
      <c r="AS93" s="213"/>
      <c r="AT93" s="213"/>
      <c r="AU93" s="213"/>
      <c r="AV93" s="213"/>
      <c r="AW93" s="213"/>
      <c r="AX93" s="213"/>
      <c r="AY93" s="213"/>
      <c r="AZ93" s="213"/>
      <c r="BA93" s="213"/>
      <c r="BB93" s="213"/>
      <c r="BC93" s="213"/>
      <c r="BD93" s="213"/>
      <c r="BE93" s="213"/>
      <c r="BF93" s="213"/>
      <c r="BG93" s="213"/>
      <c r="BH93" s="213"/>
      <c r="BI93" s="213"/>
      <c r="BJ93" s="213"/>
      <c r="BK93" s="213"/>
      <c r="BL93" s="213"/>
      <c r="BM93" s="213"/>
      <c r="BN93" s="213"/>
      <c r="BO93" s="213"/>
      <c r="BP93" s="213"/>
      <c r="BQ93" s="213"/>
      <c r="BR93" s="213"/>
      <c r="BS93" s="213"/>
      <c r="BT93" s="213"/>
      <c r="BU93" s="213"/>
      <c r="BV93" s="213"/>
      <c r="BW93" s="213"/>
      <c r="BX93" s="213"/>
    </row>
    <row r="94" spans="1:76" s="126" customFormat="1" ht="11.25" customHeight="1" x14ac:dyDescent="0.2">
      <c r="A94" s="5"/>
      <c r="B94" s="5"/>
      <c r="C94" s="5"/>
      <c r="D94" s="5"/>
      <c r="E94" s="5"/>
      <c r="F94" s="5"/>
      <c r="G94" s="5"/>
      <c r="H94" s="5"/>
      <c r="I94" s="5"/>
      <c r="J94" s="5"/>
      <c r="K94" s="5"/>
      <c r="L94" s="213"/>
      <c r="M94" s="213"/>
      <c r="N94" s="213"/>
      <c r="O94" s="213"/>
      <c r="P94" s="213"/>
      <c r="Q94" s="5"/>
      <c r="R94" s="5"/>
      <c r="S94" s="5"/>
      <c r="T94" s="5"/>
      <c r="U94" s="5"/>
      <c r="V94" s="5"/>
      <c r="W94" s="5"/>
      <c r="X94" s="5"/>
      <c r="Y94" s="213"/>
      <c r="Z94" s="213"/>
      <c r="AA94" s="213"/>
      <c r="AB94" s="213"/>
      <c r="AC94" s="213"/>
      <c r="AD94" s="213"/>
      <c r="AE94" s="213"/>
      <c r="AF94" s="213"/>
      <c r="AG94" s="213"/>
      <c r="AH94" s="213"/>
      <c r="AI94" s="213"/>
      <c r="AJ94" s="213"/>
      <c r="AK94" s="213"/>
      <c r="AL94" s="213"/>
      <c r="AM94" s="213"/>
      <c r="AN94" s="213"/>
      <c r="AO94" s="213"/>
      <c r="AP94" s="213"/>
      <c r="AQ94" s="213"/>
      <c r="AR94" s="213"/>
      <c r="AS94" s="213"/>
      <c r="AT94" s="213"/>
      <c r="AU94" s="213"/>
      <c r="AV94" s="213"/>
      <c r="AW94" s="213"/>
      <c r="AX94" s="213"/>
      <c r="AY94" s="213"/>
      <c r="AZ94" s="213"/>
      <c r="BA94" s="213"/>
      <c r="BB94" s="213"/>
      <c r="BC94" s="213"/>
      <c r="BD94" s="213"/>
      <c r="BE94" s="213"/>
      <c r="BF94" s="213"/>
      <c r="BG94" s="213"/>
      <c r="BH94" s="213"/>
      <c r="BI94" s="213"/>
      <c r="BJ94" s="213"/>
      <c r="BK94" s="213"/>
      <c r="BL94" s="213"/>
      <c r="BM94" s="213"/>
      <c r="BN94" s="213"/>
      <c r="BO94" s="213"/>
      <c r="BP94" s="213"/>
      <c r="BQ94" s="213"/>
      <c r="BR94" s="213"/>
      <c r="BS94" s="213"/>
      <c r="BT94" s="213"/>
      <c r="BU94" s="213"/>
      <c r="BV94" s="213"/>
      <c r="BW94" s="213"/>
      <c r="BX94" s="213"/>
    </row>
    <row r="95" spans="1:76" s="126" customFormat="1" ht="11.25" customHeight="1" x14ac:dyDescent="0.2">
      <c r="A95" s="5"/>
      <c r="B95" s="5"/>
      <c r="C95" s="5"/>
      <c r="D95" s="5"/>
      <c r="E95" s="5"/>
      <c r="F95" s="5"/>
      <c r="G95" s="5"/>
      <c r="H95" s="5"/>
      <c r="I95" s="5"/>
      <c r="J95" s="5"/>
      <c r="K95" s="5"/>
      <c r="L95" s="213"/>
      <c r="M95" s="213"/>
      <c r="N95" s="213"/>
      <c r="O95" s="213"/>
      <c r="P95" s="213"/>
      <c r="Q95" s="5"/>
      <c r="R95" s="5"/>
      <c r="S95" s="5"/>
      <c r="T95" s="5"/>
      <c r="U95" s="5"/>
      <c r="V95" s="5"/>
      <c r="W95" s="5"/>
      <c r="X95" s="5"/>
      <c r="Y95" s="213"/>
      <c r="Z95" s="213"/>
      <c r="AA95" s="213"/>
      <c r="AB95" s="213"/>
      <c r="AC95" s="213"/>
      <c r="AD95" s="213"/>
      <c r="AE95" s="213"/>
      <c r="AF95" s="213"/>
      <c r="AG95" s="213"/>
      <c r="AH95" s="213"/>
      <c r="AI95" s="213"/>
      <c r="AJ95" s="213"/>
      <c r="AK95" s="213"/>
      <c r="AL95" s="213"/>
      <c r="AM95" s="213"/>
      <c r="AN95" s="213"/>
      <c r="AO95" s="213"/>
      <c r="AP95" s="213"/>
      <c r="AQ95" s="213"/>
      <c r="AR95" s="213"/>
      <c r="AS95" s="213"/>
      <c r="AT95" s="213"/>
      <c r="AU95" s="213"/>
      <c r="AV95" s="213"/>
      <c r="AW95" s="213"/>
      <c r="AX95" s="213"/>
      <c r="AY95" s="213"/>
      <c r="AZ95" s="213"/>
      <c r="BA95" s="213"/>
      <c r="BB95" s="213"/>
      <c r="BC95" s="213"/>
      <c r="BD95" s="213"/>
      <c r="BE95" s="213"/>
      <c r="BF95" s="213"/>
      <c r="BG95" s="213"/>
      <c r="BH95" s="213"/>
      <c r="BI95" s="213"/>
      <c r="BJ95" s="213"/>
      <c r="BK95" s="213"/>
      <c r="BL95" s="213"/>
      <c r="BM95" s="213"/>
      <c r="BN95" s="213"/>
      <c r="BO95" s="213"/>
      <c r="BP95" s="213"/>
      <c r="BQ95" s="213"/>
      <c r="BR95" s="213"/>
      <c r="BS95" s="213"/>
      <c r="BT95" s="213"/>
      <c r="BU95" s="213"/>
      <c r="BV95" s="213"/>
      <c r="BW95" s="213"/>
      <c r="BX95" s="213"/>
    </row>
    <row r="96" spans="1:76" s="126" customFormat="1" ht="11.25" customHeight="1" x14ac:dyDescent="0.2">
      <c r="A96" s="5"/>
      <c r="B96" s="5"/>
      <c r="C96" s="5"/>
      <c r="D96" s="5"/>
      <c r="E96" s="5"/>
      <c r="F96" s="5"/>
      <c r="G96" s="5"/>
      <c r="H96" s="5"/>
      <c r="I96" s="5"/>
      <c r="J96" s="5"/>
      <c r="K96" s="5"/>
      <c r="L96" s="213"/>
      <c r="M96" s="213"/>
      <c r="N96" s="213"/>
      <c r="O96" s="213"/>
      <c r="P96" s="213"/>
      <c r="Q96" s="5"/>
      <c r="R96" s="5"/>
      <c r="S96" s="5"/>
      <c r="T96" s="5"/>
      <c r="U96" s="5"/>
      <c r="V96" s="5"/>
      <c r="W96" s="5"/>
      <c r="X96" s="5"/>
      <c r="Y96" s="213"/>
      <c r="Z96" s="213"/>
      <c r="AA96" s="213"/>
      <c r="AB96" s="213"/>
      <c r="AC96" s="213"/>
      <c r="AD96" s="213"/>
      <c r="AE96" s="213"/>
      <c r="AF96" s="213"/>
      <c r="AG96" s="213"/>
      <c r="AH96" s="213"/>
      <c r="AI96" s="213"/>
      <c r="AJ96" s="213"/>
      <c r="AK96" s="213"/>
      <c r="AL96" s="213"/>
      <c r="AM96" s="213"/>
      <c r="AN96" s="213"/>
      <c r="AO96" s="213"/>
      <c r="AP96" s="213"/>
      <c r="AQ96" s="213"/>
      <c r="AR96" s="213"/>
      <c r="AS96" s="213"/>
      <c r="AT96" s="213"/>
      <c r="AU96" s="213"/>
      <c r="AV96" s="213"/>
      <c r="AW96" s="213"/>
      <c r="AX96" s="213"/>
      <c r="AY96" s="213"/>
      <c r="AZ96" s="213"/>
      <c r="BA96" s="213"/>
      <c r="BB96" s="213"/>
      <c r="BC96" s="213"/>
      <c r="BD96" s="213"/>
      <c r="BE96" s="213"/>
      <c r="BF96" s="213"/>
      <c r="BG96" s="213"/>
      <c r="BH96" s="213"/>
      <c r="BI96" s="213"/>
      <c r="BJ96" s="213"/>
      <c r="BK96" s="213"/>
      <c r="BL96" s="213"/>
      <c r="BM96" s="213"/>
      <c r="BN96" s="213"/>
      <c r="BO96" s="213"/>
      <c r="BP96" s="213"/>
      <c r="BQ96" s="213"/>
      <c r="BR96" s="213"/>
      <c r="BS96" s="213"/>
      <c r="BT96" s="213"/>
      <c r="BU96" s="213"/>
      <c r="BV96" s="213"/>
      <c r="BW96" s="213"/>
      <c r="BX96" s="213"/>
    </row>
    <row r="97" spans="1:76" s="126" customFormat="1" ht="11.25" customHeight="1" x14ac:dyDescent="0.2">
      <c r="A97" s="5"/>
      <c r="B97" s="5"/>
      <c r="C97" s="5"/>
      <c r="D97" s="5"/>
      <c r="E97" s="5"/>
      <c r="F97" s="5"/>
      <c r="G97" s="5"/>
      <c r="H97" s="5"/>
      <c r="I97" s="5"/>
      <c r="J97" s="5"/>
      <c r="K97" s="5"/>
      <c r="L97" s="213"/>
      <c r="M97" s="213"/>
      <c r="N97" s="213"/>
      <c r="O97" s="213"/>
      <c r="P97" s="213"/>
      <c r="Q97" s="5"/>
      <c r="R97" s="5"/>
      <c r="S97" s="5"/>
      <c r="T97" s="5"/>
      <c r="U97" s="5"/>
      <c r="V97" s="5"/>
      <c r="W97" s="5"/>
      <c r="X97" s="5"/>
      <c r="Y97" s="213"/>
      <c r="Z97" s="213"/>
      <c r="AA97" s="213"/>
      <c r="AB97" s="213"/>
      <c r="AC97" s="213"/>
      <c r="AD97" s="213"/>
      <c r="AE97" s="213"/>
      <c r="AF97" s="213"/>
      <c r="AG97" s="213"/>
      <c r="AH97" s="213"/>
      <c r="AI97" s="213"/>
      <c r="AJ97" s="213"/>
      <c r="AK97" s="213"/>
      <c r="AL97" s="213"/>
      <c r="AM97" s="213"/>
      <c r="AN97" s="213"/>
      <c r="AO97" s="213"/>
      <c r="AP97" s="213"/>
      <c r="AQ97" s="213"/>
      <c r="AR97" s="213"/>
      <c r="AS97" s="213"/>
      <c r="AT97" s="213"/>
      <c r="AU97" s="213"/>
      <c r="AV97" s="213"/>
      <c r="AW97" s="213"/>
      <c r="AX97" s="213"/>
      <c r="AY97" s="213"/>
      <c r="AZ97" s="213"/>
      <c r="BA97" s="213"/>
      <c r="BB97" s="213"/>
      <c r="BC97" s="213"/>
      <c r="BD97" s="213"/>
      <c r="BE97" s="213"/>
      <c r="BF97" s="213"/>
      <c r="BG97" s="213"/>
      <c r="BH97" s="213"/>
      <c r="BI97" s="213"/>
      <c r="BJ97" s="213"/>
      <c r="BK97" s="213"/>
      <c r="BL97" s="213"/>
      <c r="BM97" s="213"/>
      <c r="BN97" s="213"/>
      <c r="BO97" s="213"/>
      <c r="BP97" s="213"/>
      <c r="BQ97" s="213"/>
      <c r="BR97" s="213"/>
      <c r="BS97" s="213"/>
      <c r="BT97" s="213"/>
      <c r="BU97" s="213"/>
      <c r="BV97" s="213"/>
      <c r="BW97" s="213"/>
      <c r="BX97" s="213"/>
    </row>
    <row r="98" spans="1:76" s="126" customFormat="1" ht="11.25" customHeight="1" x14ac:dyDescent="0.2">
      <c r="A98" s="5"/>
      <c r="B98" s="5"/>
      <c r="C98" s="5"/>
      <c r="D98" s="5"/>
      <c r="E98" s="5"/>
      <c r="F98" s="5"/>
      <c r="G98" s="5"/>
      <c r="H98" s="5"/>
      <c r="I98" s="5"/>
      <c r="J98" s="5"/>
      <c r="K98" s="5"/>
      <c r="L98" s="213"/>
      <c r="M98" s="213"/>
      <c r="N98" s="213"/>
      <c r="O98" s="213"/>
      <c r="P98" s="213"/>
      <c r="Q98" s="5"/>
      <c r="R98" s="5"/>
      <c r="S98" s="5"/>
      <c r="T98" s="5"/>
      <c r="U98" s="5"/>
      <c r="V98" s="5"/>
      <c r="W98" s="5"/>
      <c r="X98" s="5"/>
      <c r="Y98" s="213"/>
      <c r="Z98" s="213"/>
      <c r="AA98" s="213"/>
      <c r="AB98" s="213"/>
      <c r="AC98" s="213"/>
      <c r="AD98" s="213"/>
      <c r="AE98" s="213"/>
      <c r="AF98" s="213"/>
      <c r="AG98" s="213"/>
      <c r="AH98" s="213"/>
      <c r="AI98" s="213"/>
      <c r="AJ98" s="213"/>
      <c r="AK98" s="213"/>
      <c r="AL98" s="213"/>
      <c r="AM98" s="213"/>
      <c r="AN98" s="213"/>
      <c r="AO98" s="213"/>
      <c r="AP98" s="213"/>
      <c r="AQ98" s="213"/>
      <c r="AR98" s="213"/>
      <c r="AS98" s="213"/>
      <c r="AT98" s="213"/>
      <c r="AU98" s="213"/>
      <c r="AV98" s="213"/>
      <c r="AW98" s="213"/>
      <c r="AX98" s="213"/>
      <c r="AY98" s="213"/>
      <c r="AZ98" s="213"/>
      <c r="BA98" s="213"/>
      <c r="BB98" s="213"/>
      <c r="BC98" s="213"/>
      <c r="BD98" s="213"/>
      <c r="BE98" s="213"/>
      <c r="BF98" s="213"/>
      <c r="BG98" s="213"/>
      <c r="BH98" s="213"/>
      <c r="BI98" s="213"/>
      <c r="BJ98" s="213"/>
      <c r="BK98" s="213"/>
      <c r="BL98" s="213"/>
      <c r="BM98" s="213"/>
      <c r="BN98" s="213"/>
      <c r="BO98" s="213"/>
      <c r="BP98" s="213"/>
      <c r="BQ98" s="213"/>
      <c r="BR98" s="213"/>
      <c r="BS98" s="213"/>
      <c r="BT98" s="213"/>
      <c r="BU98" s="213"/>
      <c r="BV98" s="213"/>
      <c r="BW98" s="213"/>
      <c r="BX98" s="213"/>
    </row>
    <row r="99" spans="1:76" s="126" customFormat="1" ht="11.25" customHeight="1" x14ac:dyDescent="0.2">
      <c r="A99" s="5"/>
      <c r="B99" s="5"/>
      <c r="C99" s="5"/>
      <c r="D99" s="5"/>
      <c r="E99" s="5"/>
      <c r="F99" s="5"/>
      <c r="G99" s="5"/>
      <c r="H99" s="5"/>
      <c r="I99" s="5"/>
      <c r="J99" s="5"/>
      <c r="K99" s="5"/>
      <c r="L99" s="213"/>
      <c r="M99" s="213"/>
      <c r="N99" s="213"/>
      <c r="O99" s="213"/>
      <c r="P99" s="213"/>
      <c r="Q99" s="5"/>
      <c r="R99" s="5"/>
      <c r="S99" s="5"/>
      <c r="T99" s="5"/>
      <c r="U99" s="5"/>
      <c r="V99" s="5"/>
      <c r="W99" s="5"/>
      <c r="X99" s="5"/>
      <c r="Y99" s="213"/>
      <c r="Z99" s="213"/>
      <c r="AA99" s="213"/>
      <c r="AB99" s="213"/>
      <c r="AC99" s="213"/>
      <c r="AD99" s="213"/>
      <c r="AE99" s="213"/>
      <c r="AF99" s="213"/>
      <c r="AG99" s="213"/>
      <c r="AH99" s="213"/>
      <c r="AI99" s="213"/>
      <c r="AJ99" s="213"/>
      <c r="AK99" s="213"/>
      <c r="AL99" s="213"/>
      <c r="AM99" s="213"/>
      <c r="AN99" s="213"/>
      <c r="AO99" s="213"/>
      <c r="AP99" s="213"/>
      <c r="AQ99" s="213"/>
      <c r="AR99" s="213"/>
      <c r="AS99" s="213"/>
      <c r="AT99" s="213"/>
      <c r="AU99" s="213"/>
      <c r="AV99" s="213"/>
      <c r="AW99" s="213"/>
      <c r="AX99" s="213"/>
      <c r="AY99" s="213"/>
      <c r="AZ99" s="213"/>
      <c r="BA99" s="213"/>
      <c r="BB99" s="213"/>
      <c r="BC99" s="213"/>
      <c r="BD99" s="213"/>
      <c r="BE99" s="213"/>
      <c r="BF99" s="213"/>
      <c r="BG99" s="213"/>
      <c r="BH99" s="213"/>
      <c r="BI99" s="213"/>
      <c r="BJ99" s="213"/>
      <c r="BK99" s="213"/>
      <c r="BL99" s="213"/>
      <c r="BM99" s="213"/>
      <c r="BN99" s="213"/>
      <c r="BO99" s="213"/>
      <c r="BP99" s="213"/>
      <c r="BQ99" s="213"/>
      <c r="BR99" s="213"/>
      <c r="BS99" s="213"/>
      <c r="BT99" s="213"/>
      <c r="BU99" s="213"/>
      <c r="BV99" s="213"/>
      <c r="BW99" s="213"/>
      <c r="BX99" s="213"/>
    </row>
    <row r="100" spans="1:76" s="126" customFormat="1" ht="11.25" customHeight="1" x14ac:dyDescent="0.2">
      <c r="A100" s="5"/>
      <c r="B100" s="5"/>
      <c r="C100" s="5"/>
      <c r="D100" s="5"/>
      <c r="E100" s="5"/>
      <c r="F100" s="5"/>
      <c r="G100" s="5"/>
      <c r="H100" s="5"/>
      <c r="I100" s="5"/>
      <c r="J100" s="5"/>
      <c r="K100" s="5"/>
      <c r="L100" s="213"/>
      <c r="M100" s="213"/>
      <c r="N100" s="213"/>
      <c r="O100" s="213"/>
      <c r="P100" s="213"/>
      <c r="Q100" s="5"/>
      <c r="R100" s="5"/>
      <c r="S100" s="5"/>
      <c r="T100" s="5"/>
      <c r="U100" s="5"/>
      <c r="V100" s="5"/>
      <c r="W100" s="5"/>
      <c r="X100" s="5"/>
      <c r="Y100" s="213"/>
      <c r="Z100" s="213"/>
      <c r="AA100" s="213"/>
      <c r="AB100" s="213"/>
      <c r="AC100" s="213"/>
      <c r="AD100" s="213"/>
      <c r="AE100" s="213"/>
      <c r="AF100" s="213"/>
      <c r="AG100" s="213"/>
      <c r="AH100" s="213"/>
      <c r="AI100" s="213"/>
      <c r="AJ100" s="213"/>
      <c r="AK100" s="213"/>
      <c r="AL100" s="213"/>
      <c r="AM100" s="213"/>
      <c r="AN100" s="213"/>
      <c r="AO100" s="213"/>
      <c r="AP100" s="213"/>
      <c r="AQ100" s="213"/>
      <c r="AR100" s="213"/>
      <c r="AS100" s="213"/>
      <c r="AT100" s="213"/>
      <c r="AU100" s="213"/>
      <c r="AV100" s="213"/>
      <c r="AW100" s="213"/>
      <c r="AX100" s="213"/>
      <c r="AY100" s="213"/>
      <c r="AZ100" s="213"/>
      <c r="BA100" s="213"/>
      <c r="BB100" s="213"/>
      <c r="BC100" s="213"/>
      <c r="BD100" s="213"/>
      <c r="BE100" s="213"/>
      <c r="BF100" s="213"/>
      <c r="BG100" s="213"/>
      <c r="BH100" s="213"/>
      <c r="BI100" s="213"/>
      <c r="BJ100" s="213"/>
      <c r="BK100" s="213"/>
      <c r="BL100" s="213"/>
      <c r="BM100" s="213"/>
      <c r="BN100" s="213"/>
      <c r="BO100" s="213"/>
      <c r="BP100" s="213"/>
      <c r="BQ100" s="213"/>
      <c r="BR100" s="213"/>
      <c r="BS100" s="213"/>
      <c r="BT100" s="213"/>
      <c r="BU100" s="213"/>
      <c r="BV100" s="213"/>
      <c r="BW100" s="213"/>
      <c r="BX100" s="213"/>
    </row>
    <row r="101" spans="1:76" s="126" customFormat="1" ht="11.25" customHeight="1" x14ac:dyDescent="0.2">
      <c r="A101" s="5"/>
      <c r="B101" s="5"/>
      <c r="C101" s="5"/>
      <c r="D101" s="5"/>
      <c r="E101" s="5"/>
      <c r="F101" s="5"/>
      <c r="G101" s="5"/>
      <c r="H101" s="5"/>
      <c r="I101" s="5"/>
      <c r="J101" s="5"/>
      <c r="K101" s="5"/>
      <c r="L101" s="213"/>
      <c r="M101" s="213"/>
      <c r="N101" s="213"/>
      <c r="O101" s="213"/>
      <c r="P101" s="213"/>
      <c r="Q101" s="5"/>
      <c r="R101" s="5"/>
      <c r="S101" s="5"/>
      <c r="T101" s="5"/>
      <c r="U101" s="5"/>
      <c r="V101" s="5"/>
      <c r="W101" s="5"/>
      <c r="X101" s="5"/>
      <c r="Y101" s="213"/>
      <c r="Z101" s="213"/>
      <c r="AA101" s="213"/>
      <c r="AB101" s="213"/>
      <c r="AC101" s="213"/>
      <c r="AD101" s="213"/>
      <c r="AE101" s="213"/>
      <c r="AF101" s="213"/>
      <c r="AG101" s="213"/>
      <c r="AH101" s="213"/>
      <c r="AI101" s="213"/>
      <c r="AJ101" s="213"/>
      <c r="AK101" s="213"/>
      <c r="AL101" s="213"/>
      <c r="AM101" s="213"/>
      <c r="AN101" s="213"/>
      <c r="AO101" s="213"/>
      <c r="AP101" s="213"/>
      <c r="AQ101" s="213"/>
      <c r="AR101" s="213"/>
      <c r="AS101" s="213"/>
      <c r="AT101" s="213"/>
      <c r="AU101" s="213"/>
      <c r="AV101" s="213"/>
      <c r="AW101" s="213"/>
      <c r="AX101" s="213"/>
      <c r="AY101" s="213"/>
      <c r="AZ101" s="213"/>
      <c r="BA101" s="213"/>
      <c r="BB101" s="213"/>
      <c r="BC101" s="213"/>
      <c r="BD101" s="213"/>
      <c r="BE101" s="213"/>
      <c r="BF101" s="213"/>
      <c r="BG101" s="213"/>
      <c r="BH101" s="213"/>
      <c r="BI101" s="213"/>
      <c r="BJ101" s="213"/>
      <c r="BK101" s="213"/>
      <c r="BL101" s="213"/>
      <c r="BM101" s="213"/>
      <c r="BN101" s="213"/>
      <c r="BO101" s="213"/>
      <c r="BP101" s="213"/>
      <c r="BQ101" s="213"/>
      <c r="BR101" s="213"/>
      <c r="BS101" s="213"/>
      <c r="BT101" s="213"/>
      <c r="BU101" s="213"/>
      <c r="BV101" s="213"/>
      <c r="BW101" s="213"/>
      <c r="BX101" s="213"/>
    </row>
    <row r="102" spans="1:76" s="126" customFormat="1" ht="11.25" customHeight="1" x14ac:dyDescent="0.2">
      <c r="A102" s="5"/>
      <c r="B102" s="5"/>
      <c r="C102" s="5"/>
      <c r="D102" s="5"/>
      <c r="E102" s="5"/>
      <c r="F102" s="5"/>
      <c r="G102" s="5"/>
      <c r="H102" s="5"/>
      <c r="I102" s="5"/>
      <c r="J102" s="5"/>
      <c r="K102" s="5"/>
      <c r="L102" s="213"/>
      <c r="M102" s="213"/>
      <c r="N102" s="213"/>
      <c r="O102" s="213"/>
      <c r="P102" s="213"/>
      <c r="Q102" s="5"/>
      <c r="R102" s="5"/>
      <c r="S102" s="5"/>
      <c r="T102" s="5"/>
      <c r="U102" s="5"/>
      <c r="V102" s="5"/>
      <c r="W102" s="5"/>
      <c r="X102" s="5"/>
      <c r="Y102" s="213"/>
      <c r="Z102" s="213"/>
      <c r="AA102" s="213"/>
      <c r="AB102" s="213"/>
      <c r="AC102" s="213"/>
      <c r="AD102" s="213"/>
      <c r="AE102" s="213"/>
      <c r="AF102" s="213"/>
      <c r="AG102" s="213"/>
      <c r="AH102" s="213"/>
      <c r="AI102" s="213"/>
      <c r="AJ102" s="213"/>
      <c r="AK102" s="213"/>
      <c r="AL102" s="213"/>
      <c r="AM102" s="213"/>
      <c r="AN102" s="213"/>
      <c r="AO102" s="213"/>
      <c r="AP102" s="213"/>
      <c r="AQ102" s="213"/>
      <c r="AR102" s="213"/>
      <c r="AS102" s="213"/>
      <c r="AT102" s="213"/>
      <c r="AU102" s="213"/>
      <c r="AV102" s="213"/>
      <c r="AW102" s="213"/>
      <c r="AX102" s="213"/>
      <c r="AY102" s="213"/>
      <c r="AZ102" s="213"/>
      <c r="BA102" s="213"/>
      <c r="BB102" s="213"/>
      <c r="BC102" s="213"/>
      <c r="BD102" s="213"/>
      <c r="BE102" s="213"/>
      <c r="BF102" s="213"/>
      <c r="BG102" s="213"/>
      <c r="BH102" s="213"/>
      <c r="BI102" s="213"/>
      <c r="BJ102" s="213"/>
      <c r="BK102" s="213"/>
      <c r="BL102" s="213"/>
      <c r="BM102" s="213"/>
      <c r="BN102" s="213"/>
      <c r="BO102" s="213"/>
      <c r="BP102" s="213"/>
      <c r="BQ102" s="213"/>
      <c r="BR102" s="213"/>
      <c r="BS102" s="213"/>
      <c r="BT102" s="213"/>
      <c r="BU102" s="213"/>
      <c r="BV102" s="213"/>
      <c r="BW102" s="213"/>
      <c r="BX102" s="213"/>
    </row>
    <row r="103" spans="1:76" s="126" customFormat="1" ht="11.25" customHeight="1" x14ac:dyDescent="0.2">
      <c r="A103" s="5"/>
      <c r="B103" s="5"/>
      <c r="C103" s="5"/>
      <c r="D103" s="5"/>
      <c r="E103" s="5"/>
      <c r="F103" s="5"/>
      <c r="G103" s="5"/>
      <c r="H103" s="5"/>
      <c r="I103" s="5"/>
      <c r="J103" s="5"/>
      <c r="K103" s="5"/>
      <c r="L103" s="213"/>
      <c r="M103" s="213"/>
      <c r="N103" s="213"/>
      <c r="O103" s="213"/>
      <c r="P103" s="213"/>
      <c r="Q103" s="5"/>
      <c r="R103" s="5"/>
      <c r="S103" s="5"/>
      <c r="T103" s="5"/>
      <c r="U103" s="5"/>
      <c r="V103" s="5"/>
      <c r="W103" s="5"/>
      <c r="X103" s="5"/>
      <c r="Y103" s="213"/>
      <c r="Z103" s="213"/>
      <c r="AA103" s="213"/>
      <c r="AB103" s="213"/>
      <c r="AC103" s="213"/>
      <c r="AD103" s="213"/>
      <c r="AE103" s="213"/>
      <c r="AF103" s="213"/>
      <c r="AG103" s="213"/>
      <c r="AH103" s="213"/>
      <c r="AI103" s="213"/>
      <c r="AJ103" s="213"/>
      <c r="AK103" s="213"/>
      <c r="AL103" s="213"/>
      <c r="AM103" s="213"/>
      <c r="AN103" s="213"/>
      <c r="AO103" s="213"/>
      <c r="AP103" s="213"/>
      <c r="AQ103" s="213"/>
      <c r="AR103" s="213"/>
      <c r="AS103" s="213"/>
      <c r="AT103" s="213"/>
      <c r="AU103" s="213"/>
      <c r="AV103" s="213"/>
      <c r="AW103" s="213"/>
      <c r="AX103" s="213"/>
      <c r="AY103" s="213"/>
      <c r="AZ103" s="213"/>
      <c r="BA103" s="213"/>
      <c r="BB103" s="213"/>
      <c r="BC103" s="213"/>
      <c r="BD103" s="213"/>
      <c r="BE103" s="213"/>
      <c r="BF103" s="213"/>
      <c r="BG103" s="213"/>
      <c r="BH103" s="213"/>
      <c r="BI103" s="213"/>
      <c r="BJ103" s="213"/>
      <c r="BK103" s="213"/>
      <c r="BL103" s="213"/>
      <c r="BM103" s="213"/>
      <c r="BN103" s="213"/>
      <c r="BO103" s="213"/>
      <c r="BP103" s="213"/>
      <c r="BQ103" s="213"/>
      <c r="BR103" s="213"/>
      <c r="BS103" s="213"/>
      <c r="BT103" s="213"/>
      <c r="BU103" s="213"/>
      <c r="BV103" s="213"/>
      <c r="BW103" s="213"/>
      <c r="BX103" s="213"/>
    </row>
    <row r="104" spans="1:76" s="126" customFormat="1" ht="11.25" customHeight="1" x14ac:dyDescent="0.2">
      <c r="A104" s="5"/>
      <c r="B104" s="5"/>
      <c r="C104" s="5"/>
      <c r="D104" s="5"/>
      <c r="E104" s="5"/>
      <c r="F104" s="5"/>
      <c r="G104" s="5"/>
      <c r="H104" s="5"/>
      <c r="I104" s="5"/>
      <c r="J104" s="5"/>
      <c r="K104" s="5"/>
      <c r="L104" s="213"/>
      <c r="M104" s="213"/>
      <c r="N104" s="213"/>
      <c r="O104" s="213"/>
      <c r="P104" s="213"/>
      <c r="Q104" s="5"/>
      <c r="R104" s="5"/>
      <c r="S104" s="5"/>
      <c r="T104" s="5"/>
      <c r="U104" s="5"/>
      <c r="V104" s="5"/>
      <c r="W104" s="5"/>
      <c r="X104" s="5"/>
      <c r="Y104" s="213"/>
      <c r="Z104" s="213"/>
      <c r="AA104" s="213"/>
      <c r="AB104" s="213"/>
      <c r="AC104" s="213"/>
      <c r="AD104" s="213"/>
      <c r="AE104" s="213"/>
      <c r="AF104" s="213"/>
      <c r="AG104" s="213"/>
      <c r="AH104" s="213"/>
      <c r="AI104" s="213"/>
      <c r="AJ104" s="213"/>
      <c r="AK104" s="213"/>
      <c r="AL104" s="213"/>
      <c r="AM104" s="213"/>
      <c r="AN104" s="213"/>
      <c r="AO104" s="213"/>
      <c r="AP104" s="213"/>
      <c r="AQ104" s="213"/>
      <c r="AR104" s="213"/>
      <c r="AS104" s="213"/>
      <c r="AT104" s="213"/>
      <c r="AU104" s="213"/>
      <c r="AV104" s="213"/>
      <c r="AW104" s="213"/>
      <c r="AX104" s="213"/>
      <c r="AY104" s="213"/>
      <c r="AZ104" s="213"/>
      <c r="BA104" s="213"/>
      <c r="BB104" s="213"/>
      <c r="BC104" s="213"/>
      <c r="BD104" s="213"/>
      <c r="BE104" s="213"/>
      <c r="BF104" s="213"/>
      <c r="BG104" s="213"/>
      <c r="BH104" s="213"/>
      <c r="BI104" s="213"/>
      <c r="BJ104" s="213"/>
      <c r="BK104" s="213"/>
      <c r="BL104" s="213"/>
      <c r="BM104" s="213"/>
      <c r="BN104" s="213"/>
      <c r="BO104" s="213"/>
      <c r="BP104" s="213"/>
      <c r="BQ104" s="213"/>
      <c r="BR104" s="213"/>
      <c r="BS104" s="213"/>
      <c r="BT104" s="213"/>
      <c r="BU104" s="213"/>
      <c r="BV104" s="213"/>
      <c r="BW104" s="213"/>
      <c r="BX104" s="213"/>
    </row>
    <row r="105" spans="1:76" s="126" customFormat="1" ht="11.25" customHeight="1" x14ac:dyDescent="0.2">
      <c r="A105" s="5"/>
      <c r="B105" s="5"/>
      <c r="C105" s="5"/>
      <c r="D105" s="5"/>
      <c r="E105" s="5"/>
      <c r="F105" s="5"/>
      <c r="G105" s="5"/>
      <c r="H105" s="5"/>
      <c r="I105" s="5"/>
      <c r="J105" s="5"/>
      <c r="K105" s="5"/>
      <c r="L105" s="213"/>
      <c r="M105" s="213"/>
      <c r="N105" s="213"/>
      <c r="O105" s="213"/>
      <c r="P105" s="213"/>
      <c r="Q105" s="5"/>
      <c r="R105" s="5"/>
      <c r="S105" s="5"/>
      <c r="T105" s="5"/>
      <c r="U105" s="5"/>
      <c r="V105" s="5"/>
      <c r="W105" s="5"/>
      <c r="X105" s="5"/>
      <c r="Y105" s="213"/>
      <c r="Z105" s="213"/>
      <c r="AA105" s="213"/>
      <c r="AB105" s="213"/>
      <c r="AC105" s="213"/>
      <c r="AD105" s="213"/>
      <c r="AE105" s="213"/>
      <c r="AF105" s="213"/>
      <c r="AG105" s="213"/>
      <c r="AH105" s="213"/>
      <c r="AI105" s="213"/>
      <c r="AJ105" s="213"/>
      <c r="AK105" s="213"/>
      <c r="AL105" s="213"/>
      <c r="AM105" s="213"/>
      <c r="AN105" s="213"/>
      <c r="AO105" s="213"/>
      <c r="AP105" s="213"/>
      <c r="AQ105" s="213"/>
      <c r="AR105" s="213"/>
      <c r="AS105" s="213"/>
      <c r="AT105" s="213"/>
      <c r="AU105" s="213"/>
      <c r="AV105" s="213"/>
      <c r="AW105" s="213"/>
      <c r="AX105" s="213"/>
      <c r="AY105" s="213"/>
      <c r="AZ105" s="213"/>
      <c r="BA105" s="213"/>
      <c r="BB105" s="213"/>
      <c r="BC105" s="213"/>
      <c r="BD105" s="213"/>
      <c r="BE105" s="213"/>
      <c r="BF105" s="213"/>
      <c r="BG105" s="213"/>
      <c r="BH105" s="213"/>
      <c r="BI105" s="213"/>
      <c r="BJ105" s="213"/>
      <c r="BK105" s="213"/>
      <c r="BL105" s="213"/>
      <c r="BM105" s="213"/>
      <c r="BN105" s="213"/>
      <c r="BO105" s="213"/>
      <c r="BP105" s="213"/>
      <c r="BQ105" s="213"/>
      <c r="BR105" s="213"/>
      <c r="BS105" s="213"/>
      <c r="BT105" s="213"/>
      <c r="BU105" s="213"/>
      <c r="BV105" s="213"/>
      <c r="BW105" s="213"/>
      <c r="BX105" s="213"/>
    </row>
    <row r="106" spans="1:76" s="126" customFormat="1" ht="11.25" customHeight="1" x14ac:dyDescent="0.2">
      <c r="A106" s="5"/>
      <c r="B106" s="5"/>
      <c r="C106" s="5"/>
      <c r="D106" s="5"/>
      <c r="E106" s="5"/>
      <c r="F106" s="5"/>
      <c r="G106" s="5"/>
      <c r="H106" s="5"/>
      <c r="I106" s="5"/>
      <c r="J106" s="5"/>
      <c r="K106" s="5"/>
      <c r="L106" s="213"/>
      <c r="M106" s="213"/>
      <c r="N106" s="213"/>
      <c r="O106" s="213"/>
      <c r="P106" s="213"/>
      <c r="Q106" s="5"/>
      <c r="R106" s="5"/>
      <c r="S106" s="5"/>
      <c r="T106" s="5"/>
      <c r="U106" s="5"/>
      <c r="V106" s="5"/>
      <c r="W106" s="5"/>
      <c r="X106" s="5"/>
      <c r="Y106" s="213"/>
      <c r="Z106" s="213"/>
      <c r="AA106" s="213"/>
      <c r="AB106" s="213"/>
      <c r="AC106" s="213"/>
      <c r="AD106" s="213"/>
      <c r="AE106" s="213"/>
      <c r="AF106" s="213"/>
      <c r="AG106" s="213"/>
      <c r="AH106" s="213"/>
      <c r="AI106" s="213"/>
      <c r="AJ106" s="213"/>
      <c r="AK106" s="213"/>
      <c r="AL106" s="213"/>
      <c r="AM106" s="213"/>
      <c r="AN106" s="213"/>
      <c r="AO106" s="213"/>
      <c r="AP106" s="213"/>
      <c r="AQ106" s="213"/>
      <c r="AR106" s="213"/>
      <c r="AS106" s="213"/>
      <c r="AT106" s="213"/>
      <c r="AU106" s="213"/>
      <c r="AV106" s="213"/>
      <c r="AW106" s="213"/>
      <c r="AX106" s="213"/>
      <c r="AY106" s="213"/>
      <c r="AZ106" s="213"/>
      <c r="BA106" s="213"/>
      <c r="BB106" s="213"/>
      <c r="BC106" s="213"/>
      <c r="BD106" s="213"/>
      <c r="BE106" s="213"/>
      <c r="BF106" s="213"/>
      <c r="BG106" s="213"/>
      <c r="BH106" s="213"/>
      <c r="BI106" s="213"/>
      <c r="BJ106" s="213"/>
      <c r="BK106" s="213"/>
      <c r="BL106" s="213"/>
      <c r="BM106" s="213"/>
      <c r="BN106" s="213"/>
      <c r="BO106" s="213"/>
      <c r="BP106" s="213"/>
      <c r="BQ106" s="213"/>
      <c r="BR106" s="213"/>
      <c r="BS106" s="213"/>
      <c r="BT106" s="213"/>
      <c r="BU106" s="213"/>
      <c r="BV106" s="213"/>
      <c r="BW106" s="213"/>
      <c r="BX106" s="213"/>
    </row>
    <row r="107" spans="1:76" s="126" customFormat="1" ht="11.25" customHeight="1" x14ac:dyDescent="0.2">
      <c r="A107" s="5"/>
      <c r="B107" s="5"/>
      <c r="C107" s="5"/>
      <c r="D107" s="5"/>
      <c r="E107" s="5"/>
      <c r="F107" s="5"/>
      <c r="G107" s="5"/>
      <c r="H107" s="5"/>
      <c r="I107" s="5"/>
      <c r="J107" s="5"/>
      <c r="K107" s="5"/>
      <c r="L107" s="213"/>
      <c r="M107" s="213"/>
      <c r="N107" s="213"/>
      <c r="O107" s="213"/>
      <c r="P107" s="213"/>
      <c r="Q107" s="5"/>
      <c r="R107" s="5"/>
      <c r="S107" s="5"/>
      <c r="T107" s="5"/>
      <c r="U107" s="5"/>
      <c r="V107" s="5"/>
      <c r="W107" s="5"/>
      <c r="X107" s="5"/>
      <c r="Y107" s="213"/>
      <c r="Z107" s="213"/>
      <c r="AA107" s="213"/>
      <c r="AB107" s="213"/>
      <c r="AC107" s="213"/>
      <c r="AD107" s="213"/>
      <c r="AE107" s="213"/>
      <c r="AF107" s="213"/>
      <c r="AG107" s="213"/>
      <c r="AH107" s="213"/>
      <c r="AI107" s="213"/>
      <c r="AJ107" s="213"/>
      <c r="AK107" s="213"/>
      <c r="AL107" s="213"/>
      <c r="AM107" s="213"/>
      <c r="AN107" s="213"/>
      <c r="AO107" s="213"/>
      <c r="AP107" s="213"/>
      <c r="AQ107" s="213"/>
      <c r="AR107" s="213"/>
      <c r="AS107" s="213"/>
      <c r="AT107" s="213"/>
      <c r="AU107" s="213"/>
      <c r="AV107" s="213"/>
      <c r="AW107" s="213"/>
      <c r="AX107" s="213"/>
      <c r="AY107" s="213"/>
      <c r="AZ107" s="213"/>
      <c r="BA107" s="213"/>
      <c r="BB107" s="213"/>
      <c r="BC107" s="213"/>
      <c r="BD107" s="213"/>
      <c r="BE107" s="213"/>
      <c r="BF107" s="213"/>
      <c r="BG107" s="213"/>
      <c r="BH107" s="213"/>
      <c r="BI107" s="213"/>
      <c r="BJ107" s="213"/>
      <c r="BK107" s="213"/>
      <c r="BL107" s="213"/>
      <c r="BM107" s="213"/>
      <c r="BN107" s="213"/>
      <c r="BO107" s="213"/>
      <c r="BP107" s="213"/>
      <c r="BQ107" s="213"/>
      <c r="BR107" s="213"/>
      <c r="BS107" s="213"/>
      <c r="BT107" s="213"/>
      <c r="BU107" s="213"/>
      <c r="BV107" s="213"/>
      <c r="BW107" s="213"/>
      <c r="BX107" s="213"/>
    </row>
    <row r="108" spans="1:76" s="126" customFormat="1" ht="11.25" customHeight="1" x14ac:dyDescent="0.2">
      <c r="A108" s="5"/>
      <c r="B108" s="5"/>
      <c r="C108" s="5"/>
      <c r="D108" s="5"/>
      <c r="E108" s="5"/>
      <c r="F108" s="5"/>
      <c r="G108" s="5"/>
      <c r="H108" s="5"/>
      <c r="I108" s="5"/>
      <c r="J108" s="5"/>
      <c r="K108" s="5"/>
      <c r="L108" s="213"/>
      <c r="M108" s="213"/>
      <c r="N108" s="213"/>
      <c r="O108" s="213"/>
      <c r="P108" s="213"/>
      <c r="Q108" s="5"/>
      <c r="R108" s="5"/>
      <c r="S108" s="5"/>
      <c r="T108" s="5"/>
      <c r="U108" s="5"/>
      <c r="V108" s="5"/>
      <c r="W108" s="5"/>
      <c r="X108" s="5"/>
      <c r="Y108" s="213"/>
      <c r="Z108" s="213"/>
      <c r="AA108" s="213"/>
      <c r="AB108" s="213"/>
      <c r="AC108" s="213"/>
      <c r="AD108" s="213"/>
      <c r="AE108" s="213"/>
      <c r="AF108" s="213"/>
      <c r="AG108" s="213"/>
      <c r="AH108" s="213"/>
      <c r="AI108" s="213"/>
      <c r="AJ108" s="213"/>
      <c r="AK108" s="213"/>
      <c r="AL108" s="213"/>
      <c r="AM108" s="213"/>
      <c r="AN108" s="213"/>
      <c r="AO108" s="213"/>
      <c r="AP108" s="213"/>
      <c r="AQ108" s="213"/>
      <c r="AR108" s="213"/>
      <c r="AS108" s="213"/>
      <c r="AT108" s="213"/>
      <c r="AU108" s="213"/>
      <c r="AV108" s="213"/>
      <c r="AW108" s="213"/>
      <c r="AX108" s="213"/>
      <c r="AY108" s="213"/>
      <c r="AZ108" s="213"/>
      <c r="BA108" s="213"/>
      <c r="BB108" s="213"/>
      <c r="BC108" s="213"/>
      <c r="BD108" s="213"/>
      <c r="BE108" s="213"/>
      <c r="BF108" s="213"/>
      <c r="BG108" s="213"/>
      <c r="BH108" s="213"/>
      <c r="BI108" s="213"/>
      <c r="BJ108" s="213"/>
      <c r="BK108" s="213"/>
      <c r="BL108" s="213"/>
      <c r="BM108" s="213"/>
      <c r="BN108" s="213"/>
      <c r="BO108" s="213"/>
      <c r="BP108" s="213"/>
      <c r="BQ108" s="213"/>
      <c r="BR108" s="213"/>
      <c r="BS108" s="213"/>
      <c r="BT108" s="213"/>
      <c r="BU108" s="213"/>
      <c r="BV108" s="213"/>
      <c r="BW108" s="213"/>
      <c r="BX108" s="213"/>
    </row>
    <row r="109" spans="1:76" s="126" customFormat="1" ht="11.25" customHeight="1" x14ac:dyDescent="0.2">
      <c r="A109" s="5"/>
      <c r="B109" s="5"/>
      <c r="C109" s="5"/>
      <c r="D109" s="5"/>
      <c r="E109" s="5"/>
      <c r="F109" s="5"/>
      <c r="G109" s="5"/>
      <c r="H109" s="5"/>
      <c r="I109" s="5"/>
      <c r="J109" s="5"/>
      <c r="K109" s="5"/>
      <c r="L109" s="213"/>
      <c r="M109" s="213"/>
      <c r="N109" s="213"/>
      <c r="O109" s="213"/>
      <c r="P109" s="213"/>
      <c r="Q109" s="5"/>
      <c r="R109" s="5"/>
      <c r="S109" s="5"/>
      <c r="T109" s="5"/>
      <c r="U109" s="5"/>
      <c r="V109" s="5"/>
      <c r="W109" s="5"/>
      <c r="X109" s="5"/>
      <c r="Y109" s="213"/>
      <c r="Z109" s="213"/>
      <c r="AA109" s="213"/>
      <c r="AB109" s="213"/>
      <c r="AC109" s="213"/>
      <c r="AD109" s="213"/>
      <c r="AE109" s="213"/>
      <c r="AF109" s="213"/>
      <c r="AG109" s="213"/>
      <c r="AH109" s="213"/>
      <c r="AI109" s="213"/>
      <c r="AJ109" s="213"/>
      <c r="AK109" s="213"/>
      <c r="AL109" s="213"/>
      <c r="AM109" s="213"/>
      <c r="AN109" s="213"/>
      <c r="AO109" s="213"/>
      <c r="AP109" s="213"/>
      <c r="AQ109" s="213"/>
      <c r="AR109" s="213"/>
      <c r="AS109" s="213"/>
      <c r="AT109" s="213"/>
      <c r="AU109" s="213"/>
      <c r="AV109" s="213"/>
      <c r="AW109" s="213"/>
      <c r="AX109" s="213"/>
      <c r="AY109" s="213"/>
      <c r="AZ109" s="213"/>
      <c r="BA109" s="213"/>
      <c r="BB109" s="213"/>
      <c r="BC109" s="213"/>
      <c r="BD109" s="213"/>
      <c r="BE109" s="213"/>
      <c r="BF109" s="213"/>
      <c r="BG109" s="213"/>
      <c r="BH109" s="213"/>
      <c r="BI109" s="213"/>
      <c r="BJ109" s="213"/>
      <c r="BK109" s="213"/>
      <c r="BL109" s="213"/>
      <c r="BM109" s="213"/>
      <c r="BN109" s="213"/>
      <c r="BO109" s="213"/>
      <c r="BP109" s="213"/>
      <c r="BQ109" s="213"/>
      <c r="BR109" s="213"/>
      <c r="BS109" s="213"/>
      <c r="BT109" s="213"/>
      <c r="BU109" s="213"/>
      <c r="BV109" s="213"/>
      <c r="BW109" s="213"/>
      <c r="BX109" s="213"/>
    </row>
    <row r="110" spans="1:76" s="126" customFormat="1" ht="11.25" customHeight="1" x14ac:dyDescent="0.2">
      <c r="A110" s="5"/>
      <c r="B110" s="5"/>
      <c r="C110" s="5"/>
      <c r="D110" s="5"/>
      <c r="E110" s="5"/>
      <c r="F110" s="5"/>
      <c r="G110" s="5"/>
      <c r="H110" s="5"/>
      <c r="I110" s="5"/>
      <c r="J110" s="5"/>
      <c r="K110" s="5"/>
      <c r="L110" s="213"/>
      <c r="M110" s="213"/>
      <c r="N110" s="213"/>
      <c r="O110" s="213"/>
      <c r="P110" s="213"/>
      <c r="Q110" s="5"/>
      <c r="R110" s="5"/>
      <c r="S110" s="5"/>
      <c r="T110" s="5"/>
      <c r="U110" s="5"/>
      <c r="V110" s="5"/>
      <c r="W110" s="5"/>
      <c r="X110" s="5"/>
      <c r="Y110" s="213"/>
      <c r="Z110" s="213"/>
      <c r="AA110" s="213"/>
      <c r="AB110" s="213"/>
      <c r="AC110" s="213"/>
      <c r="AD110" s="213"/>
      <c r="AE110" s="213"/>
      <c r="AF110" s="213"/>
      <c r="AG110" s="213"/>
      <c r="AH110" s="213"/>
      <c r="AI110" s="213"/>
      <c r="AJ110" s="213"/>
      <c r="AK110" s="213"/>
      <c r="AL110" s="213"/>
      <c r="AM110" s="213"/>
      <c r="AN110" s="213"/>
      <c r="AO110" s="213"/>
      <c r="AP110" s="213"/>
      <c r="AQ110" s="213"/>
      <c r="AR110" s="213"/>
      <c r="AS110" s="213"/>
      <c r="AT110" s="213"/>
      <c r="AU110" s="213"/>
      <c r="AV110" s="213"/>
      <c r="AW110" s="213"/>
      <c r="AX110" s="213"/>
      <c r="AY110" s="213"/>
      <c r="AZ110" s="213"/>
      <c r="BA110" s="213"/>
      <c r="BB110" s="213"/>
      <c r="BC110" s="213"/>
      <c r="BD110" s="213"/>
      <c r="BE110" s="213"/>
      <c r="BF110" s="213"/>
      <c r="BG110" s="213"/>
      <c r="BH110" s="213"/>
      <c r="BI110" s="213"/>
      <c r="BJ110" s="213"/>
      <c r="BK110" s="213"/>
      <c r="BL110" s="213"/>
      <c r="BM110" s="213"/>
      <c r="BN110" s="213"/>
      <c r="BO110" s="213"/>
      <c r="BP110" s="213"/>
      <c r="BQ110" s="213"/>
      <c r="BR110" s="213"/>
      <c r="BS110" s="213"/>
      <c r="BT110" s="213"/>
      <c r="BU110" s="213"/>
      <c r="BV110" s="213"/>
      <c r="BW110" s="213"/>
      <c r="BX110" s="213"/>
    </row>
    <row r="111" spans="1:76" s="126" customFormat="1" ht="11.25" customHeight="1" x14ac:dyDescent="0.2">
      <c r="A111" s="5"/>
      <c r="B111" s="5"/>
      <c r="C111" s="5"/>
      <c r="D111" s="5"/>
      <c r="E111" s="5"/>
      <c r="F111" s="5"/>
      <c r="G111" s="5"/>
      <c r="H111" s="5"/>
      <c r="I111" s="5"/>
      <c r="J111" s="5"/>
      <c r="K111" s="5"/>
      <c r="L111" s="213"/>
      <c r="M111" s="213"/>
      <c r="N111" s="213"/>
      <c r="O111" s="213"/>
      <c r="P111" s="213"/>
      <c r="Q111" s="5"/>
      <c r="R111" s="5"/>
      <c r="S111" s="5"/>
      <c r="T111" s="5"/>
      <c r="U111" s="5"/>
      <c r="V111" s="5"/>
      <c r="W111" s="5"/>
      <c r="X111" s="5"/>
      <c r="Y111" s="213"/>
      <c r="Z111" s="213"/>
      <c r="AA111" s="213"/>
      <c r="AB111" s="213"/>
      <c r="AC111" s="213"/>
      <c r="AD111" s="213"/>
      <c r="AE111" s="213"/>
      <c r="AF111" s="213"/>
      <c r="AG111" s="213"/>
      <c r="AH111" s="213"/>
      <c r="AI111" s="213"/>
      <c r="AJ111" s="213"/>
      <c r="AK111" s="213"/>
      <c r="AL111" s="213"/>
      <c r="AM111" s="213"/>
      <c r="AN111" s="213"/>
      <c r="AO111" s="213"/>
      <c r="AP111" s="213"/>
      <c r="AQ111" s="213"/>
      <c r="AR111" s="213"/>
      <c r="AS111" s="213"/>
      <c r="AT111" s="213"/>
      <c r="AU111" s="213"/>
      <c r="AV111" s="213"/>
      <c r="AW111" s="213"/>
      <c r="AX111" s="213"/>
      <c r="AY111" s="213"/>
      <c r="AZ111" s="213"/>
      <c r="BA111" s="213"/>
      <c r="BB111" s="213"/>
      <c r="BC111" s="213"/>
      <c r="BD111" s="213"/>
      <c r="BE111" s="213"/>
      <c r="BF111" s="213"/>
      <c r="BG111" s="213"/>
      <c r="BH111" s="213"/>
      <c r="BI111" s="213"/>
      <c r="BJ111" s="213"/>
      <c r="BK111" s="213"/>
      <c r="BL111" s="213"/>
      <c r="BM111" s="213"/>
      <c r="BN111" s="213"/>
      <c r="BO111" s="213"/>
      <c r="BP111" s="213"/>
      <c r="BQ111" s="213"/>
      <c r="BR111" s="213"/>
      <c r="BS111" s="213"/>
      <c r="BT111" s="213"/>
      <c r="BU111" s="213"/>
      <c r="BV111" s="213"/>
      <c r="BW111" s="213"/>
      <c r="BX111" s="213"/>
    </row>
    <row r="112" spans="1:76" s="126" customFormat="1" ht="11.25" customHeight="1" x14ac:dyDescent="0.2">
      <c r="A112" s="5"/>
      <c r="B112" s="5"/>
      <c r="C112" s="5"/>
      <c r="D112" s="5"/>
      <c r="E112" s="5"/>
      <c r="F112" s="5"/>
      <c r="G112" s="5"/>
      <c r="H112" s="5"/>
      <c r="I112" s="5"/>
      <c r="J112" s="5"/>
      <c r="K112" s="5"/>
      <c r="L112" s="213"/>
      <c r="M112" s="213"/>
      <c r="N112" s="213"/>
      <c r="O112" s="213"/>
      <c r="P112" s="213"/>
      <c r="Q112" s="5"/>
      <c r="R112" s="5"/>
      <c r="S112" s="5"/>
      <c r="T112" s="5"/>
      <c r="U112" s="5"/>
      <c r="V112" s="5"/>
      <c r="W112" s="5"/>
      <c r="X112" s="5"/>
      <c r="Y112" s="213"/>
      <c r="Z112" s="213"/>
      <c r="AA112" s="213"/>
      <c r="AB112" s="213"/>
      <c r="AC112" s="213"/>
      <c r="AD112" s="213"/>
      <c r="AE112" s="213"/>
      <c r="AF112" s="213"/>
      <c r="AG112" s="213"/>
      <c r="AH112" s="213"/>
      <c r="AI112" s="213"/>
      <c r="AJ112" s="213"/>
      <c r="AK112" s="213"/>
      <c r="AL112" s="213"/>
      <c r="AM112" s="213"/>
      <c r="AN112" s="213"/>
      <c r="AO112" s="213"/>
      <c r="AP112" s="213"/>
      <c r="AQ112" s="213"/>
      <c r="AR112" s="213"/>
      <c r="AS112" s="213"/>
      <c r="AT112" s="213"/>
      <c r="AU112" s="213"/>
      <c r="AV112" s="213"/>
      <c r="AW112" s="213"/>
      <c r="AX112" s="213"/>
      <c r="AY112" s="213"/>
      <c r="AZ112" s="213"/>
      <c r="BA112" s="213"/>
      <c r="BB112" s="213"/>
      <c r="BC112" s="213"/>
      <c r="BD112" s="213"/>
      <c r="BE112" s="213"/>
      <c r="BF112" s="213"/>
      <c r="BG112" s="213"/>
      <c r="BH112" s="213"/>
      <c r="BI112" s="213"/>
      <c r="BJ112" s="213"/>
      <c r="BK112" s="213"/>
      <c r="BL112" s="213"/>
      <c r="BM112" s="213"/>
      <c r="BN112" s="213"/>
      <c r="BO112" s="213"/>
      <c r="BP112" s="213"/>
      <c r="BQ112" s="213"/>
      <c r="BR112" s="213"/>
      <c r="BS112" s="213"/>
      <c r="BT112" s="213"/>
      <c r="BU112" s="213"/>
      <c r="BV112" s="213"/>
      <c r="BW112" s="213"/>
      <c r="BX112" s="213"/>
    </row>
    <row r="113" spans="1:76" s="126" customFormat="1" ht="11.25" customHeight="1" x14ac:dyDescent="0.2">
      <c r="A113" s="5"/>
      <c r="B113" s="5"/>
      <c r="C113" s="5"/>
      <c r="D113" s="5"/>
      <c r="E113" s="5"/>
      <c r="F113" s="5"/>
      <c r="G113" s="5"/>
      <c r="H113" s="5"/>
      <c r="I113" s="5"/>
      <c r="J113" s="5"/>
      <c r="K113" s="5"/>
      <c r="L113" s="213"/>
      <c r="M113" s="213"/>
      <c r="N113" s="213"/>
      <c r="O113" s="213"/>
      <c r="P113" s="213"/>
      <c r="Q113" s="5"/>
      <c r="R113" s="5"/>
      <c r="S113" s="5"/>
      <c r="T113" s="5"/>
      <c r="U113" s="5"/>
      <c r="V113" s="5"/>
      <c r="W113" s="5"/>
      <c r="X113" s="5"/>
      <c r="Y113" s="213"/>
      <c r="Z113" s="213"/>
      <c r="AA113" s="213"/>
      <c r="AB113" s="213"/>
      <c r="AC113" s="213"/>
      <c r="AD113" s="213"/>
      <c r="AE113" s="213"/>
      <c r="AF113" s="213"/>
      <c r="AG113" s="213"/>
      <c r="AH113" s="213"/>
      <c r="AI113" s="213"/>
      <c r="AJ113" s="213"/>
      <c r="AK113" s="213"/>
      <c r="AL113" s="213"/>
      <c r="AM113" s="213"/>
      <c r="AN113" s="213"/>
      <c r="AO113" s="213"/>
      <c r="AP113" s="213"/>
      <c r="AQ113" s="213"/>
      <c r="AR113" s="213"/>
      <c r="AS113" s="213"/>
      <c r="AT113" s="213"/>
      <c r="AU113" s="213"/>
      <c r="AV113" s="213"/>
      <c r="AW113" s="213"/>
      <c r="AX113" s="213"/>
      <c r="AY113" s="213"/>
      <c r="AZ113" s="213"/>
      <c r="BA113" s="213"/>
      <c r="BB113" s="213"/>
      <c r="BC113" s="213"/>
      <c r="BD113" s="213"/>
      <c r="BE113" s="213"/>
      <c r="BF113" s="213"/>
      <c r="BG113" s="213"/>
      <c r="BH113" s="213"/>
      <c r="BI113" s="213"/>
      <c r="BJ113" s="213"/>
      <c r="BK113" s="213"/>
      <c r="BL113" s="213"/>
      <c r="BM113" s="213"/>
      <c r="BN113" s="213"/>
      <c r="BO113" s="213"/>
      <c r="BP113" s="213"/>
      <c r="BQ113" s="213"/>
      <c r="BR113" s="213"/>
      <c r="BS113" s="213"/>
      <c r="BT113" s="213"/>
      <c r="BU113" s="213"/>
      <c r="BV113" s="213"/>
      <c r="BW113" s="213"/>
      <c r="BX113" s="213"/>
    </row>
    <row r="114" spans="1:76" s="126" customFormat="1" ht="11.25" customHeight="1" x14ac:dyDescent="0.2">
      <c r="A114" s="5"/>
      <c r="B114" s="5"/>
      <c r="C114" s="5"/>
      <c r="D114" s="5"/>
      <c r="E114" s="5"/>
      <c r="F114" s="5"/>
      <c r="G114" s="5"/>
      <c r="H114" s="5"/>
      <c r="I114" s="5"/>
      <c r="J114" s="5"/>
      <c r="K114" s="5"/>
      <c r="L114" s="213"/>
      <c r="M114" s="213"/>
      <c r="N114" s="213"/>
      <c r="O114" s="213"/>
      <c r="P114" s="213"/>
      <c r="Q114" s="5"/>
      <c r="R114" s="5"/>
      <c r="S114" s="5"/>
      <c r="T114" s="5"/>
      <c r="U114" s="5"/>
      <c r="V114" s="5"/>
      <c r="W114" s="5"/>
      <c r="X114" s="5"/>
      <c r="Y114" s="213"/>
      <c r="Z114" s="213"/>
      <c r="AA114" s="213"/>
      <c r="AB114" s="213"/>
      <c r="AC114" s="213"/>
      <c r="AD114" s="213"/>
      <c r="AE114" s="213"/>
      <c r="AF114" s="213"/>
      <c r="AG114" s="213"/>
      <c r="AH114" s="213"/>
      <c r="AI114" s="213"/>
      <c r="AJ114" s="213"/>
      <c r="AK114" s="213"/>
      <c r="AL114" s="213"/>
      <c r="AM114" s="213"/>
      <c r="AN114" s="213"/>
      <c r="AO114" s="213"/>
      <c r="AP114" s="213"/>
      <c r="AQ114" s="213"/>
      <c r="AR114" s="213"/>
      <c r="AS114" s="213"/>
      <c r="AT114" s="213"/>
      <c r="AU114" s="213"/>
      <c r="AV114" s="213"/>
      <c r="AW114" s="213"/>
      <c r="AX114" s="213"/>
      <c r="AY114" s="213"/>
      <c r="AZ114" s="213"/>
      <c r="BA114" s="213"/>
      <c r="BB114" s="213"/>
      <c r="BC114" s="213"/>
      <c r="BD114" s="213"/>
      <c r="BE114" s="213"/>
      <c r="BF114" s="213"/>
      <c r="BG114" s="213"/>
      <c r="BH114" s="213"/>
      <c r="BI114" s="213"/>
      <c r="BJ114" s="213"/>
      <c r="BK114" s="213"/>
      <c r="BL114" s="213"/>
      <c r="BM114" s="213"/>
      <c r="BN114" s="213"/>
      <c r="BO114" s="213"/>
      <c r="BP114" s="213"/>
      <c r="BQ114" s="213"/>
      <c r="BR114" s="213"/>
      <c r="BS114" s="213"/>
      <c r="BT114" s="213"/>
      <c r="BU114" s="213"/>
      <c r="BV114" s="213"/>
      <c r="BW114" s="213"/>
      <c r="BX114" s="213"/>
    </row>
    <row r="115" spans="1:76" s="126" customFormat="1" ht="11.25" customHeight="1" x14ac:dyDescent="0.2">
      <c r="A115" s="5"/>
      <c r="B115" s="5"/>
      <c r="C115" s="5"/>
      <c r="D115" s="5"/>
      <c r="E115" s="5"/>
      <c r="F115" s="5"/>
      <c r="G115" s="5"/>
      <c r="H115" s="5"/>
      <c r="I115" s="5"/>
      <c r="J115" s="5"/>
      <c r="K115" s="5"/>
      <c r="L115" s="213"/>
      <c r="M115" s="213"/>
      <c r="N115" s="213"/>
      <c r="O115" s="213"/>
      <c r="P115" s="213"/>
      <c r="Q115" s="5"/>
      <c r="R115" s="5"/>
      <c r="S115" s="5"/>
      <c r="T115" s="5"/>
      <c r="U115" s="5"/>
      <c r="V115" s="5"/>
      <c r="W115" s="5"/>
      <c r="X115" s="5"/>
      <c r="Y115" s="213"/>
      <c r="Z115" s="213"/>
      <c r="AA115" s="213"/>
      <c r="AB115" s="213"/>
      <c r="AC115" s="213"/>
      <c r="AD115" s="213"/>
      <c r="AE115" s="213"/>
      <c r="AF115" s="213"/>
      <c r="AG115" s="213"/>
      <c r="AH115" s="213"/>
      <c r="AI115" s="213"/>
      <c r="AJ115" s="213"/>
      <c r="AK115" s="213"/>
      <c r="AL115" s="213"/>
      <c r="AM115" s="213"/>
      <c r="AN115" s="213"/>
      <c r="AO115" s="213"/>
      <c r="AP115" s="213"/>
      <c r="AQ115" s="213"/>
      <c r="AR115" s="213"/>
      <c r="AS115" s="213"/>
      <c r="AT115" s="213"/>
      <c r="AU115" s="213"/>
      <c r="AV115" s="213"/>
      <c r="AW115" s="213"/>
      <c r="AX115" s="213"/>
      <c r="AY115" s="213"/>
      <c r="AZ115" s="213"/>
      <c r="BA115" s="213"/>
      <c r="BB115" s="213"/>
      <c r="BC115" s="213"/>
      <c r="BD115" s="213"/>
      <c r="BE115" s="213"/>
      <c r="BF115" s="213"/>
      <c r="BG115" s="213"/>
      <c r="BH115" s="213"/>
      <c r="BI115" s="213"/>
      <c r="BJ115" s="213"/>
      <c r="BK115" s="213"/>
      <c r="BL115" s="213"/>
      <c r="BM115" s="213"/>
      <c r="BN115" s="213"/>
      <c r="BO115" s="213"/>
      <c r="BP115" s="213"/>
      <c r="BQ115" s="213"/>
      <c r="BR115" s="213"/>
      <c r="BS115" s="213"/>
      <c r="BT115" s="213"/>
      <c r="BU115" s="213"/>
      <c r="BV115" s="213"/>
      <c r="BW115" s="213"/>
      <c r="BX115" s="213"/>
    </row>
    <row r="116" spans="1:76" s="126" customFormat="1" ht="11.25" customHeight="1" x14ac:dyDescent="0.2">
      <c r="A116" s="5"/>
      <c r="B116" s="5"/>
      <c r="C116" s="5"/>
      <c r="D116" s="5"/>
      <c r="E116" s="5"/>
      <c r="F116" s="5"/>
      <c r="G116" s="5"/>
      <c r="H116" s="5"/>
      <c r="I116" s="5"/>
      <c r="J116" s="5"/>
      <c r="K116" s="5"/>
      <c r="L116" s="213"/>
      <c r="M116" s="213"/>
      <c r="N116" s="213"/>
      <c r="O116" s="213"/>
      <c r="P116" s="213"/>
      <c r="Q116" s="5"/>
      <c r="R116" s="5"/>
      <c r="S116" s="5"/>
      <c r="T116" s="5"/>
      <c r="U116" s="5"/>
      <c r="V116" s="5"/>
      <c r="W116" s="5"/>
      <c r="X116" s="5"/>
      <c r="Y116" s="213"/>
      <c r="Z116" s="213"/>
      <c r="AA116" s="213"/>
      <c r="AB116" s="213"/>
      <c r="AC116" s="213"/>
      <c r="AD116" s="213"/>
      <c r="AE116" s="213"/>
      <c r="AF116" s="213"/>
      <c r="AG116" s="213"/>
      <c r="AH116" s="213"/>
      <c r="AI116" s="213"/>
      <c r="AJ116" s="213"/>
      <c r="AK116" s="213"/>
      <c r="AL116" s="213"/>
      <c r="AM116" s="213"/>
      <c r="AN116" s="213"/>
      <c r="AO116" s="213"/>
      <c r="AP116" s="213"/>
      <c r="AQ116" s="213"/>
      <c r="AR116" s="213"/>
      <c r="AS116" s="213"/>
      <c r="AT116" s="213"/>
      <c r="AU116" s="213"/>
      <c r="AV116" s="213"/>
      <c r="AW116" s="213"/>
      <c r="AX116" s="213"/>
      <c r="AY116" s="213"/>
      <c r="AZ116" s="213"/>
      <c r="BA116" s="213"/>
      <c r="BB116" s="213"/>
      <c r="BC116" s="213"/>
      <c r="BD116" s="213"/>
      <c r="BE116" s="213"/>
      <c r="BF116" s="213"/>
      <c r="BG116" s="213"/>
      <c r="BH116" s="213"/>
      <c r="BI116" s="213"/>
      <c r="BJ116" s="213"/>
      <c r="BK116" s="213"/>
      <c r="BL116" s="213"/>
      <c r="BM116" s="213"/>
      <c r="BN116" s="213"/>
      <c r="BO116" s="213"/>
      <c r="BP116" s="213"/>
      <c r="BQ116" s="213"/>
      <c r="BR116" s="213"/>
      <c r="BS116" s="213"/>
      <c r="BT116" s="213"/>
      <c r="BU116" s="213"/>
      <c r="BV116" s="213"/>
      <c r="BW116" s="213"/>
      <c r="BX116" s="213"/>
    </row>
    <row r="117" spans="1:76" s="126" customFormat="1" ht="11.25" customHeight="1" x14ac:dyDescent="0.2">
      <c r="A117" s="5"/>
      <c r="B117" s="5"/>
      <c r="C117" s="5"/>
      <c r="D117" s="5"/>
      <c r="E117" s="5"/>
      <c r="F117" s="5"/>
      <c r="G117" s="5"/>
      <c r="H117" s="5"/>
      <c r="I117" s="5"/>
      <c r="J117" s="5"/>
      <c r="K117" s="5"/>
      <c r="L117" s="213"/>
      <c r="M117" s="213"/>
      <c r="N117" s="213"/>
      <c r="O117" s="213"/>
      <c r="P117" s="213"/>
      <c r="Q117" s="5"/>
      <c r="R117" s="5"/>
      <c r="S117" s="5"/>
      <c r="T117" s="5"/>
      <c r="U117" s="5"/>
      <c r="V117" s="5"/>
      <c r="W117" s="5"/>
      <c r="X117" s="5"/>
      <c r="Y117" s="213"/>
      <c r="Z117" s="213"/>
      <c r="AA117" s="213"/>
      <c r="AB117" s="213"/>
      <c r="AC117" s="213"/>
      <c r="AD117" s="213"/>
      <c r="AE117" s="213"/>
      <c r="AF117" s="213"/>
      <c r="AG117" s="213"/>
      <c r="AH117" s="213"/>
      <c r="AI117" s="213"/>
      <c r="AJ117" s="213"/>
      <c r="AK117" s="213"/>
      <c r="AL117" s="213"/>
      <c r="AM117" s="213"/>
      <c r="AN117" s="213"/>
      <c r="AO117" s="213"/>
      <c r="AP117" s="213"/>
      <c r="AQ117" s="213"/>
      <c r="AR117" s="213"/>
      <c r="AS117" s="213"/>
      <c r="AT117" s="213"/>
      <c r="AU117" s="213"/>
      <c r="AV117" s="213"/>
      <c r="AW117" s="213"/>
      <c r="AX117" s="213"/>
      <c r="AY117" s="213"/>
      <c r="AZ117" s="213"/>
      <c r="BA117" s="213"/>
      <c r="BB117" s="213"/>
      <c r="BC117" s="213"/>
      <c r="BD117" s="213"/>
      <c r="BE117" s="213"/>
      <c r="BF117" s="213"/>
      <c r="BG117" s="213"/>
      <c r="BH117" s="213"/>
      <c r="BI117" s="213"/>
      <c r="BJ117" s="213"/>
      <c r="BK117" s="213"/>
      <c r="BL117" s="213"/>
      <c r="BM117" s="213"/>
      <c r="BN117" s="213"/>
      <c r="BO117" s="213"/>
      <c r="BP117" s="213"/>
      <c r="BQ117" s="213"/>
      <c r="BR117" s="213"/>
      <c r="BS117" s="213"/>
      <c r="BT117" s="213"/>
      <c r="BU117" s="213"/>
      <c r="BV117" s="213"/>
      <c r="BW117" s="213"/>
      <c r="BX117" s="213"/>
    </row>
    <row r="118" spans="1:76" s="126" customFormat="1" ht="11.25" customHeight="1" x14ac:dyDescent="0.2">
      <c r="A118" s="5"/>
      <c r="B118" s="5"/>
      <c r="C118" s="5"/>
      <c r="D118" s="5"/>
      <c r="E118" s="5"/>
      <c r="F118" s="5"/>
      <c r="G118" s="5"/>
      <c r="H118" s="5"/>
      <c r="I118" s="5"/>
      <c r="J118" s="5"/>
      <c r="K118" s="5"/>
      <c r="L118" s="213"/>
      <c r="M118" s="213"/>
      <c r="N118" s="213"/>
      <c r="O118" s="213"/>
      <c r="P118" s="213"/>
      <c r="Q118" s="5"/>
      <c r="R118" s="5"/>
      <c r="S118" s="5"/>
      <c r="T118" s="5"/>
      <c r="U118" s="5"/>
      <c r="V118" s="5"/>
      <c r="W118" s="5"/>
      <c r="X118" s="5"/>
      <c r="Y118" s="213"/>
      <c r="Z118" s="213"/>
      <c r="AA118" s="213"/>
      <c r="AB118" s="213"/>
      <c r="AC118" s="213"/>
      <c r="AD118" s="213"/>
      <c r="AE118" s="213"/>
      <c r="AF118" s="213"/>
      <c r="AG118" s="213"/>
      <c r="AH118" s="213"/>
      <c r="AI118" s="213"/>
      <c r="AJ118" s="213"/>
      <c r="AK118" s="213"/>
      <c r="AL118" s="213"/>
      <c r="AM118" s="213"/>
      <c r="AN118" s="213"/>
      <c r="AO118" s="213"/>
      <c r="AP118" s="213"/>
      <c r="AQ118" s="213"/>
      <c r="AR118" s="213"/>
      <c r="AS118" s="213"/>
      <c r="AT118" s="213"/>
      <c r="AU118" s="213"/>
      <c r="AV118" s="213"/>
      <c r="AW118" s="213"/>
      <c r="AX118" s="213"/>
      <c r="AY118" s="213"/>
      <c r="AZ118" s="213"/>
      <c r="BA118" s="213"/>
      <c r="BB118" s="213"/>
      <c r="BC118" s="213"/>
      <c r="BD118" s="213"/>
      <c r="BE118" s="213"/>
      <c r="BF118" s="213"/>
      <c r="BG118" s="213"/>
      <c r="BH118" s="213"/>
      <c r="BI118" s="213"/>
      <c r="BJ118" s="213"/>
      <c r="BK118" s="213"/>
      <c r="BL118" s="213"/>
      <c r="BM118" s="213"/>
      <c r="BN118" s="213"/>
      <c r="BO118" s="213"/>
      <c r="BP118" s="213"/>
      <c r="BQ118" s="213"/>
      <c r="BR118" s="213"/>
      <c r="BS118" s="213"/>
      <c r="BT118" s="213"/>
      <c r="BU118" s="213"/>
      <c r="BV118" s="213"/>
      <c r="BW118" s="213"/>
      <c r="BX118" s="213"/>
    </row>
    <row r="119" spans="1:76" s="126" customFormat="1" ht="11.25" customHeight="1" x14ac:dyDescent="0.2">
      <c r="A119" s="5"/>
      <c r="B119" s="5"/>
      <c r="C119" s="5"/>
      <c r="D119" s="5"/>
      <c r="E119" s="5"/>
      <c r="F119" s="5"/>
      <c r="G119" s="5"/>
      <c r="H119" s="5"/>
      <c r="I119" s="5"/>
      <c r="J119" s="5"/>
      <c r="K119" s="5"/>
      <c r="L119" s="213"/>
      <c r="M119" s="213"/>
      <c r="N119" s="213"/>
      <c r="O119" s="213"/>
      <c r="P119" s="213"/>
      <c r="Q119" s="5"/>
      <c r="R119" s="5"/>
      <c r="S119" s="5"/>
      <c r="T119" s="5"/>
      <c r="U119" s="5"/>
      <c r="V119" s="5"/>
      <c r="W119" s="5"/>
      <c r="X119" s="5"/>
      <c r="Y119" s="213"/>
      <c r="Z119" s="213"/>
      <c r="AA119" s="213"/>
      <c r="AB119" s="213"/>
      <c r="AC119" s="213"/>
      <c r="AD119" s="213"/>
      <c r="AE119" s="213"/>
      <c r="AF119" s="213"/>
      <c r="AG119" s="213"/>
      <c r="AH119" s="213"/>
      <c r="AI119" s="213"/>
      <c r="AJ119" s="213"/>
      <c r="AK119" s="213"/>
      <c r="AL119" s="213"/>
      <c r="AM119" s="213"/>
      <c r="AN119" s="213"/>
      <c r="AO119" s="213"/>
      <c r="AP119" s="213"/>
      <c r="AQ119" s="213"/>
      <c r="AR119" s="213"/>
      <c r="AS119" s="213"/>
      <c r="AT119" s="213"/>
      <c r="AU119" s="213"/>
      <c r="AV119" s="213"/>
      <c r="AW119" s="213"/>
      <c r="AX119" s="213"/>
      <c r="AY119" s="213"/>
      <c r="AZ119" s="213"/>
      <c r="BA119" s="213"/>
      <c r="BB119" s="213"/>
      <c r="BC119" s="213"/>
      <c r="BD119" s="213"/>
      <c r="BE119" s="213"/>
      <c r="BF119" s="213"/>
      <c r="BG119" s="213"/>
      <c r="BH119" s="213"/>
      <c r="BI119" s="213"/>
      <c r="BJ119" s="213"/>
      <c r="BK119" s="213"/>
      <c r="BL119" s="213"/>
      <c r="BM119" s="213"/>
      <c r="BN119" s="213"/>
      <c r="BO119" s="213"/>
      <c r="BP119" s="213"/>
      <c r="BQ119" s="213"/>
      <c r="BR119" s="213"/>
      <c r="BS119" s="213"/>
      <c r="BT119" s="213"/>
      <c r="BU119" s="213"/>
      <c r="BV119" s="213"/>
      <c r="BW119" s="213"/>
      <c r="BX119" s="213"/>
    </row>
    <row r="120" spans="1:76" s="126" customFormat="1" ht="11.25" customHeight="1" x14ac:dyDescent="0.2">
      <c r="A120" s="5"/>
      <c r="B120" s="5"/>
      <c r="C120" s="5"/>
      <c r="D120" s="5"/>
      <c r="E120" s="5"/>
      <c r="F120" s="5"/>
      <c r="G120" s="5"/>
      <c r="H120" s="5"/>
      <c r="I120" s="5"/>
      <c r="J120" s="5"/>
      <c r="K120" s="5"/>
      <c r="L120" s="213"/>
      <c r="M120" s="213"/>
      <c r="N120" s="213"/>
      <c r="O120" s="213"/>
      <c r="P120" s="213"/>
      <c r="Q120" s="5"/>
      <c r="R120" s="5"/>
      <c r="S120" s="5"/>
      <c r="T120" s="5"/>
      <c r="U120" s="5"/>
      <c r="V120" s="5"/>
      <c r="W120" s="5"/>
      <c r="X120" s="5"/>
      <c r="Y120" s="213"/>
      <c r="Z120" s="213"/>
      <c r="AA120" s="213"/>
      <c r="AB120" s="213"/>
      <c r="AC120" s="213"/>
      <c r="AD120" s="213"/>
      <c r="AE120" s="213"/>
      <c r="AF120" s="213"/>
      <c r="AG120" s="213"/>
      <c r="AH120" s="213"/>
      <c r="AI120" s="213"/>
      <c r="AJ120" s="213"/>
      <c r="AK120" s="213"/>
      <c r="AL120" s="213"/>
      <c r="AM120" s="213"/>
      <c r="AN120" s="213"/>
      <c r="AO120" s="213"/>
      <c r="AP120" s="213"/>
      <c r="AQ120" s="213"/>
      <c r="AR120" s="213"/>
      <c r="AS120" s="213"/>
      <c r="AT120" s="213"/>
      <c r="AU120" s="213"/>
      <c r="AV120" s="213"/>
      <c r="AW120" s="213"/>
      <c r="AX120" s="213"/>
      <c r="AY120" s="213"/>
      <c r="AZ120" s="213"/>
      <c r="BA120" s="213"/>
      <c r="BB120" s="213"/>
      <c r="BC120" s="213"/>
      <c r="BD120" s="213"/>
      <c r="BE120" s="213"/>
      <c r="BF120" s="213"/>
      <c r="BG120" s="213"/>
      <c r="BH120" s="213"/>
      <c r="BI120" s="213"/>
      <c r="BJ120" s="213"/>
      <c r="BK120" s="213"/>
      <c r="BL120" s="213"/>
      <c r="BM120" s="213"/>
      <c r="BN120" s="213"/>
      <c r="BO120" s="213"/>
      <c r="BP120" s="213"/>
      <c r="BQ120" s="213"/>
      <c r="BR120" s="213"/>
      <c r="BS120" s="213"/>
      <c r="BT120" s="213"/>
      <c r="BU120" s="213"/>
      <c r="BV120" s="213"/>
      <c r="BW120" s="213"/>
      <c r="BX120" s="213"/>
    </row>
    <row r="121" spans="1:76" s="126" customFormat="1" ht="11.25" customHeight="1" x14ac:dyDescent="0.2">
      <c r="A121" s="5"/>
      <c r="B121" s="5"/>
      <c r="C121" s="5"/>
      <c r="D121" s="5"/>
      <c r="E121" s="5"/>
      <c r="F121" s="5"/>
      <c r="G121" s="5"/>
      <c r="H121" s="5"/>
      <c r="I121" s="5"/>
      <c r="J121" s="5"/>
      <c r="K121" s="5"/>
      <c r="L121" s="213"/>
      <c r="M121" s="213"/>
      <c r="N121" s="213"/>
      <c r="O121" s="213"/>
      <c r="P121" s="213"/>
      <c r="Q121" s="5"/>
      <c r="R121" s="5"/>
      <c r="S121" s="5"/>
      <c r="T121" s="5"/>
      <c r="U121" s="5"/>
      <c r="V121" s="5"/>
      <c r="W121" s="5"/>
      <c r="X121" s="5"/>
      <c r="Y121" s="213"/>
      <c r="Z121" s="213"/>
      <c r="AA121" s="213"/>
      <c r="AB121" s="213"/>
      <c r="AC121" s="213"/>
      <c r="AD121" s="213"/>
      <c r="AE121" s="213"/>
      <c r="AF121" s="213"/>
      <c r="AG121" s="213"/>
      <c r="AH121" s="213"/>
      <c r="AI121" s="213"/>
      <c r="AJ121" s="213"/>
      <c r="AK121" s="213"/>
      <c r="AL121" s="213"/>
      <c r="AM121" s="213"/>
      <c r="AN121" s="213"/>
      <c r="AO121" s="213"/>
      <c r="AP121" s="213"/>
      <c r="AQ121" s="213"/>
      <c r="AR121" s="213"/>
      <c r="AS121" s="213"/>
      <c r="AT121" s="213"/>
      <c r="AU121" s="213"/>
      <c r="AV121" s="213"/>
      <c r="AW121" s="213"/>
      <c r="AX121" s="213"/>
      <c r="AY121" s="213"/>
      <c r="AZ121" s="213"/>
      <c r="BA121" s="213"/>
      <c r="BB121" s="213"/>
      <c r="BC121" s="213"/>
      <c r="BD121" s="213"/>
      <c r="BE121" s="213"/>
      <c r="BF121" s="213"/>
      <c r="BG121" s="213"/>
      <c r="BH121" s="213"/>
      <c r="BI121" s="213"/>
      <c r="BJ121" s="213"/>
      <c r="BK121" s="213"/>
      <c r="BL121" s="213"/>
      <c r="BM121" s="213"/>
      <c r="BN121" s="213"/>
      <c r="BO121" s="213"/>
      <c r="BP121" s="213"/>
      <c r="BQ121" s="213"/>
      <c r="BR121" s="213"/>
      <c r="BS121" s="213"/>
      <c r="BT121" s="213"/>
      <c r="BU121" s="213"/>
      <c r="BV121" s="213"/>
      <c r="BW121" s="213"/>
      <c r="BX121" s="213"/>
    </row>
    <row r="122" spans="1:76" s="126" customFormat="1" ht="11.25" customHeight="1" x14ac:dyDescent="0.2">
      <c r="A122" s="5"/>
      <c r="B122" s="5"/>
      <c r="C122" s="5"/>
      <c r="D122" s="5"/>
      <c r="E122" s="5"/>
      <c r="F122" s="5"/>
      <c r="G122" s="5"/>
      <c r="H122" s="5"/>
      <c r="I122" s="5"/>
      <c r="J122" s="5"/>
      <c r="K122" s="5"/>
      <c r="L122" s="213"/>
      <c r="M122" s="213"/>
      <c r="N122" s="213"/>
      <c r="O122" s="213"/>
      <c r="P122" s="213"/>
      <c r="Q122" s="5"/>
      <c r="R122" s="5"/>
      <c r="S122" s="5"/>
      <c r="T122" s="5"/>
      <c r="U122" s="5"/>
      <c r="V122" s="5"/>
      <c r="W122" s="5"/>
      <c r="X122" s="5"/>
      <c r="Y122" s="213"/>
      <c r="Z122" s="213"/>
      <c r="AA122" s="213"/>
      <c r="AB122" s="213"/>
      <c r="AC122" s="213"/>
      <c r="AD122" s="213"/>
      <c r="AE122" s="213"/>
      <c r="AF122" s="213"/>
      <c r="AG122" s="213"/>
      <c r="AH122" s="213"/>
      <c r="AI122" s="213"/>
      <c r="AJ122" s="213"/>
      <c r="AK122" s="213"/>
      <c r="AL122" s="213"/>
      <c r="AM122" s="213"/>
      <c r="AN122" s="213"/>
      <c r="AO122" s="213"/>
      <c r="AP122" s="213"/>
      <c r="AQ122" s="213"/>
      <c r="AR122" s="213"/>
      <c r="AS122" s="213"/>
      <c r="AT122" s="213"/>
      <c r="AU122" s="213"/>
      <c r="AV122" s="213"/>
      <c r="AW122" s="213"/>
      <c r="AX122" s="213"/>
      <c r="AY122" s="213"/>
      <c r="AZ122" s="213"/>
      <c r="BA122" s="213"/>
      <c r="BB122" s="213"/>
      <c r="BC122" s="213"/>
      <c r="BD122" s="213"/>
      <c r="BE122" s="213"/>
      <c r="BF122" s="213"/>
      <c r="BG122" s="213"/>
      <c r="BH122" s="213"/>
      <c r="BI122" s="213"/>
      <c r="BJ122" s="213"/>
      <c r="BK122" s="213"/>
      <c r="BL122" s="213"/>
      <c r="BM122" s="213"/>
      <c r="BN122" s="213"/>
      <c r="BO122" s="213"/>
      <c r="BP122" s="213"/>
      <c r="BQ122" s="213"/>
      <c r="BR122" s="213"/>
      <c r="BS122" s="213"/>
      <c r="BT122" s="213"/>
      <c r="BU122" s="213"/>
      <c r="BV122" s="213"/>
      <c r="BW122" s="213"/>
      <c r="BX122" s="213"/>
    </row>
    <row r="123" spans="1:76" s="126" customFormat="1" ht="11.25" customHeight="1" x14ac:dyDescent="0.2">
      <c r="A123" s="5"/>
      <c r="B123" s="5"/>
      <c r="C123" s="5"/>
      <c r="D123" s="5"/>
      <c r="E123" s="5"/>
      <c r="F123" s="5"/>
      <c r="G123" s="5"/>
      <c r="H123" s="5"/>
      <c r="I123" s="5"/>
      <c r="J123" s="5"/>
      <c r="K123" s="5"/>
      <c r="L123" s="213"/>
      <c r="M123" s="213"/>
      <c r="N123" s="213"/>
      <c r="O123" s="213"/>
      <c r="P123" s="213"/>
      <c r="Q123" s="5"/>
      <c r="R123" s="5"/>
      <c r="S123" s="5"/>
      <c r="T123" s="5"/>
      <c r="U123" s="5"/>
      <c r="V123" s="5"/>
      <c r="W123" s="5"/>
      <c r="X123" s="5"/>
      <c r="Y123" s="213"/>
      <c r="Z123" s="213"/>
      <c r="AA123" s="213"/>
      <c r="AB123" s="213"/>
      <c r="AC123" s="213"/>
      <c r="AD123" s="213"/>
      <c r="AE123" s="213"/>
      <c r="AF123" s="213"/>
      <c r="AG123" s="213"/>
      <c r="AH123" s="213"/>
      <c r="AI123" s="213"/>
      <c r="AJ123" s="213"/>
      <c r="AK123" s="213"/>
      <c r="AL123" s="213"/>
      <c r="AM123" s="213"/>
      <c r="AN123" s="213"/>
      <c r="AO123" s="213"/>
      <c r="AP123" s="213"/>
      <c r="AQ123" s="213"/>
      <c r="AR123" s="213"/>
      <c r="AS123" s="213"/>
      <c r="AT123" s="213"/>
      <c r="AU123" s="213"/>
      <c r="AV123" s="213"/>
      <c r="AW123" s="213"/>
      <c r="AX123" s="213"/>
      <c r="AY123" s="213"/>
      <c r="AZ123" s="213"/>
      <c r="BA123" s="213"/>
      <c r="BB123" s="213"/>
      <c r="BC123" s="213"/>
      <c r="BD123" s="213"/>
      <c r="BE123" s="213"/>
      <c r="BF123" s="213"/>
      <c r="BG123" s="213"/>
      <c r="BH123" s="213"/>
      <c r="BI123" s="213"/>
      <c r="BJ123" s="213"/>
      <c r="BK123" s="213"/>
      <c r="BL123" s="213"/>
      <c r="BM123" s="213"/>
      <c r="BN123" s="213"/>
      <c r="BO123" s="213"/>
      <c r="BP123" s="213"/>
      <c r="BQ123" s="213"/>
      <c r="BR123" s="213"/>
      <c r="BS123" s="213"/>
      <c r="BT123" s="213"/>
      <c r="BU123" s="213"/>
      <c r="BV123" s="213"/>
      <c r="BW123" s="213"/>
      <c r="BX123" s="213"/>
    </row>
    <row r="124" spans="1:76" s="126" customFormat="1" ht="11.25" customHeight="1" x14ac:dyDescent="0.2">
      <c r="A124" s="5"/>
      <c r="B124" s="5"/>
      <c r="C124" s="5"/>
      <c r="D124" s="5"/>
      <c r="E124" s="5"/>
      <c r="F124" s="5"/>
      <c r="G124" s="5"/>
      <c r="H124" s="5"/>
      <c r="I124" s="5"/>
      <c r="J124" s="5"/>
      <c r="K124" s="5"/>
      <c r="L124" s="213"/>
      <c r="M124" s="213"/>
      <c r="N124" s="213"/>
      <c r="O124" s="213"/>
      <c r="P124" s="213"/>
      <c r="Q124" s="5"/>
      <c r="R124" s="5"/>
      <c r="S124" s="5"/>
      <c r="T124" s="5"/>
      <c r="U124" s="5"/>
      <c r="V124" s="5"/>
      <c r="W124" s="5"/>
      <c r="X124" s="5"/>
      <c r="Y124" s="213"/>
      <c r="Z124" s="213"/>
      <c r="AA124" s="213"/>
      <c r="AB124" s="213"/>
      <c r="AC124" s="213"/>
      <c r="AD124" s="213"/>
      <c r="AE124" s="213"/>
      <c r="AF124" s="213"/>
      <c r="AG124" s="213"/>
      <c r="AH124" s="213"/>
      <c r="AI124" s="213"/>
      <c r="AJ124" s="213"/>
      <c r="AK124" s="213"/>
      <c r="AL124" s="213"/>
      <c r="AM124" s="213"/>
      <c r="AN124" s="213"/>
      <c r="AO124" s="213"/>
      <c r="AP124" s="213"/>
      <c r="AQ124" s="213"/>
      <c r="AR124" s="213"/>
      <c r="AS124" s="213"/>
      <c r="AT124" s="213"/>
      <c r="AU124" s="213"/>
      <c r="AV124" s="213"/>
      <c r="AW124" s="213"/>
      <c r="AX124" s="213"/>
      <c r="AY124" s="213"/>
      <c r="AZ124" s="213"/>
      <c r="BA124" s="213"/>
      <c r="BB124" s="213"/>
      <c r="BC124" s="213"/>
      <c r="BD124" s="213"/>
      <c r="BE124" s="213"/>
      <c r="BF124" s="213"/>
      <c r="BG124" s="213"/>
      <c r="BH124" s="213"/>
      <c r="BI124" s="213"/>
      <c r="BJ124" s="213"/>
      <c r="BK124" s="213"/>
      <c r="BL124" s="213"/>
      <c r="BM124" s="213"/>
      <c r="BN124" s="213"/>
      <c r="BO124" s="213"/>
      <c r="BP124" s="213"/>
      <c r="BQ124" s="213"/>
      <c r="BR124" s="213"/>
      <c r="BS124" s="213"/>
      <c r="BT124" s="213"/>
      <c r="BU124" s="213"/>
      <c r="BV124" s="213"/>
      <c r="BW124" s="213"/>
      <c r="BX124" s="213"/>
    </row>
    <row r="125" spans="1:76" s="126" customFormat="1" ht="11.25" customHeight="1" x14ac:dyDescent="0.2">
      <c r="A125" s="5"/>
      <c r="B125" s="5"/>
      <c r="C125" s="5"/>
      <c r="D125" s="5"/>
      <c r="E125" s="5"/>
      <c r="F125" s="5"/>
      <c r="G125" s="5"/>
      <c r="H125" s="5"/>
      <c r="I125" s="5"/>
      <c r="J125" s="5"/>
      <c r="K125" s="5"/>
      <c r="L125" s="213"/>
      <c r="M125" s="213"/>
      <c r="N125" s="213"/>
      <c r="O125" s="213"/>
      <c r="P125" s="213"/>
      <c r="Q125" s="5"/>
      <c r="R125" s="5"/>
      <c r="S125" s="5"/>
      <c r="T125" s="5"/>
      <c r="U125" s="5"/>
      <c r="V125" s="5"/>
      <c r="W125" s="5"/>
      <c r="X125" s="5"/>
      <c r="Y125" s="213"/>
      <c r="Z125" s="213"/>
      <c r="AA125" s="213"/>
      <c r="AB125" s="213"/>
      <c r="AC125" s="213"/>
      <c r="AD125" s="213"/>
      <c r="AE125" s="213"/>
      <c r="AF125" s="213"/>
      <c r="AG125" s="213"/>
      <c r="AH125" s="213"/>
      <c r="AI125" s="213"/>
      <c r="AJ125" s="213"/>
      <c r="AK125" s="213"/>
      <c r="AL125" s="213"/>
      <c r="AM125" s="213"/>
      <c r="AN125" s="213"/>
      <c r="AO125" s="213"/>
      <c r="AP125" s="213"/>
      <c r="AQ125" s="213"/>
      <c r="AR125" s="213"/>
      <c r="AS125" s="213"/>
      <c r="AT125" s="213"/>
      <c r="AU125" s="213"/>
      <c r="AV125" s="213"/>
      <c r="AW125" s="213"/>
      <c r="AX125" s="213"/>
      <c r="AY125" s="213"/>
      <c r="AZ125" s="213"/>
      <c r="BA125" s="213"/>
      <c r="BB125" s="213"/>
      <c r="BC125" s="213"/>
      <c r="BD125" s="213"/>
      <c r="BE125" s="213"/>
      <c r="BF125" s="213"/>
      <c r="BG125" s="213"/>
      <c r="BH125" s="213"/>
      <c r="BI125" s="213"/>
      <c r="BJ125" s="213"/>
      <c r="BK125" s="213"/>
      <c r="BL125" s="213"/>
      <c r="BM125" s="213"/>
      <c r="BN125" s="213"/>
      <c r="BO125" s="213"/>
      <c r="BP125" s="213"/>
      <c r="BQ125" s="213"/>
      <c r="BR125" s="213"/>
      <c r="BS125" s="213"/>
      <c r="BT125" s="213"/>
      <c r="BU125" s="213"/>
      <c r="BV125" s="213"/>
      <c r="BW125" s="213"/>
      <c r="BX125" s="213"/>
    </row>
    <row r="126" spans="1:76" s="126" customFormat="1" ht="11.25" customHeight="1" x14ac:dyDescent="0.2">
      <c r="A126" s="5"/>
      <c r="B126" s="5"/>
      <c r="C126" s="5"/>
      <c r="D126" s="5"/>
      <c r="E126" s="5"/>
      <c r="F126" s="5"/>
      <c r="G126" s="5"/>
      <c r="H126" s="5"/>
      <c r="I126" s="5"/>
      <c r="J126" s="5"/>
      <c r="K126" s="5"/>
      <c r="L126" s="213"/>
      <c r="M126" s="213"/>
      <c r="N126" s="213"/>
      <c r="O126" s="213"/>
      <c r="P126" s="213"/>
      <c r="Q126" s="5"/>
      <c r="R126" s="5"/>
      <c r="S126" s="5"/>
      <c r="T126" s="5"/>
      <c r="U126" s="5"/>
      <c r="V126" s="5"/>
      <c r="W126" s="5"/>
      <c r="X126" s="5"/>
      <c r="Y126" s="213"/>
      <c r="Z126" s="213"/>
      <c r="AA126" s="213"/>
      <c r="AB126" s="213"/>
      <c r="AC126" s="213"/>
      <c r="AD126" s="213"/>
      <c r="AE126" s="213"/>
      <c r="AF126" s="213"/>
      <c r="AG126" s="213"/>
      <c r="AH126" s="213"/>
      <c r="AI126" s="213"/>
      <c r="AJ126" s="213"/>
      <c r="AK126" s="213"/>
      <c r="AL126" s="213"/>
      <c r="AM126" s="213"/>
      <c r="AN126" s="213"/>
      <c r="AO126" s="213"/>
      <c r="AP126" s="213"/>
      <c r="AQ126" s="213"/>
      <c r="AR126" s="213"/>
      <c r="AS126" s="213"/>
      <c r="AT126" s="213"/>
      <c r="AU126" s="213"/>
      <c r="AV126" s="213"/>
      <c r="AW126" s="213"/>
      <c r="AX126" s="213"/>
      <c r="AY126" s="213"/>
      <c r="AZ126" s="213"/>
      <c r="BA126" s="213"/>
      <c r="BB126" s="213"/>
      <c r="BC126" s="213"/>
      <c r="BD126" s="213"/>
      <c r="BE126" s="213"/>
      <c r="BF126" s="213"/>
      <c r="BG126" s="213"/>
      <c r="BH126" s="213"/>
      <c r="BI126" s="213"/>
      <c r="BJ126" s="213"/>
      <c r="BK126" s="213"/>
      <c r="BL126" s="213"/>
      <c r="BM126" s="213"/>
      <c r="BN126" s="213"/>
      <c r="BO126" s="213"/>
      <c r="BP126" s="213"/>
      <c r="BQ126" s="213"/>
      <c r="BR126" s="213"/>
      <c r="BS126" s="213"/>
      <c r="BT126" s="213"/>
      <c r="BU126" s="213"/>
      <c r="BV126" s="213"/>
      <c r="BW126" s="213"/>
      <c r="BX126" s="213"/>
    </row>
    <row r="127" spans="1:76" s="126" customFormat="1" ht="11.25" customHeight="1" x14ac:dyDescent="0.2">
      <c r="A127" s="5"/>
      <c r="B127" s="5"/>
      <c r="C127" s="5"/>
      <c r="D127" s="5"/>
      <c r="E127" s="5"/>
      <c r="F127" s="5"/>
      <c r="G127" s="5"/>
      <c r="H127" s="5"/>
      <c r="I127" s="5"/>
      <c r="J127" s="5"/>
      <c r="K127" s="5"/>
      <c r="L127" s="213"/>
      <c r="M127" s="213"/>
      <c r="N127" s="213"/>
      <c r="O127" s="213"/>
      <c r="P127" s="213"/>
      <c r="Q127" s="5"/>
      <c r="R127" s="5"/>
      <c r="S127" s="5"/>
      <c r="T127" s="5"/>
      <c r="U127" s="5"/>
      <c r="V127" s="5"/>
      <c r="W127" s="5"/>
      <c r="X127" s="5"/>
      <c r="Y127" s="213"/>
      <c r="Z127" s="213"/>
      <c r="AA127" s="213"/>
      <c r="AB127" s="213"/>
      <c r="AC127" s="213"/>
      <c r="AD127" s="213"/>
      <c r="AE127" s="213"/>
      <c r="AF127" s="213"/>
      <c r="AG127" s="213"/>
      <c r="AH127" s="213"/>
      <c r="AI127" s="213"/>
      <c r="AJ127" s="213"/>
      <c r="AK127" s="213"/>
      <c r="AL127" s="213"/>
      <c r="AM127" s="213"/>
      <c r="AN127" s="213"/>
      <c r="AO127" s="213"/>
      <c r="AP127" s="213"/>
      <c r="AQ127" s="213"/>
      <c r="AR127" s="213"/>
      <c r="AS127" s="213"/>
      <c r="AT127" s="213"/>
      <c r="AU127" s="213"/>
      <c r="AV127" s="213"/>
      <c r="AW127" s="213"/>
      <c r="AX127" s="213"/>
      <c r="AY127" s="213"/>
      <c r="AZ127" s="213"/>
      <c r="BA127" s="213"/>
      <c r="BB127" s="213"/>
      <c r="BC127" s="213"/>
      <c r="BD127" s="213"/>
      <c r="BE127" s="213"/>
      <c r="BF127" s="213"/>
      <c r="BG127" s="213"/>
      <c r="BH127" s="213"/>
      <c r="BI127" s="213"/>
      <c r="BJ127" s="213"/>
      <c r="BK127" s="213"/>
      <c r="BL127" s="213"/>
      <c r="BM127" s="213"/>
      <c r="BN127" s="213"/>
      <c r="BO127" s="213"/>
      <c r="BP127" s="213"/>
      <c r="BQ127" s="213"/>
      <c r="BR127" s="213"/>
      <c r="BS127" s="213"/>
      <c r="BT127" s="213"/>
      <c r="BU127" s="213"/>
      <c r="BV127" s="213"/>
      <c r="BW127" s="213"/>
      <c r="BX127" s="213"/>
    </row>
    <row r="128" spans="1:76" s="126" customFormat="1" ht="11.25" customHeight="1" x14ac:dyDescent="0.2">
      <c r="A128" s="5"/>
      <c r="B128" s="5"/>
      <c r="C128" s="5"/>
      <c r="D128" s="5"/>
      <c r="E128" s="5"/>
      <c r="F128" s="5"/>
      <c r="G128" s="5"/>
      <c r="H128" s="5"/>
      <c r="I128" s="5"/>
      <c r="J128" s="5"/>
      <c r="K128" s="5"/>
      <c r="L128" s="213"/>
      <c r="M128" s="213"/>
      <c r="N128" s="213"/>
      <c r="O128" s="213"/>
      <c r="P128" s="213"/>
      <c r="Q128" s="5"/>
      <c r="R128" s="5"/>
      <c r="S128" s="5"/>
      <c r="T128" s="5"/>
      <c r="U128" s="5"/>
      <c r="V128" s="5"/>
      <c r="W128" s="5"/>
      <c r="X128" s="5"/>
      <c r="Y128" s="213"/>
      <c r="Z128" s="213"/>
      <c r="AA128" s="213"/>
      <c r="AB128" s="213"/>
      <c r="AC128" s="213"/>
      <c r="AD128" s="213"/>
      <c r="AE128" s="213"/>
      <c r="AF128" s="213"/>
      <c r="AG128" s="213"/>
      <c r="AH128" s="213"/>
      <c r="AI128" s="213"/>
      <c r="AJ128" s="213"/>
      <c r="AK128" s="213"/>
      <c r="AL128" s="213"/>
      <c r="AM128" s="213"/>
      <c r="AN128" s="213"/>
      <c r="AO128" s="213"/>
      <c r="AP128" s="213"/>
      <c r="AQ128" s="213"/>
      <c r="AR128" s="213"/>
      <c r="AS128" s="213"/>
      <c r="AT128" s="213"/>
      <c r="AU128" s="213"/>
      <c r="AV128" s="213"/>
      <c r="AW128" s="213"/>
      <c r="AX128" s="213"/>
      <c r="AY128" s="213"/>
      <c r="AZ128" s="213"/>
      <c r="BA128" s="213"/>
      <c r="BB128" s="213"/>
      <c r="BC128" s="213"/>
      <c r="BD128" s="213"/>
      <c r="BE128" s="213"/>
      <c r="BF128" s="213"/>
      <c r="BG128" s="213"/>
      <c r="BH128" s="213"/>
      <c r="BI128" s="213"/>
      <c r="BJ128" s="213"/>
      <c r="BK128" s="213"/>
      <c r="BL128" s="213"/>
      <c r="BM128" s="213"/>
      <c r="BN128" s="213"/>
      <c r="BO128" s="213"/>
      <c r="BP128" s="213"/>
      <c r="BQ128" s="213"/>
      <c r="BR128" s="213"/>
      <c r="BS128" s="213"/>
      <c r="BT128" s="213"/>
      <c r="BU128" s="213"/>
      <c r="BV128" s="213"/>
      <c r="BW128" s="213"/>
      <c r="BX128" s="213"/>
    </row>
    <row r="129" spans="1:76" s="126" customFormat="1" ht="11.25" customHeight="1" x14ac:dyDescent="0.2">
      <c r="A129" s="5"/>
      <c r="B129" s="5"/>
      <c r="C129" s="5"/>
      <c r="D129" s="5"/>
      <c r="E129" s="5"/>
      <c r="F129" s="5"/>
      <c r="G129" s="5"/>
      <c r="H129" s="5"/>
      <c r="I129" s="5"/>
      <c r="J129" s="5"/>
      <c r="K129" s="5"/>
      <c r="L129" s="213"/>
      <c r="M129" s="213"/>
      <c r="N129" s="213"/>
      <c r="O129" s="213"/>
      <c r="P129" s="213"/>
      <c r="Q129" s="5"/>
      <c r="R129" s="5"/>
      <c r="S129" s="5"/>
      <c r="T129" s="5"/>
      <c r="U129" s="5"/>
      <c r="V129" s="5"/>
      <c r="W129" s="5"/>
      <c r="X129" s="5"/>
      <c r="Y129" s="213"/>
      <c r="Z129" s="213"/>
      <c r="AA129" s="213"/>
      <c r="AB129" s="213"/>
      <c r="AC129" s="213"/>
      <c r="AD129" s="213"/>
      <c r="AE129" s="213"/>
      <c r="AF129" s="213"/>
      <c r="AG129" s="213"/>
      <c r="AH129" s="213"/>
      <c r="AI129" s="213"/>
      <c r="AJ129" s="213"/>
      <c r="AK129" s="213"/>
      <c r="AL129" s="213"/>
      <c r="AM129" s="213"/>
      <c r="AN129" s="213"/>
      <c r="AO129" s="213"/>
      <c r="AP129" s="213"/>
      <c r="AQ129" s="213"/>
      <c r="AR129" s="213"/>
      <c r="AS129" s="213"/>
      <c r="AT129" s="213"/>
      <c r="AU129" s="213"/>
      <c r="AV129" s="213"/>
      <c r="AW129" s="213"/>
      <c r="AX129" s="213"/>
      <c r="AY129" s="213"/>
      <c r="AZ129" s="213"/>
      <c r="BA129" s="213"/>
      <c r="BB129" s="213"/>
      <c r="BC129" s="213"/>
      <c r="BD129" s="213"/>
      <c r="BE129" s="213"/>
      <c r="BF129" s="213"/>
      <c r="BG129" s="213"/>
      <c r="BH129" s="213"/>
      <c r="BI129" s="213"/>
      <c r="BJ129" s="213"/>
      <c r="BK129" s="213"/>
      <c r="BL129" s="213"/>
      <c r="BM129" s="213"/>
      <c r="BN129" s="213"/>
      <c r="BO129" s="213"/>
      <c r="BP129" s="213"/>
      <c r="BQ129" s="213"/>
      <c r="BR129" s="213"/>
      <c r="BS129" s="213"/>
      <c r="BT129" s="213"/>
      <c r="BU129" s="213"/>
      <c r="BV129" s="213"/>
      <c r="BW129" s="213"/>
      <c r="BX129" s="213"/>
    </row>
    <row r="130" spans="1:76" s="126" customFormat="1" ht="11.25" customHeight="1" x14ac:dyDescent="0.2">
      <c r="A130" s="5"/>
      <c r="B130" s="5"/>
      <c r="C130" s="5"/>
      <c r="D130" s="5"/>
      <c r="E130" s="5"/>
      <c r="F130" s="5"/>
      <c r="G130" s="5"/>
      <c r="H130" s="5"/>
      <c r="I130" s="5"/>
      <c r="J130" s="5"/>
      <c r="K130" s="5"/>
      <c r="L130" s="213"/>
      <c r="M130" s="213"/>
      <c r="N130" s="213"/>
      <c r="O130" s="213"/>
      <c r="P130" s="213"/>
      <c r="Q130" s="5"/>
      <c r="R130" s="5"/>
      <c r="S130" s="5"/>
      <c r="T130" s="5"/>
      <c r="U130" s="5"/>
      <c r="V130" s="5"/>
      <c r="W130" s="5"/>
      <c r="X130" s="5"/>
      <c r="Y130" s="213"/>
      <c r="Z130" s="213"/>
      <c r="AA130" s="213"/>
      <c r="AB130" s="213"/>
      <c r="AC130" s="213"/>
      <c r="AD130" s="213"/>
      <c r="AE130" s="213"/>
      <c r="AF130" s="213"/>
      <c r="AG130" s="213"/>
      <c r="AH130" s="213"/>
      <c r="AI130" s="213"/>
      <c r="AJ130" s="213"/>
      <c r="AK130" s="213"/>
      <c r="AL130" s="213"/>
      <c r="AM130" s="213"/>
      <c r="AN130" s="213"/>
      <c r="AO130" s="213"/>
      <c r="AP130" s="213"/>
      <c r="AQ130" s="213"/>
      <c r="AR130" s="213"/>
      <c r="AS130" s="213"/>
      <c r="AT130" s="213"/>
      <c r="AU130" s="213"/>
      <c r="AV130" s="213"/>
      <c r="AW130" s="213"/>
      <c r="AX130" s="213"/>
      <c r="AY130" s="213"/>
      <c r="AZ130" s="213"/>
      <c r="BA130" s="213"/>
      <c r="BB130" s="213"/>
      <c r="BC130" s="213"/>
      <c r="BD130" s="213"/>
      <c r="BE130" s="213"/>
      <c r="BF130" s="213"/>
      <c r="BG130" s="213"/>
      <c r="BH130" s="213"/>
      <c r="BI130" s="213"/>
      <c r="BJ130" s="213"/>
      <c r="BK130" s="213"/>
      <c r="BL130" s="213"/>
      <c r="BM130" s="213"/>
      <c r="BN130" s="213"/>
      <c r="BO130" s="213"/>
      <c r="BP130" s="213"/>
      <c r="BQ130" s="213"/>
      <c r="BR130" s="213"/>
      <c r="BS130" s="213"/>
      <c r="BT130" s="213"/>
      <c r="BU130" s="213"/>
      <c r="BV130" s="213"/>
      <c r="BW130" s="213"/>
      <c r="BX130" s="213"/>
    </row>
    <row r="131" spans="1:76" s="126" customFormat="1" ht="11.25" customHeight="1" x14ac:dyDescent="0.2">
      <c r="A131" s="5"/>
      <c r="B131" s="5"/>
      <c r="C131" s="5"/>
      <c r="D131" s="5"/>
      <c r="E131" s="5"/>
      <c r="F131" s="5"/>
      <c r="G131" s="5"/>
      <c r="H131" s="5"/>
      <c r="I131" s="5"/>
      <c r="J131" s="5"/>
      <c r="K131" s="5"/>
      <c r="L131" s="213"/>
      <c r="M131" s="213"/>
      <c r="N131" s="213"/>
      <c r="O131" s="213"/>
      <c r="P131" s="213"/>
      <c r="Q131" s="5"/>
      <c r="R131" s="5"/>
      <c r="S131" s="5"/>
      <c r="T131" s="5"/>
      <c r="U131" s="5"/>
      <c r="V131" s="5"/>
      <c r="W131" s="5"/>
      <c r="X131" s="5"/>
      <c r="Y131" s="213"/>
      <c r="Z131" s="213"/>
      <c r="AA131" s="213"/>
      <c r="AB131" s="213"/>
      <c r="AC131" s="213"/>
      <c r="AD131" s="213"/>
      <c r="AE131" s="213"/>
      <c r="AF131" s="213"/>
      <c r="AG131" s="213"/>
      <c r="AH131" s="213"/>
      <c r="AI131" s="213"/>
      <c r="AJ131" s="213"/>
      <c r="AK131" s="213"/>
      <c r="AL131" s="213"/>
      <c r="AM131" s="213"/>
      <c r="AN131" s="213"/>
      <c r="AO131" s="213"/>
      <c r="AP131" s="213"/>
      <c r="AQ131" s="213"/>
      <c r="AR131" s="213"/>
      <c r="AS131" s="213"/>
      <c r="AT131" s="213"/>
      <c r="AU131" s="213"/>
      <c r="AV131" s="213"/>
      <c r="AW131" s="213"/>
      <c r="AX131" s="213"/>
      <c r="AY131" s="213"/>
      <c r="AZ131" s="213"/>
      <c r="BA131" s="213"/>
      <c r="BB131" s="213"/>
      <c r="BC131" s="213"/>
      <c r="BD131" s="213"/>
      <c r="BE131" s="213"/>
      <c r="BF131" s="213"/>
      <c r="BG131" s="213"/>
      <c r="BH131" s="213"/>
      <c r="BI131" s="213"/>
      <c r="BJ131" s="213"/>
      <c r="BK131" s="213"/>
      <c r="BL131" s="213"/>
      <c r="BM131" s="213"/>
      <c r="BN131" s="213"/>
      <c r="BO131" s="213"/>
      <c r="BP131" s="213"/>
      <c r="BQ131" s="213"/>
      <c r="BR131" s="213"/>
      <c r="BS131" s="213"/>
      <c r="BT131" s="213"/>
      <c r="BU131" s="213"/>
      <c r="BV131" s="213"/>
      <c r="BW131" s="213"/>
      <c r="BX131" s="213"/>
    </row>
    <row r="132" spans="1:76" s="126" customFormat="1" ht="11.25" customHeight="1" x14ac:dyDescent="0.2">
      <c r="A132" s="5"/>
      <c r="B132" s="5"/>
      <c r="C132" s="5"/>
      <c r="D132" s="5"/>
      <c r="E132" s="5"/>
      <c r="F132" s="5"/>
      <c r="G132" s="5"/>
      <c r="H132" s="5"/>
      <c r="I132" s="5"/>
      <c r="J132" s="5"/>
      <c r="K132" s="5"/>
      <c r="L132" s="213"/>
      <c r="M132" s="213"/>
      <c r="N132" s="213"/>
      <c r="O132" s="213"/>
      <c r="P132" s="213"/>
      <c r="Q132" s="5"/>
      <c r="R132" s="5"/>
      <c r="S132" s="5"/>
      <c r="T132" s="5"/>
      <c r="U132" s="5"/>
      <c r="V132" s="5"/>
      <c r="W132" s="5"/>
      <c r="X132" s="5"/>
      <c r="Y132" s="213"/>
      <c r="Z132" s="213"/>
      <c r="AA132" s="213"/>
      <c r="AB132" s="213"/>
      <c r="AC132" s="213"/>
      <c r="AD132" s="213"/>
      <c r="AE132" s="213"/>
      <c r="AF132" s="213"/>
      <c r="AG132" s="213"/>
      <c r="AH132" s="213"/>
      <c r="AI132" s="213"/>
      <c r="AJ132" s="213"/>
      <c r="AK132" s="213"/>
      <c r="AL132" s="213"/>
      <c r="AM132" s="213"/>
      <c r="AN132" s="213"/>
      <c r="AO132" s="213"/>
      <c r="AP132" s="213"/>
      <c r="AQ132" s="213"/>
      <c r="AR132" s="213"/>
      <c r="AS132" s="213"/>
      <c r="AT132" s="213"/>
      <c r="AU132" s="213"/>
      <c r="AV132" s="213"/>
      <c r="AW132" s="213"/>
      <c r="AX132" s="213"/>
      <c r="AY132" s="213"/>
      <c r="AZ132" s="213"/>
      <c r="BA132" s="213"/>
      <c r="BB132" s="213"/>
      <c r="BC132" s="213"/>
      <c r="BD132" s="213"/>
      <c r="BE132" s="213"/>
      <c r="BF132" s="213"/>
      <c r="BG132" s="213"/>
      <c r="BH132" s="213"/>
      <c r="BI132" s="213"/>
      <c r="BJ132" s="213"/>
      <c r="BK132" s="213"/>
      <c r="BL132" s="213"/>
      <c r="BM132" s="213"/>
      <c r="BN132" s="213"/>
      <c r="BO132" s="213"/>
      <c r="BP132" s="213"/>
      <c r="BQ132" s="213"/>
      <c r="BR132" s="213"/>
      <c r="BS132" s="213"/>
      <c r="BT132" s="213"/>
      <c r="BU132" s="213"/>
      <c r="BV132" s="213"/>
      <c r="BW132" s="213"/>
      <c r="BX132" s="213"/>
    </row>
    <row r="133" spans="1:76" s="126" customFormat="1" ht="11.25" customHeight="1" x14ac:dyDescent="0.2">
      <c r="A133" s="5"/>
      <c r="B133" s="5"/>
      <c r="C133" s="5"/>
      <c r="D133" s="5"/>
      <c r="E133" s="5"/>
      <c r="F133" s="5"/>
      <c r="G133" s="5"/>
      <c r="H133" s="5"/>
      <c r="I133" s="5"/>
      <c r="J133" s="5"/>
      <c r="K133" s="5"/>
      <c r="L133" s="213"/>
      <c r="M133" s="213"/>
      <c r="N133" s="213"/>
      <c r="O133" s="213"/>
      <c r="P133" s="213"/>
      <c r="Q133" s="5"/>
      <c r="R133" s="5"/>
      <c r="S133" s="5"/>
      <c r="T133" s="5"/>
      <c r="U133" s="5"/>
      <c r="V133" s="5"/>
      <c r="W133" s="5"/>
      <c r="X133" s="5"/>
      <c r="Y133" s="213"/>
      <c r="Z133" s="213"/>
      <c r="AA133" s="213"/>
      <c r="AB133" s="213"/>
      <c r="AC133" s="213"/>
      <c r="AD133" s="213"/>
      <c r="AE133" s="213"/>
      <c r="AF133" s="213"/>
      <c r="AG133" s="213"/>
      <c r="AH133" s="213"/>
      <c r="AI133" s="213"/>
      <c r="AJ133" s="213"/>
      <c r="AK133" s="213"/>
      <c r="AL133" s="213"/>
      <c r="AM133" s="213"/>
      <c r="AN133" s="213"/>
      <c r="AO133" s="213"/>
      <c r="AP133" s="213"/>
      <c r="AQ133" s="213"/>
      <c r="AR133" s="213"/>
      <c r="AS133" s="213"/>
      <c r="AT133" s="213"/>
      <c r="AU133" s="213"/>
      <c r="AV133" s="213"/>
      <c r="AW133" s="213"/>
      <c r="AX133" s="213"/>
      <c r="AY133" s="213"/>
      <c r="AZ133" s="213"/>
      <c r="BA133" s="213"/>
      <c r="BB133" s="213"/>
      <c r="BC133" s="213"/>
      <c r="BD133" s="213"/>
      <c r="BE133" s="213"/>
      <c r="BF133" s="213"/>
      <c r="BG133" s="213"/>
      <c r="BH133" s="213"/>
      <c r="BI133" s="213"/>
      <c r="BJ133" s="213"/>
      <c r="BK133" s="213"/>
      <c r="BL133" s="213"/>
      <c r="BM133" s="213"/>
      <c r="BN133" s="213"/>
      <c r="BO133" s="213"/>
      <c r="BP133" s="213"/>
      <c r="BQ133" s="213"/>
      <c r="BR133" s="213"/>
      <c r="BS133" s="213"/>
      <c r="BT133" s="213"/>
      <c r="BU133" s="213"/>
      <c r="BV133" s="213"/>
      <c r="BW133" s="213"/>
      <c r="BX133" s="213"/>
    </row>
    <row r="134" spans="1:76" s="126" customFormat="1" ht="11.25" customHeight="1" x14ac:dyDescent="0.2">
      <c r="A134" s="5"/>
      <c r="B134" s="5"/>
      <c r="C134" s="5"/>
      <c r="D134" s="5"/>
      <c r="E134" s="5"/>
      <c r="F134" s="5"/>
      <c r="G134" s="5"/>
      <c r="H134" s="5"/>
      <c r="I134" s="5"/>
      <c r="J134" s="5"/>
      <c r="K134" s="5"/>
      <c r="L134" s="213"/>
      <c r="M134" s="213"/>
      <c r="N134" s="213"/>
      <c r="O134" s="213"/>
      <c r="P134" s="213"/>
      <c r="Q134" s="5"/>
      <c r="R134" s="5"/>
      <c r="S134" s="5"/>
      <c r="T134" s="5"/>
      <c r="U134" s="5"/>
      <c r="V134" s="5"/>
      <c r="W134" s="5"/>
      <c r="X134" s="5"/>
      <c r="Y134" s="213"/>
      <c r="Z134" s="213"/>
      <c r="AA134" s="213"/>
      <c r="AB134" s="213"/>
      <c r="AC134" s="213"/>
      <c r="AD134" s="213"/>
      <c r="AE134" s="213"/>
      <c r="AF134" s="213"/>
      <c r="AG134" s="213"/>
      <c r="AH134" s="213"/>
      <c r="AI134" s="213"/>
      <c r="AJ134" s="213"/>
      <c r="AK134" s="213"/>
      <c r="AL134" s="213"/>
      <c r="AM134" s="213"/>
      <c r="AN134" s="213"/>
      <c r="AO134" s="213"/>
      <c r="AP134" s="213"/>
      <c r="AQ134" s="213"/>
      <c r="AR134" s="213"/>
      <c r="AS134" s="213"/>
      <c r="AT134" s="213"/>
      <c r="AU134" s="213"/>
      <c r="AV134" s="213"/>
      <c r="AW134" s="213"/>
      <c r="AX134" s="213"/>
      <c r="AY134" s="213"/>
      <c r="AZ134" s="213"/>
      <c r="BA134" s="213"/>
      <c r="BB134" s="213"/>
      <c r="BC134" s="213"/>
      <c r="BD134" s="213"/>
      <c r="BE134" s="213"/>
      <c r="BF134" s="213"/>
      <c r="BG134" s="213"/>
      <c r="BH134" s="213"/>
      <c r="BI134" s="213"/>
      <c r="BJ134" s="213"/>
      <c r="BK134" s="213"/>
      <c r="BL134" s="213"/>
      <c r="BM134" s="213"/>
      <c r="BN134" s="213"/>
      <c r="BO134" s="213"/>
      <c r="BP134" s="213"/>
      <c r="BQ134" s="213"/>
      <c r="BR134" s="213"/>
      <c r="BS134" s="213"/>
      <c r="BT134" s="213"/>
      <c r="BU134" s="213"/>
      <c r="BV134" s="213"/>
      <c r="BW134" s="213"/>
      <c r="BX134" s="213"/>
    </row>
    <row r="135" spans="1:76" s="126" customFormat="1" ht="11.25" customHeight="1" x14ac:dyDescent="0.2">
      <c r="A135" s="5"/>
      <c r="B135" s="5"/>
      <c r="C135" s="5"/>
      <c r="D135" s="5"/>
      <c r="E135" s="5"/>
      <c r="F135" s="5"/>
      <c r="G135" s="5"/>
      <c r="H135" s="5"/>
      <c r="I135" s="5"/>
      <c r="J135" s="5"/>
      <c r="K135" s="5"/>
      <c r="L135" s="213"/>
      <c r="M135" s="213"/>
      <c r="N135" s="213"/>
      <c r="O135" s="213"/>
      <c r="P135" s="213"/>
      <c r="Q135" s="5"/>
      <c r="R135" s="5"/>
      <c r="S135" s="5"/>
      <c r="T135" s="5"/>
      <c r="U135" s="5"/>
      <c r="V135" s="5"/>
      <c r="W135" s="5"/>
      <c r="X135" s="5"/>
      <c r="Y135" s="213"/>
      <c r="Z135" s="213"/>
      <c r="AA135" s="213"/>
      <c r="AB135" s="213"/>
      <c r="AC135" s="213"/>
      <c r="AD135" s="213"/>
      <c r="AE135" s="213"/>
      <c r="AF135" s="213"/>
      <c r="AG135" s="213"/>
      <c r="AH135" s="213"/>
      <c r="AI135" s="213"/>
      <c r="AJ135" s="213"/>
      <c r="AK135" s="213"/>
      <c r="AL135" s="213"/>
      <c r="AM135" s="213"/>
      <c r="AN135" s="213"/>
      <c r="AO135" s="213"/>
      <c r="AP135" s="213"/>
      <c r="AQ135" s="213"/>
      <c r="AR135" s="213"/>
      <c r="AS135" s="213"/>
      <c r="AT135" s="213"/>
      <c r="AU135" s="213"/>
      <c r="AV135" s="213"/>
      <c r="AW135" s="213"/>
      <c r="AX135" s="213"/>
      <c r="AY135" s="213"/>
      <c r="AZ135" s="213"/>
      <c r="BA135" s="213"/>
      <c r="BB135" s="213"/>
      <c r="BC135" s="213"/>
      <c r="BD135" s="213"/>
      <c r="BE135" s="213"/>
      <c r="BF135" s="213"/>
      <c r="BG135" s="213"/>
      <c r="BH135" s="213"/>
      <c r="BI135" s="213"/>
      <c r="BJ135" s="213"/>
      <c r="BK135" s="213"/>
      <c r="BL135" s="213"/>
      <c r="BM135" s="213"/>
      <c r="BN135" s="213"/>
      <c r="BO135" s="213"/>
      <c r="BP135" s="213"/>
      <c r="BQ135" s="213"/>
      <c r="BR135" s="213"/>
      <c r="BS135" s="213"/>
      <c r="BT135" s="213"/>
      <c r="BU135" s="213"/>
      <c r="BV135" s="213"/>
      <c r="BW135" s="213"/>
      <c r="BX135" s="213"/>
    </row>
    <row r="136" spans="1:76" s="126" customFormat="1" ht="11.25" customHeight="1" x14ac:dyDescent="0.2">
      <c r="A136" s="5"/>
      <c r="B136" s="5"/>
      <c r="C136" s="5"/>
      <c r="D136" s="5"/>
      <c r="E136" s="5"/>
      <c r="F136" s="5"/>
      <c r="G136" s="5"/>
      <c r="H136" s="5"/>
      <c r="I136" s="5"/>
      <c r="J136" s="5"/>
      <c r="K136" s="5"/>
      <c r="L136" s="213"/>
      <c r="M136" s="213"/>
      <c r="N136" s="213"/>
      <c r="O136" s="213"/>
      <c r="P136" s="213"/>
      <c r="Q136" s="5"/>
      <c r="R136" s="5"/>
      <c r="S136" s="5"/>
      <c r="T136" s="5"/>
      <c r="U136" s="5"/>
      <c r="V136" s="5"/>
      <c r="W136" s="5"/>
      <c r="X136" s="5"/>
      <c r="Y136" s="213"/>
      <c r="Z136" s="213"/>
      <c r="AA136" s="213"/>
      <c r="AB136" s="213"/>
      <c r="AC136" s="213"/>
      <c r="AD136" s="213"/>
      <c r="AE136" s="213"/>
      <c r="AF136" s="213"/>
      <c r="AG136" s="213"/>
      <c r="AH136" s="213"/>
      <c r="AI136" s="213"/>
      <c r="AJ136" s="213"/>
      <c r="AK136" s="213"/>
      <c r="AL136" s="213"/>
      <c r="AM136" s="213"/>
      <c r="AN136" s="213"/>
      <c r="AO136" s="213"/>
      <c r="AP136" s="213"/>
      <c r="AQ136" s="213"/>
      <c r="AR136" s="213"/>
      <c r="AS136" s="213"/>
      <c r="AT136" s="213"/>
      <c r="AU136" s="213"/>
      <c r="AV136" s="213"/>
      <c r="AW136" s="213"/>
      <c r="AX136" s="213"/>
      <c r="AY136" s="213"/>
      <c r="AZ136" s="213"/>
      <c r="BA136" s="213"/>
      <c r="BB136" s="213"/>
      <c r="BC136" s="213"/>
      <c r="BD136" s="213"/>
      <c r="BE136" s="213"/>
      <c r="BF136" s="213"/>
      <c r="BG136" s="213"/>
      <c r="BH136" s="213"/>
      <c r="BI136" s="213"/>
      <c r="BJ136" s="213"/>
      <c r="BK136" s="213"/>
      <c r="BL136" s="213"/>
      <c r="BM136" s="213"/>
      <c r="BN136" s="213"/>
      <c r="BO136" s="213"/>
      <c r="BP136" s="213"/>
      <c r="BQ136" s="213"/>
      <c r="BR136" s="213"/>
      <c r="BS136" s="213"/>
      <c r="BT136" s="213"/>
      <c r="BU136" s="213"/>
      <c r="BV136" s="213"/>
      <c r="BW136" s="213"/>
      <c r="BX136" s="213"/>
    </row>
    <row r="137" spans="1:76" s="126" customFormat="1" ht="11.25" customHeight="1" x14ac:dyDescent="0.2">
      <c r="A137" s="5"/>
      <c r="B137" s="5"/>
      <c r="C137" s="5"/>
      <c r="D137" s="5"/>
      <c r="E137" s="5"/>
      <c r="F137" s="5"/>
      <c r="G137" s="5"/>
      <c r="H137" s="5"/>
      <c r="I137" s="5"/>
      <c r="J137" s="5"/>
      <c r="K137" s="5"/>
      <c r="L137" s="213"/>
      <c r="M137" s="213"/>
      <c r="N137" s="213"/>
      <c r="O137" s="213"/>
      <c r="P137" s="213"/>
      <c r="Q137" s="5"/>
      <c r="R137" s="5"/>
      <c r="S137" s="5"/>
      <c r="T137" s="5"/>
      <c r="U137" s="5"/>
      <c r="V137" s="5"/>
      <c r="W137" s="5"/>
      <c r="X137" s="5"/>
      <c r="Y137" s="213"/>
      <c r="Z137" s="213"/>
      <c r="AA137" s="213"/>
      <c r="AB137" s="213"/>
      <c r="AC137" s="213"/>
      <c r="AD137" s="213"/>
      <c r="AE137" s="213"/>
      <c r="AF137" s="213"/>
      <c r="AG137" s="213"/>
      <c r="AH137" s="213"/>
      <c r="AI137" s="213"/>
      <c r="AJ137" s="213"/>
      <c r="AK137" s="213"/>
      <c r="AL137" s="213"/>
      <c r="AM137" s="213"/>
      <c r="AN137" s="213"/>
      <c r="AO137" s="213"/>
      <c r="AP137" s="213"/>
      <c r="AQ137" s="213"/>
      <c r="AR137" s="213"/>
      <c r="AS137" s="213"/>
      <c r="AT137" s="213"/>
      <c r="AU137" s="213"/>
      <c r="AV137" s="213"/>
      <c r="AW137" s="213"/>
      <c r="AX137" s="213"/>
      <c r="AY137" s="213"/>
      <c r="AZ137" s="213"/>
      <c r="BA137" s="213"/>
      <c r="BB137" s="213"/>
      <c r="BC137" s="213"/>
      <c r="BD137" s="213"/>
      <c r="BE137" s="213"/>
      <c r="BF137" s="213"/>
      <c r="BG137" s="213"/>
      <c r="BH137" s="213"/>
      <c r="BI137" s="213"/>
      <c r="BJ137" s="213"/>
      <c r="BK137" s="213"/>
      <c r="BL137" s="213"/>
      <c r="BM137" s="213"/>
      <c r="BN137" s="213"/>
      <c r="BO137" s="213"/>
      <c r="BP137" s="213"/>
      <c r="BQ137" s="213"/>
      <c r="BR137" s="213"/>
      <c r="BS137" s="213"/>
      <c r="BT137" s="213"/>
      <c r="BU137" s="213"/>
      <c r="BV137" s="213"/>
      <c r="BW137" s="213"/>
      <c r="BX137" s="213"/>
    </row>
    <row r="138" spans="1:76" s="126" customFormat="1" ht="11.25" customHeight="1" x14ac:dyDescent="0.2">
      <c r="A138" s="5"/>
      <c r="B138" s="5"/>
      <c r="C138" s="5"/>
      <c r="D138" s="5"/>
      <c r="E138" s="5"/>
      <c r="F138" s="5"/>
      <c r="G138" s="5"/>
      <c r="H138" s="5"/>
      <c r="I138" s="5"/>
      <c r="J138" s="5"/>
      <c r="K138" s="5"/>
      <c r="L138" s="213"/>
      <c r="M138" s="213"/>
      <c r="N138" s="213"/>
      <c r="O138" s="213"/>
      <c r="P138" s="213"/>
      <c r="Q138" s="5"/>
      <c r="R138" s="5"/>
      <c r="S138" s="5"/>
      <c r="T138" s="5"/>
      <c r="U138" s="5"/>
      <c r="V138" s="5"/>
      <c r="W138" s="5"/>
      <c r="X138" s="5"/>
      <c r="Y138" s="213"/>
      <c r="Z138" s="213"/>
      <c r="AA138" s="213"/>
      <c r="AB138" s="213"/>
      <c r="AC138" s="213"/>
      <c r="AD138" s="213"/>
      <c r="AE138" s="213"/>
      <c r="AF138" s="213"/>
      <c r="AG138" s="213"/>
      <c r="AH138" s="213"/>
      <c r="AI138" s="213"/>
      <c r="AJ138" s="213"/>
      <c r="AK138" s="213"/>
      <c r="AL138" s="213"/>
      <c r="AM138" s="213"/>
      <c r="AN138" s="213"/>
      <c r="AO138" s="213"/>
      <c r="AP138" s="213"/>
      <c r="AQ138" s="213"/>
      <c r="AR138" s="213"/>
      <c r="AS138" s="213"/>
      <c r="AT138" s="213"/>
      <c r="AU138" s="213"/>
      <c r="AV138" s="213"/>
      <c r="AW138" s="213"/>
      <c r="AX138" s="213"/>
      <c r="AY138" s="213"/>
      <c r="AZ138" s="213"/>
      <c r="BA138" s="213"/>
      <c r="BB138" s="213"/>
      <c r="BC138" s="213"/>
      <c r="BD138" s="213"/>
      <c r="BE138" s="213"/>
      <c r="BF138" s="213"/>
      <c r="BG138" s="213"/>
      <c r="BH138" s="213"/>
      <c r="BI138" s="213"/>
      <c r="BJ138" s="213"/>
      <c r="BK138" s="213"/>
      <c r="BL138" s="213"/>
      <c r="BM138" s="213"/>
      <c r="BN138" s="213"/>
      <c r="BO138" s="213"/>
      <c r="BP138" s="213"/>
      <c r="BQ138" s="213"/>
      <c r="BR138" s="213"/>
      <c r="BS138" s="213"/>
      <c r="BT138" s="213"/>
      <c r="BU138" s="213"/>
      <c r="BV138" s="213"/>
      <c r="BW138" s="213"/>
      <c r="BX138" s="213"/>
    </row>
    <row r="139" spans="1:76" s="126" customFormat="1" ht="11.25" customHeight="1" x14ac:dyDescent="0.2">
      <c r="A139" s="5"/>
      <c r="B139" s="5"/>
      <c r="C139" s="5"/>
      <c r="D139" s="5"/>
      <c r="E139" s="5"/>
      <c r="F139" s="5"/>
      <c r="G139" s="5"/>
      <c r="H139" s="5"/>
      <c r="I139" s="5"/>
      <c r="J139" s="5"/>
      <c r="K139" s="5"/>
      <c r="L139" s="213"/>
      <c r="M139" s="213"/>
      <c r="N139" s="213"/>
      <c r="O139" s="213"/>
      <c r="P139" s="213"/>
      <c r="Q139" s="5"/>
      <c r="R139" s="5"/>
      <c r="S139" s="5"/>
      <c r="T139" s="5"/>
      <c r="U139" s="5"/>
      <c r="V139" s="5"/>
      <c r="W139" s="5"/>
      <c r="X139" s="5"/>
      <c r="Y139" s="213"/>
      <c r="Z139" s="213"/>
      <c r="AA139" s="213"/>
      <c r="AB139" s="213"/>
      <c r="AC139" s="213"/>
      <c r="AD139" s="213"/>
      <c r="AE139" s="213"/>
      <c r="AF139" s="213"/>
      <c r="AG139" s="213"/>
      <c r="AH139" s="213"/>
      <c r="AI139" s="213"/>
      <c r="AJ139" s="213"/>
      <c r="AK139" s="213"/>
      <c r="AL139" s="213"/>
      <c r="AM139" s="213"/>
      <c r="AN139" s="213"/>
      <c r="AO139" s="213"/>
      <c r="AP139" s="213"/>
      <c r="AQ139" s="213"/>
      <c r="AR139" s="213"/>
      <c r="AS139" s="213"/>
      <c r="AT139" s="213"/>
      <c r="AU139" s="213"/>
      <c r="AV139" s="213"/>
      <c r="AW139" s="213"/>
      <c r="AX139" s="213"/>
      <c r="AY139" s="213"/>
      <c r="AZ139" s="213"/>
      <c r="BA139" s="213"/>
      <c r="BB139" s="213"/>
      <c r="BC139" s="213"/>
      <c r="BD139" s="213"/>
      <c r="BE139" s="213"/>
      <c r="BF139" s="213"/>
      <c r="BG139" s="213"/>
      <c r="BH139" s="213"/>
      <c r="BI139" s="213"/>
      <c r="BJ139" s="213"/>
      <c r="BK139" s="213"/>
      <c r="BL139" s="213"/>
      <c r="BM139" s="213"/>
      <c r="BN139" s="213"/>
      <c r="BO139" s="213"/>
      <c r="BP139" s="213"/>
      <c r="BQ139" s="213"/>
      <c r="BR139" s="213"/>
      <c r="BS139" s="213"/>
      <c r="BT139" s="213"/>
      <c r="BU139" s="213"/>
      <c r="BV139" s="213"/>
      <c r="BW139" s="213"/>
      <c r="BX139" s="213"/>
    </row>
    <row r="140" spans="1:76" s="126" customFormat="1" ht="11.25" customHeight="1" x14ac:dyDescent="0.2">
      <c r="A140" s="5"/>
      <c r="B140" s="5"/>
      <c r="C140" s="5"/>
      <c r="D140" s="5"/>
      <c r="E140" s="5"/>
      <c r="F140" s="5"/>
      <c r="G140" s="5"/>
      <c r="H140" s="5"/>
      <c r="I140" s="5"/>
      <c r="J140" s="5"/>
      <c r="K140" s="5"/>
      <c r="L140" s="213"/>
      <c r="M140" s="213"/>
      <c r="N140" s="213"/>
      <c r="O140" s="213"/>
      <c r="P140" s="213"/>
      <c r="Q140" s="5"/>
      <c r="R140" s="5"/>
      <c r="S140" s="5"/>
      <c r="T140" s="5"/>
      <c r="U140" s="5"/>
      <c r="V140" s="5"/>
      <c r="W140" s="5"/>
      <c r="X140" s="5"/>
      <c r="Y140" s="213"/>
      <c r="Z140" s="213"/>
      <c r="AA140" s="213"/>
      <c r="AB140" s="213"/>
      <c r="AC140" s="213"/>
      <c r="AD140" s="213"/>
      <c r="AE140" s="213"/>
      <c r="AF140" s="213"/>
      <c r="AG140" s="213"/>
      <c r="AH140" s="213"/>
      <c r="AI140" s="213"/>
      <c r="AJ140" s="213"/>
      <c r="AK140" s="213"/>
      <c r="AL140" s="213"/>
      <c r="AM140" s="213"/>
      <c r="AN140" s="213"/>
      <c r="AO140" s="213"/>
      <c r="AP140" s="213"/>
      <c r="AQ140" s="213"/>
      <c r="AR140" s="213"/>
      <c r="AS140" s="213"/>
      <c r="AT140" s="213"/>
      <c r="AU140" s="213"/>
      <c r="AV140" s="213"/>
      <c r="AW140" s="213"/>
      <c r="AX140" s="213"/>
      <c r="AY140" s="213"/>
      <c r="AZ140" s="213"/>
      <c r="BA140" s="213"/>
      <c r="BB140" s="213"/>
      <c r="BC140" s="213"/>
      <c r="BD140" s="213"/>
      <c r="BE140" s="213"/>
      <c r="BF140" s="213"/>
      <c r="BG140" s="213"/>
      <c r="BH140" s="213"/>
      <c r="BI140" s="213"/>
      <c r="BJ140" s="213"/>
      <c r="BK140" s="213"/>
      <c r="BL140" s="213"/>
      <c r="BM140" s="213"/>
      <c r="BN140" s="213"/>
      <c r="BO140" s="213"/>
      <c r="BP140" s="213"/>
      <c r="BQ140" s="213"/>
      <c r="BR140" s="213"/>
      <c r="BS140" s="213"/>
      <c r="BT140" s="213"/>
      <c r="BU140" s="213"/>
      <c r="BV140" s="213"/>
      <c r="BW140" s="213"/>
      <c r="BX140" s="213"/>
    </row>
    <row r="141" spans="1:76" s="126" customFormat="1" ht="11.25" customHeight="1" x14ac:dyDescent="0.2">
      <c r="A141" s="5"/>
      <c r="B141" s="5"/>
      <c r="C141" s="5"/>
      <c r="D141" s="5"/>
      <c r="E141" s="5"/>
      <c r="F141" s="5"/>
      <c r="G141" s="5"/>
      <c r="H141" s="5"/>
      <c r="I141" s="5"/>
      <c r="J141" s="5"/>
      <c r="K141" s="5"/>
      <c r="L141" s="213"/>
      <c r="M141" s="213"/>
      <c r="N141" s="213"/>
      <c r="O141" s="213"/>
      <c r="P141" s="213"/>
      <c r="Q141" s="5"/>
      <c r="R141" s="5"/>
      <c r="S141" s="5"/>
      <c r="T141" s="5"/>
      <c r="U141" s="5"/>
      <c r="V141" s="5"/>
      <c r="W141" s="5"/>
      <c r="X141" s="5"/>
      <c r="Y141" s="213"/>
      <c r="Z141" s="213"/>
      <c r="AA141" s="213"/>
      <c r="AB141" s="213"/>
      <c r="AC141" s="213"/>
      <c r="AD141" s="213"/>
      <c r="AE141" s="213"/>
      <c r="AF141" s="213"/>
      <c r="AG141" s="213"/>
      <c r="AH141" s="213"/>
      <c r="AI141" s="213"/>
      <c r="AJ141" s="213"/>
      <c r="AK141" s="213"/>
      <c r="AL141" s="213"/>
      <c r="AM141" s="213"/>
      <c r="AN141" s="213"/>
      <c r="AO141" s="213"/>
      <c r="AP141" s="213"/>
      <c r="AQ141" s="213"/>
      <c r="AR141" s="213"/>
      <c r="AS141" s="213"/>
      <c r="AT141" s="213"/>
      <c r="AU141" s="213"/>
      <c r="AV141" s="213"/>
      <c r="AW141" s="213"/>
      <c r="AX141" s="213"/>
      <c r="AY141" s="213"/>
      <c r="AZ141" s="213"/>
      <c r="BA141" s="213"/>
      <c r="BB141" s="213"/>
      <c r="BC141" s="213"/>
      <c r="BD141" s="213"/>
      <c r="BE141" s="213"/>
      <c r="BF141" s="213"/>
      <c r="BG141" s="213"/>
      <c r="BH141" s="213"/>
      <c r="BI141" s="213"/>
      <c r="BJ141" s="213"/>
      <c r="BK141" s="213"/>
      <c r="BL141" s="213"/>
      <c r="BM141" s="213"/>
      <c r="BN141" s="213"/>
      <c r="BO141" s="213"/>
      <c r="BP141" s="213"/>
      <c r="BQ141" s="213"/>
      <c r="BR141" s="213"/>
      <c r="BS141" s="213"/>
      <c r="BT141" s="213"/>
      <c r="BU141" s="213"/>
      <c r="BV141" s="213"/>
      <c r="BW141" s="213"/>
      <c r="BX141" s="213"/>
    </row>
    <row r="142" spans="1:76" s="126" customFormat="1" ht="11.25" customHeight="1" x14ac:dyDescent="0.2">
      <c r="A142" s="5"/>
      <c r="B142" s="5"/>
      <c r="C142" s="5"/>
      <c r="D142" s="5"/>
      <c r="E142" s="5"/>
      <c r="F142" s="5"/>
      <c r="G142" s="5"/>
      <c r="H142" s="5"/>
      <c r="I142" s="5"/>
      <c r="J142" s="5"/>
      <c r="K142" s="5"/>
      <c r="L142" s="213"/>
      <c r="M142" s="213"/>
      <c r="N142" s="213"/>
      <c r="O142" s="213"/>
      <c r="P142" s="213"/>
      <c r="Q142" s="5"/>
      <c r="R142" s="5"/>
      <c r="S142" s="5"/>
      <c r="T142" s="5"/>
      <c r="U142" s="5"/>
      <c r="V142" s="5"/>
      <c r="W142" s="5"/>
      <c r="X142" s="5"/>
      <c r="Y142" s="213"/>
      <c r="Z142" s="213"/>
      <c r="AA142" s="213"/>
      <c r="AB142" s="213"/>
      <c r="AC142" s="213"/>
      <c r="AD142" s="213"/>
      <c r="AE142" s="213"/>
      <c r="AF142" s="213"/>
      <c r="AG142" s="213"/>
      <c r="AH142" s="213"/>
      <c r="AI142" s="213"/>
      <c r="AJ142" s="213"/>
      <c r="AK142" s="213"/>
      <c r="AL142" s="213"/>
      <c r="AM142" s="213"/>
      <c r="AN142" s="213"/>
      <c r="AO142" s="213"/>
      <c r="AP142" s="213"/>
      <c r="AQ142" s="213"/>
      <c r="AR142" s="213"/>
      <c r="AS142" s="213"/>
      <c r="AT142" s="213"/>
      <c r="AU142" s="213"/>
      <c r="AV142" s="213"/>
      <c r="AW142" s="213"/>
      <c r="AX142" s="213"/>
      <c r="AY142" s="213"/>
      <c r="AZ142" s="213"/>
      <c r="BA142" s="213"/>
      <c r="BB142" s="213"/>
      <c r="BC142" s="213"/>
      <c r="BD142" s="213"/>
      <c r="BE142" s="213"/>
      <c r="BF142" s="213"/>
      <c r="BG142" s="213"/>
      <c r="BH142" s="213"/>
      <c r="BI142" s="213"/>
      <c r="BJ142" s="213"/>
      <c r="BK142" s="213"/>
      <c r="BL142" s="213"/>
      <c r="BM142" s="213"/>
      <c r="BN142" s="213"/>
      <c r="BO142" s="213"/>
      <c r="BP142" s="213"/>
      <c r="BQ142" s="213"/>
      <c r="BR142" s="213"/>
      <c r="BS142" s="213"/>
      <c r="BT142" s="213"/>
      <c r="BU142" s="213"/>
      <c r="BV142" s="213"/>
      <c r="BW142" s="213"/>
      <c r="BX142" s="213"/>
    </row>
    <row r="143" spans="1:76" s="126" customFormat="1" ht="11.25" customHeight="1" x14ac:dyDescent="0.2">
      <c r="A143" s="5"/>
      <c r="B143" s="5"/>
      <c r="C143" s="5"/>
      <c r="D143" s="5"/>
      <c r="E143" s="5"/>
      <c r="F143" s="5"/>
      <c r="G143" s="5"/>
      <c r="H143" s="5"/>
      <c r="I143" s="5"/>
      <c r="J143" s="5"/>
      <c r="K143" s="5"/>
      <c r="L143" s="213"/>
      <c r="M143" s="213"/>
      <c r="N143" s="213"/>
      <c r="O143" s="213"/>
      <c r="P143" s="213"/>
      <c r="Q143" s="5"/>
      <c r="R143" s="5"/>
      <c r="S143" s="5"/>
      <c r="T143" s="5"/>
      <c r="U143" s="5"/>
      <c r="V143" s="5"/>
      <c r="W143" s="5"/>
      <c r="X143" s="5"/>
      <c r="Y143" s="213"/>
      <c r="Z143" s="213"/>
      <c r="AA143" s="213"/>
      <c r="AB143" s="213"/>
      <c r="AC143" s="213"/>
      <c r="AD143" s="213"/>
      <c r="AE143" s="213"/>
      <c r="AF143" s="213"/>
      <c r="AG143" s="213"/>
      <c r="AH143" s="213"/>
      <c r="AI143" s="213"/>
      <c r="AJ143" s="213"/>
      <c r="AK143" s="213"/>
      <c r="AL143" s="213"/>
      <c r="AM143" s="213"/>
      <c r="AN143" s="213"/>
      <c r="AO143" s="213"/>
      <c r="AP143" s="213"/>
      <c r="AQ143" s="213"/>
      <c r="AR143" s="213"/>
      <c r="AS143" s="213"/>
      <c r="AT143" s="213"/>
      <c r="AU143" s="213"/>
      <c r="AV143" s="213"/>
      <c r="AW143" s="213"/>
      <c r="AX143" s="213"/>
      <c r="AY143" s="213"/>
      <c r="AZ143" s="213"/>
      <c r="BA143" s="213"/>
      <c r="BB143" s="213"/>
      <c r="BC143" s="213"/>
      <c r="BD143" s="213"/>
      <c r="BE143" s="213"/>
      <c r="BF143" s="213"/>
      <c r="BG143" s="213"/>
      <c r="BH143" s="213"/>
      <c r="BI143" s="213"/>
      <c r="BJ143" s="213"/>
      <c r="BK143" s="213"/>
      <c r="BL143" s="213"/>
      <c r="BM143" s="213"/>
      <c r="BN143" s="213"/>
      <c r="BO143" s="213"/>
      <c r="BP143" s="213"/>
      <c r="BQ143" s="213"/>
      <c r="BR143" s="213"/>
      <c r="BS143" s="213"/>
      <c r="BT143" s="213"/>
      <c r="BU143" s="213"/>
      <c r="BV143" s="213"/>
      <c r="BW143" s="213"/>
      <c r="BX143" s="213"/>
    </row>
    <row r="144" spans="1:76" s="126" customFormat="1" ht="11.25" customHeight="1" x14ac:dyDescent="0.2">
      <c r="A144" s="5"/>
      <c r="B144" s="5"/>
      <c r="C144" s="5"/>
      <c r="D144" s="5"/>
      <c r="E144" s="5"/>
      <c r="F144" s="5"/>
      <c r="G144" s="5"/>
      <c r="H144" s="5"/>
      <c r="I144" s="5"/>
      <c r="J144" s="5"/>
      <c r="K144" s="5"/>
      <c r="L144" s="213"/>
      <c r="M144" s="213"/>
      <c r="N144" s="213"/>
      <c r="O144" s="213"/>
      <c r="P144" s="213"/>
      <c r="Q144" s="5"/>
      <c r="R144" s="5"/>
      <c r="S144" s="5"/>
      <c r="T144" s="5"/>
      <c r="U144" s="5"/>
      <c r="V144" s="5"/>
      <c r="W144" s="5"/>
      <c r="X144" s="5"/>
      <c r="Y144" s="213"/>
      <c r="Z144" s="213"/>
      <c r="AA144" s="213"/>
      <c r="AB144" s="213"/>
      <c r="AC144" s="213"/>
      <c r="AD144" s="213"/>
      <c r="AE144" s="213"/>
      <c r="AF144" s="213"/>
      <c r="AG144" s="213"/>
      <c r="AH144" s="213"/>
      <c r="AI144" s="213"/>
      <c r="AJ144" s="213"/>
      <c r="AK144" s="213"/>
      <c r="AL144" s="213"/>
      <c r="AM144" s="213"/>
      <c r="AN144" s="213"/>
      <c r="AO144" s="213"/>
      <c r="AP144" s="213"/>
      <c r="AQ144" s="213"/>
      <c r="AR144" s="213"/>
      <c r="AS144" s="213"/>
      <c r="AT144" s="213"/>
      <c r="AU144" s="213"/>
      <c r="AV144" s="213"/>
      <c r="AW144" s="213"/>
      <c r="AX144" s="213"/>
      <c r="AY144" s="213"/>
      <c r="AZ144" s="213"/>
      <c r="BA144" s="213"/>
      <c r="BB144" s="213"/>
      <c r="BC144" s="213"/>
      <c r="BD144" s="213"/>
      <c r="BE144" s="213"/>
      <c r="BF144" s="213"/>
      <c r="BG144" s="213"/>
      <c r="BH144" s="213"/>
      <c r="BI144" s="213"/>
      <c r="BJ144" s="213"/>
      <c r="BK144" s="213"/>
      <c r="BL144" s="213"/>
      <c r="BM144" s="213"/>
      <c r="BN144" s="213"/>
      <c r="BO144" s="213"/>
      <c r="BP144" s="213"/>
      <c r="BQ144" s="213"/>
      <c r="BR144" s="213"/>
      <c r="BS144" s="213"/>
      <c r="BT144" s="213"/>
      <c r="BU144" s="213"/>
      <c r="BV144" s="213"/>
      <c r="BW144" s="213"/>
      <c r="BX144" s="213"/>
    </row>
    <row r="145" spans="1:76" s="126" customFormat="1" ht="11.25" customHeight="1" x14ac:dyDescent="0.2">
      <c r="A145" s="5"/>
      <c r="B145" s="5"/>
      <c r="C145" s="5"/>
      <c r="D145" s="5"/>
      <c r="E145" s="5"/>
      <c r="F145" s="5"/>
      <c r="G145" s="5"/>
      <c r="H145" s="5"/>
      <c r="I145" s="5"/>
      <c r="J145" s="5"/>
      <c r="K145" s="5"/>
      <c r="L145" s="213"/>
      <c r="M145" s="213"/>
      <c r="N145" s="213"/>
      <c r="O145" s="213"/>
      <c r="P145" s="213"/>
      <c r="Q145" s="5"/>
      <c r="R145" s="5"/>
      <c r="S145" s="5"/>
      <c r="T145" s="5"/>
      <c r="U145" s="5"/>
      <c r="V145" s="5"/>
      <c r="W145" s="5"/>
      <c r="X145" s="5"/>
      <c r="Y145" s="213"/>
      <c r="Z145" s="213"/>
      <c r="AA145" s="213"/>
      <c r="AB145" s="213"/>
      <c r="AC145" s="213"/>
      <c r="AD145" s="213"/>
      <c r="AE145" s="213"/>
      <c r="AF145" s="213"/>
      <c r="AG145" s="213"/>
      <c r="AH145" s="213"/>
      <c r="AI145" s="213"/>
      <c r="AJ145" s="213"/>
      <c r="AK145" s="213"/>
      <c r="AL145" s="213"/>
      <c r="AM145" s="213"/>
      <c r="AN145" s="213"/>
      <c r="AO145" s="213"/>
      <c r="AP145" s="213"/>
      <c r="AQ145" s="213"/>
      <c r="AR145" s="213"/>
      <c r="AS145" s="213"/>
      <c r="AT145" s="213"/>
      <c r="AU145" s="213"/>
      <c r="AV145" s="213"/>
      <c r="AW145" s="213"/>
      <c r="AX145" s="213"/>
      <c r="AY145" s="213"/>
      <c r="AZ145" s="213"/>
      <c r="BA145" s="213"/>
      <c r="BB145" s="213"/>
      <c r="BC145" s="213"/>
      <c r="BD145" s="213"/>
      <c r="BE145" s="213"/>
      <c r="BF145" s="213"/>
      <c r="BG145" s="213"/>
      <c r="BH145" s="213"/>
      <c r="BI145" s="213"/>
      <c r="BJ145" s="213"/>
      <c r="BK145" s="213"/>
      <c r="BL145" s="213"/>
      <c r="BM145" s="213"/>
      <c r="BN145" s="213"/>
      <c r="BO145" s="213"/>
      <c r="BP145" s="213"/>
      <c r="BQ145" s="213"/>
      <c r="BR145" s="213"/>
      <c r="BS145" s="213"/>
      <c r="BT145" s="213"/>
      <c r="BU145" s="213"/>
      <c r="BV145" s="213"/>
      <c r="BW145" s="213"/>
      <c r="BX145" s="213"/>
    </row>
    <row r="146" spans="1:76" s="126" customFormat="1" ht="11.25" customHeight="1" x14ac:dyDescent="0.2">
      <c r="A146" s="5"/>
      <c r="B146" s="5"/>
      <c r="C146" s="5"/>
      <c r="D146" s="5"/>
      <c r="E146" s="5"/>
      <c r="F146" s="5"/>
      <c r="G146" s="5"/>
      <c r="H146" s="5"/>
      <c r="I146" s="5"/>
      <c r="J146" s="5"/>
      <c r="K146" s="5"/>
      <c r="L146" s="213"/>
      <c r="M146" s="213"/>
      <c r="N146" s="213"/>
      <c r="O146" s="213"/>
      <c r="P146" s="213"/>
      <c r="Q146" s="5"/>
      <c r="R146" s="5"/>
      <c r="S146" s="5"/>
      <c r="T146" s="5"/>
      <c r="U146" s="5"/>
      <c r="V146" s="5"/>
      <c r="W146" s="5"/>
      <c r="X146" s="5"/>
      <c r="Y146" s="213"/>
      <c r="Z146" s="213"/>
      <c r="AA146" s="213"/>
      <c r="AB146" s="213"/>
      <c r="AC146" s="213"/>
      <c r="AD146" s="213"/>
      <c r="AE146" s="213"/>
      <c r="AF146" s="213"/>
      <c r="AG146" s="213"/>
      <c r="AH146" s="213"/>
      <c r="AI146" s="213"/>
      <c r="AJ146" s="213"/>
      <c r="AK146" s="213"/>
      <c r="AL146" s="213"/>
      <c r="AM146" s="213"/>
      <c r="AN146" s="213"/>
      <c r="AO146" s="213"/>
      <c r="AP146" s="213"/>
      <c r="AQ146" s="213"/>
      <c r="AR146" s="213"/>
      <c r="AS146" s="213"/>
      <c r="AT146" s="213"/>
      <c r="AU146" s="213"/>
      <c r="AV146" s="213"/>
      <c r="AW146" s="213"/>
      <c r="AX146" s="213"/>
      <c r="AY146" s="213"/>
      <c r="AZ146" s="213"/>
      <c r="BA146" s="213"/>
      <c r="BB146" s="213"/>
      <c r="BC146" s="213"/>
      <c r="BD146" s="213"/>
      <c r="BE146" s="213"/>
      <c r="BF146" s="213"/>
      <c r="BG146" s="213"/>
      <c r="BH146" s="213"/>
      <c r="BI146" s="213"/>
      <c r="BJ146" s="213"/>
      <c r="BK146" s="213"/>
      <c r="BL146" s="213"/>
      <c r="BM146" s="213"/>
      <c r="BN146" s="213"/>
      <c r="BO146" s="213"/>
      <c r="BP146" s="213"/>
      <c r="BQ146" s="213"/>
      <c r="BR146" s="213"/>
      <c r="BS146" s="213"/>
      <c r="BT146" s="213"/>
      <c r="BU146" s="213"/>
      <c r="BV146" s="213"/>
      <c r="BW146" s="213"/>
      <c r="BX146" s="213"/>
    </row>
    <row r="147" spans="1:76" s="126" customFormat="1" ht="11.25" customHeight="1" x14ac:dyDescent="0.2">
      <c r="A147" s="5"/>
      <c r="B147" s="5"/>
      <c r="C147" s="5"/>
      <c r="D147" s="5"/>
      <c r="E147" s="5"/>
      <c r="F147" s="5"/>
      <c r="G147" s="5"/>
      <c r="H147" s="5"/>
      <c r="I147" s="5"/>
      <c r="J147" s="5"/>
      <c r="K147" s="5"/>
      <c r="L147" s="213"/>
      <c r="M147" s="213"/>
      <c r="N147" s="213"/>
      <c r="O147" s="213"/>
      <c r="P147" s="213"/>
      <c r="Q147" s="5"/>
      <c r="R147" s="5"/>
      <c r="S147" s="5"/>
      <c r="T147" s="5"/>
      <c r="U147" s="5"/>
      <c r="V147" s="5"/>
      <c r="W147" s="5"/>
      <c r="X147" s="5"/>
      <c r="Y147" s="213"/>
      <c r="Z147" s="213"/>
      <c r="AA147" s="213"/>
      <c r="AB147" s="213"/>
      <c r="AC147" s="213"/>
      <c r="AD147" s="213"/>
      <c r="AE147" s="213"/>
      <c r="AF147" s="213"/>
      <c r="AG147" s="213"/>
      <c r="AH147" s="213"/>
      <c r="AI147" s="213"/>
      <c r="AJ147" s="213"/>
      <c r="AK147" s="213"/>
      <c r="AL147" s="213"/>
      <c r="AM147" s="213"/>
      <c r="AN147" s="213"/>
      <c r="AO147" s="213"/>
      <c r="AP147" s="213"/>
      <c r="AQ147" s="213"/>
      <c r="AR147" s="213"/>
      <c r="AS147" s="213"/>
      <c r="AT147" s="213"/>
      <c r="AU147" s="213"/>
      <c r="AV147" s="213"/>
      <c r="AW147" s="213"/>
      <c r="AX147" s="213"/>
      <c r="AY147" s="213"/>
      <c r="AZ147" s="213"/>
      <c r="BA147" s="213"/>
      <c r="BB147" s="213"/>
      <c r="BC147" s="213"/>
      <c r="BD147" s="213"/>
      <c r="BE147" s="213"/>
      <c r="BF147" s="213"/>
      <c r="BG147" s="213"/>
      <c r="BH147" s="213"/>
      <c r="BI147" s="213"/>
      <c r="BJ147" s="213"/>
      <c r="BK147" s="213"/>
      <c r="BL147" s="213"/>
      <c r="BM147" s="213"/>
      <c r="BN147" s="213"/>
      <c r="BO147" s="213"/>
      <c r="BP147" s="213"/>
      <c r="BQ147" s="213"/>
      <c r="BR147" s="213"/>
      <c r="BS147" s="213"/>
      <c r="BT147" s="213"/>
      <c r="BU147" s="213"/>
      <c r="BV147" s="213"/>
      <c r="BW147" s="213"/>
      <c r="BX147" s="213"/>
    </row>
    <row r="148" spans="1:76" s="126" customFormat="1" ht="11.25" customHeight="1" x14ac:dyDescent="0.2">
      <c r="A148" s="5"/>
      <c r="B148" s="5"/>
      <c r="C148" s="5"/>
      <c r="D148" s="5"/>
      <c r="E148" s="5"/>
      <c r="F148" s="5"/>
      <c r="G148" s="5"/>
      <c r="H148" s="5"/>
      <c r="I148" s="5"/>
      <c r="J148" s="5"/>
      <c r="K148" s="5"/>
      <c r="L148" s="213"/>
      <c r="M148" s="213"/>
      <c r="N148" s="213"/>
      <c r="O148" s="213"/>
      <c r="P148" s="213"/>
      <c r="Q148" s="5"/>
      <c r="R148" s="5"/>
      <c r="S148" s="5"/>
      <c r="T148" s="5"/>
      <c r="U148" s="5"/>
      <c r="V148" s="5"/>
      <c r="W148" s="5"/>
      <c r="X148" s="5"/>
      <c r="Y148" s="213"/>
      <c r="Z148" s="213"/>
      <c r="AA148" s="213"/>
      <c r="AB148" s="213"/>
      <c r="AC148" s="213"/>
      <c r="AD148" s="213"/>
      <c r="AE148" s="213"/>
      <c r="AF148" s="213"/>
      <c r="AG148" s="213"/>
      <c r="AH148" s="213"/>
      <c r="AI148" s="213"/>
      <c r="AJ148" s="213"/>
      <c r="AK148" s="213"/>
      <c r="AL148" s="213"/>
      <c r="AM148" s="213"/>
      <c r="AN148" s="213"/>
      <c r="AO148" s="213"/>
      <c r="AP148" s="213"/>
      <c r="AQ148" s="213"/>
      <c r="AR148" s="213"/>
      <c r="AS148" s="213"/>
      <c r="AT148" s="213"/>
      <c r="AU148" s="213"/>
      <c r="AV148" s="213"/>
      <c r="AW148" s="213"/>
      <c r="AX148" s="213"/>
      <c r="AY148" s="213"/>
      <c r="AZ148" s="213"/>
      <c r="BA148" s="213"/>
      <c r="BB148" s="213"/>
      <c r="BC148" s="213"/>
      <c r="BD148" s="213"/>
      <c r="BE148" s="213"/>
      <c r="BF148" s="213"/>
      <c r="BG148" s="213"/>
      <c r="BH148" s="213"/>
      <c r="BI148" s="213"/>
      <c r="BJ148" s="213"/>
      <c r="BK148" s="213"/>
      <c r="BL148" s="213"/>
      <c r="BM148" s="213"/>
      <c r="BN148" s="213"/>
      <c r="BO148" s="213"/>
      <c r="BP148" s="213"/>
      <c r="BQ148" s="213"/>
      <c r="BR148" s="213"/>
      <c r="BS148" s="213"/>
      <c r="BT148" s="213"/>
      <c r="BU148" s="213"/>
      <c r="BV148" s="213"/>
      <c r="BW148" s="213"/>
      <c r="BX148" s="213"/>
    </row>
    <row r="149" spans="1:76" s="126" customFormat="1" ht="11.25" customHeight="1" x14ac:dyDescent="0.2">
      <c r="A149" s="5"/>
      <c r="B149" s="5"/>
      <c r="C149" s="5"/>
      <c r="D149" s="5"/>
      <c r="E149" s="5"/>
      <c r="F149" s="5"/>
      <c r="G149" s="5"/>
      <c r="H149" s="5"/>
      <c r="I149" s="5"/>
      <c r="J149" s="5"/>
      <c r="K149" s="5"/>
      <c r="L149" s="213"/>
      <c r="M149" s="213"/>
      <c r="N149" s="213"/>
      <c r="O149" s="213"/>
      <c r="P149" s="213"/>
      <c r="Q149" s="5"/>
      <c r="R149" s="5"/>
      <c r="S149" s="5"/>
      <c r="T149" s="5"/>
      <c r="U149" s="5"/>
      <c r="V149" s="5"/>
      <c r="W149" s="5"/>
      <c r="X149" s="5"/>
      <c r="Y149" s="213"/>
      <c r="Z149" s="213"/>
      <c r="AA149" s="213"/>
      <c r="AB149" s="213"/>
      <c r="AC149" s="213"/>
      <c r="AD149" s="213"/>
      <c r="AE149" s="213"/>
      <c r="AF149" s="213"/>
      <c r="AG149" s="213"/>
      <c r="AH149" s="213"/>
      <c r="AI149" s="213"/>
      <c r="AJ149" s="213"/>
      <c r="AK149" s="213"/>
      <c r="AL149" s="213"/>
      <c r="AM149" s="213"/>
      <c r="AN149" s="213"/>
      <c r="AO149" s="213"/>
      <c r="AP149" s="213"/>
      <c r="AQ149" s="213"/>
      <c r="AR149" s="213"/>
      <c r="AS149" s="213"/>
      <c r="AT149" s="213"/>
      <c r="AU149" s="213"/>
      <c r="AV149" s="213"/>
      <c r="AW149" s="213"/>
      <c r="AX149" s="213"/>
      <c r="AY149" s="213"/>
      <c r="AZ149" s="213"/>
      <c r="BA149" s="213"/>
      <c r="BB149" s="213"/>
      <c r="BC149" s="213"/>
      <c r="BD149" s="213"/>
      <c r="BE149" s="213"/>
      <c r="BF149" s="213"/>
      <c r="BG149" s="213"/>
      <c r="BH149" s="213"/>
      <c r="BI149" s="213"/>
      <c r="BJ149" s="213"/>
      <c r="BK149" s="213"/>
      <c r="BL149" s="213"/>
      <c r="BM149" s="213"/>
      <c r="BN149" s="213"/>
      <c r="BO149" s="213"/>
      <c r="BP149" s="213"/>
      <c r="BQ149" s="213"/>
      <c r="BR149" s="213"/>
      <c r="BS149" s="213"/>
      <c r="BT149" s="213"/>
      <c r="BU149" s="213"/>
      <c r="BV149" s="213"/>
      <c r="BW149" s="213"/>
      <c r="BX149" s="213"/>
    </row>
    <row r="150" spans="1:76" s="126" customFormat="1" ht="11.25" customHeight="1" x14ac:dyDescent="0.2">
      <c r="A150" s="5"/>
      <c r="B150" s="5"/>
      <c r="C150" s="5"/>
      <c r="D150" s="5"/>
      <c r="E150" s="5"/>
      <c r="F150" s="5"/>
      <c r="G150" s="5"/>
      <c r="H150" s="5"/>
      <c r="I150" s="5"/>
      <c r="J150" s="5"/>
      <c r="K150" s="5"/>
      <c r="L150" s="213"/>
      <c r="M150" s="213"/>
      <c r="N150" s="213"/>
      <c r="O150" s="213"/>
      <c r="P150" s="213"/>
      <c r="Q150" s="5"/>
      <c r="R150" s="5"/>
      <c r="S150" s="5"/>
      <c r="T150" s="5"/>
      <c r="U150" s="5"/>
      <c r="V150" s="5"/>
      <c r="W150" s="5"/>
      <c r="X150" s="5"/>
      <c r="Y150" s="213"/>
      <c r="Z150" s="213"/>
      <c r="AA150" s="213"/>
      <c r="AB150" s="213"/>
      <c r="AC150" s="213"/>
      <c r="AD150" s="213"/>
      <c r="AE150" s="213"/>
      <c r="AF150" s="213"/>
      <c r="AG150" s="213"/>
      <c r="AH150" s="213"/>
      <c r="AI150" s="213"/>
      <c r="AJ150" s="213"/>
      <c r="AK150" s="213"/>
      <c r="AL150" s="213"/>
      <c r="AM150" s="213"/>
      <c r="AN150" s="213"/>
      <c r="AO150" s="213"/>
      <c r="AP150" s="213"/>
      <c r="AQ150" s="213"/>
      <c r="AR150" s="213"/>
      <c r="AS150" s="213"/>
      <c r="AT150" s="213"/>
      <c r="AU150" s="213"/>
      <c r="AV150" s="213"/>
      <c r="AW150" s="213"/>
      <c r="AX150" s="213"/>
      <c r="AY150" s="213"/>
      <c r="AZ150" s="213"/>
      <c r="BA150" s="213"/>
      <c r="BB150" s="213"/>
      <c r="BC150" s="213"/>
      <c r="BD150" s="213"/>
      <c r="BE150" s="213"/>
      <c r="BF150" s="213"/>
      <c r="BG150" s="213"/>
      <c r="BH150" s="213"/>
      <c r="BI150" s="213"/>
      <c r="BJ150" s="213"/>
      <c r="BK150" s="213"/>
      <c r="BL150" s="213"/>
      <c r="BM150" s="213"/>
      <c r="BN150" s="213"/>
      <c r="BO150" s="213"/>
      <c r="BP150" s="213"/>
      <c r="BQ150" s="213"/>
      <c r="BR150" s="213"/>
      <c r="BS150" s="213"/>
      <c r="BT150" s="213"/>
      <c r="BU150" s="213"/>
      <c r="BV150" s="213"/>
      <c r="BW150" s="213"/>
      <c r="BX150" s="213"/>
    </row>
    <row r="151" spans="1:76" s="126" customFormat="1" ht="11.25" customHeight="1" x14ac:dyDescent="0.2">
      <c r="A151" s="5"/>
      <c r="B151" s="5"/>
      <c r="C151" s="5"/>
      <c r="D151" s="5"/>
      <c r="E151" s="5"/>
      <c r="F151" s="5"/>
      <c r="G151" s="5"/>
      <c r="H151" s="5"/>
      <c r="I151" s="5"/>
      <c r="J151" s="5"/>
      <c r="K151" s="5"/>
      <c r="L151" s="213"/>
      <c r="M151" s="213"/>
      <c r="N151" s="213"/>
      <c r="O151" s="213"/>
      <c r="P151" s="213"/>
      <c r="Q151" s="5"/>
      <c r="R151" s="5"/>
      <c r="S151" s="5"/>
      <c r="T151" s="5"/>
      <c r="U151" s="5"/>
      <c r="V151" s="5"/>
      <c r="W151" s="5"/>
      <c r="X151" s="5"/>
      <c r="Y151" s="213"/>
      <c r="Z151" s="213"/>
      <c r="AA151" s="213"/>
      <c r="AB151" s="213"/>
      <c r="AC151" s="213"/>
      <c r="AD151" s="213"/>
      <c r="AE151" s="213"/>
      <c r="AF151" s="213"/>
      <c r="AG151" s="213"/>
      <c r="AH151" s="213"/>
      <c r="AI151" s="213"/>
      <c r="AJ151" s="213"/>
      <c r="AK151" s="213"/>
      <c r="AL151" s="213"/>
      <c r="AM151" s="213"/>
      <c r="AN151" s="213"/>
      <c r="AO151" s="213"/>
      <c r="AP151" s="213"/>
      <c r="AQ151" s="213"/>
      <c r="AR151" s="213"/>
      <c r="AS151" s="213"/>
      <c r="AT151" s="213"/>
      <c r="AU151" s="213"/>
      <c r="AV151" s="213"/>
      <c r="AW151" s="213"/>
      <c r="AX151" s="213"/>
      <c r="AY151" s="213"/>
      <c r="AZ151" s="213"/>
      <c r="BA151" s="213"/>
      <c r="BB151" s="213"/>
      <c r="BC151" s="213"/>
      <c r="BD151" s="213"/>
      <c r="BE151" s="213"/>
      <c r="BF151" s="213"/>
      <c r="BG151" s="213"/>
      <c r="BH151" s="213"/>
      <c r="BI151" s="213"/>
      <c r="BJ151" s="213"/>
      <c r="BK151" s="213"/>
      <c r="BL151" s="213"/>
      <c r="BM151" s="213"/>
      <c r="BN151" s="213"/>
      <c r="BO151" s="213"/>
      <c r="BP151" s="213"/>
      <c r="BQ151" s="213"/>
      <c r="BR151" s="213"/>
      <c r="BS151" s="213"/>
      <c r="BT151" s="213"/>
      <c r="BU151" s="213"/>
      <c r="BV151" s="213"/>
      <c r="BW151" s="213"/>
      <c r="BX151" s="213"/>
    </row>
    <row r="152" spans="1:76" s="126" customFormat="1" ht="11.25" customHeight="1" x14ac:dyDescent="0.2">
      <c r="A152" s="5"/>
      <c r="B152" s="5"/>
      <c r="C152" s="5"/>
      <c r="D152" s="5"/>
      <c r="E152" s="5"/>
      <c r="F152" s="5"/>
      <c r="G152" s="5"/>
      <c r="H152" s="5"/>
      <c r="I152" s="5"/>
      <c r="J152" s="5"/>
      <c r="K152" s="5"/>
      <c r="L152" s="213"/>
      <c r="M152" s="213"/>
      <c r="N152" s="213"/>
      <c r="O152" s="213"/>
      <c r="P152" s="213"/>
      <c r="Q152" s="5"/>
      <c r="R152" s="5"/>
      <c r="S152" s="5"/>
      <c r="T152" s="5"/>
      <c r="U152" s="5"/>
      <c r="V152" s="5"/>
      <c r="W152" s="5"/>
      <c r="X152" s="5"/>
      <c r="Y152" s="213"/>
      <c r="Z152" s="213"/>
      <c r="AA152" s="213"/>
      <c r="AB152" s="213"/>
      <c r="AC152" s="213"/>
      <c r="AD152" s="213"/>
      <c r="AE152" s="213"/>
      <c r="AF152" s="213"/>
      <c r="AG152" s="213"/>
      <c r="AH152" s="213"/>
      <c r="AI152" s="213"/>
      <c r="AJ152" s="213"/>
      <c r="AK152" s="213"/>
      <c r="AL152" s="213"/>
      <c r="AM152" s="213"/>
      <c r="AN152" s="213"/>
      <c r="AO152" s="213"/>
      <c r="AP152" s="213"/>
      <c r="AQ152" s="213"/>
      <c r="AR152" s="213"/>
      <c r="AS152" s="213"/>
      <c r="AT152" s="213"/>
      <c r="AU152" s="213"/>
      <c r="AV152" s="213"/>
      <c r="AW152" s="213"/>
      <c r="AX152" s="213"/>
      <c r="AY152" s="213"/>
      <c r="AZ152" s="213"/>
      <c r="BA152" s="213"/>
      <c r="BB152" s="213"/>
      <c r="BC152" s="213"/>
      <c r="BD152" s="213"/>
      <c r="BE152" s="213"/>
      <c r="BF152" s="213"/>
      <c r="BG152" s="213"/>
      <c r="BH152" s="213"/>
      <c r="BI152" s="213"/>
      <c r="BJ152" s="213"/>
      <c r="BK152" s="213"/>
      <c r="BL152" s="213"/>
      <c r="BM152" s="213"/>
      <c r="BN152" s="213"/>
      <c r="BO152" s="213"/>
      <c r="BP152" s="213"/>
      <c r="BQ152" s="213"/>
      <c r="BR152" s="213"/>
      <c r="BS152" s="213"/>
      <c r="BT152" s="213"/>
      <c r="BU152" s="213"/>
      <c r="BV152" s="213"/>
      <c r="BW152" s="213"/>
      <c r="BX152" s="213"/>
    </row>
    <row r="153" spans="1:76" s="126" customFormat="1" ht="11.25" customHeight="1" x14ac:dyDescent="0.2">
      <c r="A153" s="5"/>
      <c r="B153" s="5"/>
      <c r="C153" s="5"/>
      <c r="D153" s="5"/>
      <c r="E153" s="5"/>
      <c r="F153" s="5"/>
      <c r="G153" s="5"/>
      <c r="H153" s="5"/>
      <c r="I153" s="5"/>
      <c r="J153" s="5"/>
      <c r="K153" s="5"/>
      <c r="L153" s="213"/>
      <c r="M153" s="213"/>
      <c r="N153" s="213"/>
      <c r="O153" s="213"/>
      <c r="P153" s="213"/>
      <c r="Q153" s="5"/>
      <c r="R153" s="5"/>
      <c r="S153" s="5"/>
      <c r="T153" s="5"/>
      <c r="U153" s="5"/>
      <c r="V153" s="5"/>
      <c r="W153" s="5"/>
      <c r="X153" s="5"/>
      <c r="Y153" s="213"/>
      <c r="Z153" s="213"/>
      <c r="AA153" s="213"/>
      <c r="AB153" s="213"/>
      <c r="AC153" s="213"/>
      <c r="AD153" s="213"/>
      <c r="AE153" s="213"/>
      <c r="AF153" s="213"/>
      <c r="AG153" s="213"/>
      <c r="AH153" s="213"/>
      <c r="AI153" s="213"/>
      <c r="AJ153" s="213"/>
      <c r="AK153" s="213"/>
      <c r="AL153" s="213"/>
      <c r="AM153" s="213"/>
      <c r="AN153" s="213"/>
      <c r="AO153" s="213"/>
      <c r="AP153" s="213"/>
      <c r="AQ153" s="213"/>
      <c r="AR153" s="213"/>
      <c r="AS153" s="213"/>
      <c r="AT153" s="213"/>
      <c r="AU153" s="213"/>
      <c r="AV153" s="213"/>
      <c r="AW153" s="213"/>
      <c r="AX153" s="213"/>
      <c r="AY153" s="213"/>
      <c r="AZ153" s="213"/>
      <c r="BA153" s="213"/>
      <c r="BB153" s="213"/>
      <c r="BC153" s="213"/>
      <c r="BD153" s="213"/>
      <c r="BE153" s="213"/>
      <c r="BF153" s="213"/>
      <c r="BG153" s="213"/>
      <c r="BH153" s="213"/>
      <c r="BI153" s="213"/>
      <c r="BJ153" s="213"/>
      <c r="BK153" s="213"/>
      <c r="BL153" s="213"/>
      <c r="BM153" s="213"/>
      <c r="BN153" s="213"/>
      <c r="BO153" s="213"/>
      <c r="BP153" s="213"/>
      <c r="BQ153" s="213"/>
      <c r="BR153" s="213"/>
      <c r="BS153" s="213"/>
      <c r="BT153" s="213"/>
      <c r="BU153" s="213"/>
      <c r="BV153" s="213"/>
      <c r="BW153" s="213"/>
      <c r="BX153" s="213"/>
    </row>
    <row r="154" spans="1:76" s="126" customFormat="1" ht="11.25" customHeight="1" x14ac:dyDescent="0.2">
      <c r="A154" s="5"/>
      <c r="B154" s="5"/>
      <c r="C154" s="5"/>
      <c r="D154" s="5"/>
      <c r="E154" s="5"/>
      <c r="F154" s="5"/>
      <c r="G154" s="5"/>
      <c r="H154" s="5"/>
      <c r="I154" s="5"/>
      <c r="J154" s="5"/>
      <c r="K154" s="5"/>
      <c r="L154" s="213"/>
      <c r="M154" s="213"/>
      <c r="N154" s="213"/>
      <c r="O154" s="213"/>
      <c r="P154" s="213"/>
      <c r="Q154" s="5"/>
      <c r="R154" s="5"/>
      <c r="S154" s="5"/>
      <c r="T154" s="5"/>
      <c r="U154" s="5"/>
      <c r="V154" s="5"/>
      <c r="W154" s="5"/>
      <c r="X154" s="5"/>
      <c r="Y154" s="213"/>
      <c r="Z154" s="213"/>
      <c r="AA154" s="213"/>
      <c r="AB154" s="213"/>
      <c r="AC154" s="213"/>
      <c r="AD154" s="213"/>
      <c r="AE154" s="213"/>
      <c r="AF154" s="213"/>
      <c r="AG154" s="213"/>
      <c r="AH154" s="213"/>
      <c r="AI154" s="213"/>
      <c r="AJ154" s="213"/>
      <c r="AK154" s="213"/>
      <c r="AL154" s="213"/>
      <c r="AM154" s="213"/>
      <c r="AN154" s="213"/>
      <c r="AO154" s="213"/>
      <c r="AP154" s="213"/>
      <c r="AQ154" s="213"/>
      <c r="AR154" s="213"/>
      <c r="AS154" s="213"/>
      <c r="AT154" s="213"/>
      <c r="AU154" s="213"/>
      <c r="AV154" s="213"/>
      <c r="AW154" s="213"/>
      <c r="AX154" s="213"/>
      <c r="AY154" s="213"/>
      <c r="AZ154" s="213"/>
      <c r="BA154" s="213"/>
      <c r="BB154" s="213"/>
      <c r="BC154" s="213"/>
      <c r="BD154" s="213"/>
      <c r="BE154" s="213"/>
      <c r="BF154" s="213"/>
      <c r="BG154" s="213"/>
      <c r="BH154" s="213"/>
      <c r="BI154" s="213"/>
      <c r="BJ154" s="213"/>
      <c r="BK154" s="213"/>
      <c r="BL154" s="213"/>
      <c r="BM154" s="213"/>
      <c r="BN154" s="213"/>
      <c r="BO154" s="213"/>
      <c r="BP154" s="213"/>
      <c r="BQ154" s="213"/>
      <c r="BR154" s="213"/>
      <c r="BS154" s="213"/>
      <c r="BT154" s="213"/>
      <c r="BU154" s="213"/>
      <c r="BV154" s="213"/>
      <c r="BW154" s="213"/>
      <c r="BX154" s="213"/>
    </row>
    <row r="155" spans="1:76" s="126" customFormat="1" ht="11.25" customHeight="1" x14ac:dyDescent="0.2">
      <c r="A155" s="5"/>
      <c r="B155" s="5"/>
      <c r="C155" s="5"/>
      <c r="D155" s="5"/>
      <c r="E155" s="5"/>
      <c r="F155" s="5"/>
      <c r="G155" s="5"/>
      <c r="H155" s="5"/>
      <c r="I155" s="5"/>
      <c r="J155" s="5"/>
      <c r="K155" s="5"/>
      <c r="L155" s="213"/>
      <c r="M155" s="213"/>
      <c r="N155" s="213"/>
      <c r="O155" s="213"/>
      <c r="P155" s="213"/>
      <c r="Q155" s="5"/>
      <c r="R155" s="5"/>
      <c r="S155" s="5"/>
      <c r="T155" s="5"/>
      <c r="U155" s="5"/>
      <c r="V155" s="5"/>
      <c r="W155" s="5"/>
      <c r="X155" s="5"/>
      <c r="Y155" s="213"/>
      <c r="Z155" s="213"/>
      <c r="AA155" s="213"/>
      <c r="AB155" s="213"/>
      <c r="AC155" s="213"/>
      <c r="AD155" s="213"/>
      <c r="AE155" s="213"/>
      <c r="AF155" s="213"/>
      <c r="AG155" s="213"/>
      <c r="AH155" s="213"/>
      <c r="AI155" s="213"/>
      <c r="AJ155" s="213"/>
      <c r="AK155" s="213"/>
      <c r="AL155" s="213"/>
      <c r="AM155" s="213"/>
      <c r="AN155" s="213"/>
      <c r="AO155" s="213"/>
      <c r="AP155" s="213"/>
      <c r="AQ155" s="213"/>
      <c r="AR155" s="213"/>
      <c r="AS155" s="213"/>
      <c r="AT155" s="213"/>
      <c r="AU155" s="213"/>
      <c r="AV155" s="213"/>
      <c r="AW155" s="213"/>
      <c r="AX155" s="213"/>
      <c r="AY155" s="213"/>
      <c r="AZ155" s="213"/>
      <c r="BA155" s="213"/>
      <c r="BB155" s="213"/>
      <c r="BC155" s="213"/>
      <c r="BD155" s="213"/>
      <c r="BE155" s="213"/>
      <c r="BF155" s="213"/>
      <c r="BG155" s="213"/>
      <c r="BH155" s="213"/>
      <c r="BI155" s="213"/>
      <c r="BJ155" s="213"/>
      <c r="BK155" s="213"/>
      <c r="BL155" s="213"/>
      <c r="BM155" s="213"/>
      <c r="BN155" s="213"/>
      <c r="BO155" s="213"/>
      <c r="BP155" s="213"/>
      <c r="BQ155" s="213"/>
      <c r="BR155" s="213"/>
      <c r="BS155" s="213"/>
      <c r="BT155" s="213"/>
      <c r="BU155" s="213"/>
      <c r="BV155" s="213"/>
      <c r="BW155" s="213"/>
      <c r="BX155" s="213"/>
    </row>
    <row r="156" spans="1:76" s="126" customFormat="1" ht="11.25" customHeight="1" x14ac:dyDescent="0.2">
      <c r="A156" s="5"/>
      <c r="B156" s="5"/>
      <c r="C156" s="5"/>
      <c r="D156" s="5"/>
      <c r="E156" s="5"/>
      <c r="F156" s="5"/>
      <c r="G156" s="5"/>
      <c r="H156" s="5"/>
      <c r="I156" s="5"/>
      <c r="J156" s="5"/>
      <c r="K156" s="5"/>
      <c r="L156" s="213"/>
      <c r="M156" s="213"/>
      <c r="N156" s="213"/>
      <c r="O156" s="213"/>
      <c r="P156" s="213"/>
      <c r="Q156" s="5"/>
      <c r="R156" s="5"/>
      <c r="S156" s="5"/>
      <c r="T156" s="5"/>
      <c r="U156" s="5"/>
      <c r="V156" s="5"/>
      <c r="W156" s="5"/>
      <c r="X156" s="5"/>
      <c r="Y156" s="213"/>
      <c r="Z156" s="213"/>
      <c r="AA156" s="213"/>
      <c r="AB156" s="213"/>
      <c r="AC156" s="213"/>
      <c r="AD156" s="213"/>
      <c r="AE156" s="213"/>
      <c r="AF156" s="213"/>
      <c r="AG156" s="213"/>
      <c r="AH156" s="213"/>
      <c r="AI156" s="213"/>
      <c r="AJ156" s="213"/>
      <c r="AK156" s="213"/>
      <c r="AL156" s="213"/>
      <c r="AM156" s="213"/>
      <c r="AN156" s="213"/>
      <c r="AO156" s="213"/>
      <c r="AP156" s="213"/>
      <c r="AQ156" s="213"/>
      <c r="AR156" s="213"/>
      <c r="AS156" s="213"/>
      <c r="AT156" s="213"/>
      <c r="AU156" s="213"/>
      <c r="AV156" s="213"/>
      <c r="AW156" s="213"/>
      <c r="AX156" s="213"/>
      <c r="AY156" s="213"/>
      <c r="AZ156" s="213"/>
      <c r="BA156" s="213"/>
      <c r="BB156" s="213"/>
      <c r="BC156" s="213"/>
      <c r="BD156" s="213"/>
      <c r="BE156" s="213"/>
      <c r="BF156" s="213"/>
      <c r="BG156" s="213"/>
      <c r="BH156" s="213"/>
      <c r="BI156" s="213"/>
      <c r="BJ156" s="213"/>
      <c r="BK156" s="213"/>
      <c r="BL156" s="213"/>
      <c r="BM156" s="213"/>
      <c r="BN156" s="213"/>
      <c r="BO156" s="213"/>
      <c r="BP156" s="213"/>
      <c r="BQ156" s="213"/>
      <c r="BR156" s="213"/>
      <c r="BS156" s="213"/>
      <c r="BT156" s="213"/>
      <c r="BU156" s="213"/>
      <c r="BV156" s="213"/>
      <c r="BW156" s="213"/>
      <c r="BX156" s="213"/>
    </row>
    <row r="157" spans="1:76" s="126" customFormat="1" ht="11.25" customHeight="1" x14ac:dyDescent="0.2">
      <c r="A157" s="5"/>
      <c r="B157" s="5"/>
      <c r="C157" s="5"/>
      <c r="D157" s="5"/>
      <c r="E157" s="5"/>
      <c r="F157" s="5"/>
      <c r="G157" s="5"/>
      <c r="H157" s="5"/>
      <c r="I157" s="5"/>
      <c r="J157" s="5"/>
      <c r="K157" s="5"/>
      <c r="L157" s="213"/>
      <c r="M157" s="213"/>
      <c r="N157" s="213"/>
      <c r="O157" s="213"/>
      <c r="P157" s="213"/>
      <c r="Q157" s="5"/>
      <c r="R157" s="5"/>
      <c r="S157" s="5"/>
      <c r="T157" s="5"/>
      <c r="U157" s="5"/>
      <c r="V157" s="5"/>
      <c r="W157" s="5"/>
      <c r="X157" s="5"/>
      <c r="Y157" s="213"/>
      <c r="Z157" s="213"/>
      <c r="AA157" s="213"/>
      <c r="AB157" s="213"/>
      <c r="AC157" s="213"/>
      <c r="AD157" s="213"/>
      <c r="AE157" s="213"/>
      <c r="AF157" s="213"/>
      <c r="AG157" s="213"/>
      <c r="AH157" s="213"/>
      <c r="AI157" s="213"/>
      <c r="AJ157" s="213"/>
      <c r="AK157" s="213"/>
      <c r="AL157" s="213"/>
      <c r="AM157" s="213"/>
      <c r="AN157" s="213"/>
      <c r="AO157" s="213"/>
      <c r="AP157" s="213"/>
      <c r="AQ157" s="213"/>
      <c r="AR157" s="213"/>
      <c r="AS157" s="213"/>
      <c r="AT157" s="213"/>
      <c r="AU157" s="213"/>
      <c r="AV157" s="213"/>
      <c r="AW157" s="213"/>
      <c r="AX157" s="213"/>
      <c r="AY157" s="213"/>
      <c r="AZ157" s="213"/>
      <c r="BA157" s="213"/>
      <c r="BB157" s="213"/>
      <c r="BC157" s="213"/>
      <c r="BD157" s="213"/>
      <c r="BE157" s="213"/>
      <c r="BF157" s="213"/>
      <c r="BG157" s="213"/>
      <c r="BH157" s="213"/>
      <c r="BI157" s="213"/>
      <c r="BJ157" s="213"/>
      <c r="BK157" s="213"/>
      <c r="BL157" s="213"/>
      <c r="BM157" s="213"/>
      <c r="BN157" s="213"/>
      <c r="BO157" s="213"/>
      <c r="BP157" s="213"/>
      <c r="BQ157" s="213"/>
      <c r="BR157" s="213"/>
      <c r="BS157" s="213"/>
      <c r="BT157" s="213"/>
      <c r="BU157" s="213"/>
      <c r="BV157" s="213"/>
      <c r="BW157" s="213"/>
      <c r="BX157" s="213"/>
    </row>
    <row r="158" spans="1:76" s="126" customFormat="1" ht="11.25" customHeight="1" x14ac:dyDescent="0.2">
      <c r="A158" s="5"/>
      <c r="B158" s="5"/>
      <c r="C158" s="5"/>
      <c r="D158" s="5"/>
      <c r="E158" s="5"/>
      <c r="F158" s="5"/>
      <c r="G158" s="5"/>
      <c r="H158" s="5"/>
      <c r="I158" s="5"/>
      <c r="J158" s="5"/>
      <c r="K158" s="5"/>
      <c r="L158" s="213"/>
      <c r="M158" s="213"/>
      <c r="N158" s="213"/>
      <c r="O158" s="213"/>
      <c r="P158" s="213"/>
      <c r="Q158" s="5"/>
      <c r="R158" s="5"/>
      <c r="S158" s="5"/>
      <c r="T158" s="5"/>
      <c r="U158" s="5"/>
      <c r="V158" s="5"/>
      <c r="W158" s="5"/>
      <c r="X158" s="5"/>
      <c r="Y158" s="213"/>
      <c r="Z158" s="213"/>
      <c r="AA158" s="213"/>
      <c r="AB158" s="213"/>
      <c r="AC158" s="213"/>
      <c r="AD158" s="213"/>
      <c r="AE158" s="213"/>
      <c r="AF158" s="213"/>
      <c r="AG158" s="213"/>
      <c r="AH158" s="213"/>
      <c r="AI158" s="213"/>
      <c r="AJ158" s="213"/>
      <c r="AK158" s="213"/>
      <c r="AL158" s="213"/>
      <c r="AM158" s="213"/>
      <c r="AN158" s="213"/>
      <c r="AO158" s="213"/>
      <c r="AP158" s="213"/>
      <c r="AQ158" s="213"/>
      <c r="AR158" s="213"/>
      <c r="AS158" s="213"/>
      <c r="AT158" s="213"/>
      <c r="AU158" s="213"/>
      <c r="AV158" s="213"/>
      <c r="AW158" s="213"/>
      <c r="AX158" s="213"/>
      <c r="AY158" s="213"/>
      <c r="AZ158" s="213"/>
      <c r="BA158" s="213"/>
      <c r="BB158" s="213"/>
      <c r="BC158" s="213"/>
      <c r="BD158" s="213"/>
      <c r="BE158" s="213"/>
      <c r="BF158" s="213"/>
      <c r="BG158" s="213"/>
      <c r="BH158" s="213"/>
      <c r="BI158" s="213"/>
      <c r="BJ158" s="213"/>
      <c r="BK158" s="213"/>
      <c r="BL158" s="213"/>
      <c r="BM158" s="213"/>
      <c r="BN158" s="213"/>
      <c r="BO158" s="213"/>
      <c r="BP158" s="213"/>
      <c r="BQ158" s="213"/>
      <c r="BR158" s="213"/>
      <c r="BS158" s="213"/>
      <c r="BT158" s="213"/>
      <c r="BU158" s="213"/>
      <c r="BV158" s="213"/>
      <c r="BW158" s="213"/>
      <c r="BX158" s="213"/>
    </row>
    <row r="159" spans="1:76" s="126" customFormat="1" ht="11.25" customHeight="1" x14ac:dyDescent="0.2">
      <c r="A159" s="5"/>
      <c r="B159" s="5"/>
      <c r="C159" s="5"/>
      <c r="D159" s="5"/>
      <c r="E159" s="5"/>
      <c r="F159" s="5"/>
      <c r="G159" s="5"/>
      <c r="H159" s="5"/>
      <c r="I159" s="5"/>
      <c r="J159" s="5"/>
      <c r="K159" s="5"/>
      <c r="L159" s="213"/>
      <c r="M159" s="213"/>
      <c r="N159" s="213"/>
      <c r="O159" s="213"/>
      <c r="P159" s="213"/>
      <c r="Q159" s="5"/>
      <c r="R159" s="5"/>
      <c r="S159" s="5"/>
      <c r="T159" s="5"/>
      <c r="U159" s="5"/>
      <c r="V159" s="5"/>
      <c r="W159" s="5"/>
      <c r="X159" s="5"/>
      <c r="Y159" s="213"/>
      <c r="Z159" s="213"/>
      <c r="AA159" s="213"/>
      <c r="AB159" s="213"/>
      <c r="AC159" s="213"/>
      <c r="AD159" s="213"/>
      <c r="AE159" s="213"/>
      <c r="AF159" s="213"/>
      <c r="AG159" s="213"/>
      <c r="AH159" s="213"/>
      <c r="AI159" s="213"/>
      <c r="AJ159" s="213"/>
      <c r="AK159" s="213"/>
      <c r="AL159" s="213"/>
      <c r="AM159" s="213"/>
      <c r="AN159" s="213"/>
      <c r="AO159" s="213"/>
      <c r="AP159" s="213"/>
      <c r="AQ159" s="213"/>
      <c r="AR159" s="213"/>
      <c r="AS159" s="213"/>
      <c r="AT159" s="213"/>
      <c r="AU159" s="213"/>
      <c r="AV159" s="213"/>
      <c r="AW159" s="213"/>
      <c r="AX159" s="213"/>
      <c r="AY159" s="213"/>
      <c r="AZ159" s="213"/>
      <c r="BA159" s="213"/>
      <c r="BB159" s="213"/>
      <c r="BC159" s="213"/>
      <c r="BD159" s="213"/>
      <c r="BE159" s="213"/>
      <c r="BF159" s="213"/>
      <c r="BG159" s="213"/>
      <c r="BH159" s="213"/>
      <c r="BI159" s="213"/>
      <c r="BJ159" s="213"/>
      <c r="BK159" s="213"/>
      <c r="BL159" s="213"/>
      <c r="BM159" s="213"/>
      <c r="BN159" s="213"/>
      <c r="BO159" s="213"/>
      <c r="BP159" s="213"/>
      <c r="BQ159" s="213"/>
      <c r="BR159" s="213"/>
      <c r="BS159" s="213"/>
      <c r="BT159" s="213"/>
      <c r="BU159" s="213"/>
      <c r="BV159" s="213"/>
      <c r="BW159" s="213"/>
      <c r="BX159" s="213"/>
    </row>
    <row r="160" spans="1:76" s="126" customFormat="1" ht="11.25" customHeight="1" x14ac:dyDescent="0.2">
      <c r="A160" s="5"/>
      <c r="B160" s="5"/>
      <c r="C160" s="5"/>
      <c r="D160" s="5"/>
      <c r="E160" s="5"/>
      <c r="F160" s="5"/>
      <c r="G160" s="5"/>
      <c r="H160" s="5"/>
      <c r="I160" s="5"/>
      <c r="J160" s="5"/>
      <c r="K160" s="5"/>
      <c r="L160" s="213"/>
      <c r="M160" s="213"/>
      <c r="N160" s="213"/>
      <c r="O160" s="213"/>
      <c r="P160" s="213"/>
      <c r="Q160" s="5"/>
      <c r="R160" s="5"/>
      <c r="S160" s="5"/>
      <c r="T160" s="5"/>
      <c r="U160" s="5"/>
      <c r="V160" s="5"/>
      <c r="W160" s="5"/>
      <c r="X160" s="5"/>
      <c r="Y160" s="213"/>
      <c r="Z160" s="213"/>
      <c r="AA160" s="213"/>
      <c r="AB160" s="213"/>
      <c r="AC160" s="213"/>
      <c r="AD160" s="213"/>
      <c r="AE160" s="213"/>
      <c r="AF160" s="213"/>
      <c r="AG160" s="213"/>
      <c r="AH160" s="213"/>
      <c r="AI160" s="213"/>
      <c r="AJ160" s="213"/>
      <c r="AK160" s="213"/>
      <c r="AL160" s="213"/>
      <c r="AM160" s="213"/>
      <c r="AN160" s="213"/>
      <c r="AO160" s="213"/>
      <c r="AP160" s="213"/>
      <c r="AQ160" s="213"/>
      <c r="AR160" s="213"/>
      <c r="AS160" s="213"/>
      <c r="AT160" s="213"/>
      <c r="AU160" s="213"/>
      <c r="AV160" s="213"/>
      <c r="AW160" s="213"/>
      <c r="AX160" s="213"/>
      <c r="AY160" s="213"/>
      <c r="AZ160" s="213"/>
      <c r="BA160" s="213"/>
      <c r="BB160" s="213"/>
      <c r="BC160" s="213"/>
      <c r="BD160" s="213"/>
      <c r="BE160" s="213"/>
      <c r="BF160" s="213"/>
      <c r="BG160" s="213"/>
      <c r="BH160" s="213"/>
      <c r="BI160" s="213"/>
      <c r="BJ160" s="213"/>
      <c r="BK160" s="213"/>
      <c r="BL160" s="213"/>
      <c r="BM160" s="213"/>
      <c r="BN160" s="213"/>
      <c r="BO160" s="213"/>
      <c r="BP160" s="213"/>
      <c r="BQ160" s="213"/>
      <c r="BR160" s="213"/>
      <c r="BS160" s="213"/>
      <c r="BT160" s="213"/>
      <c r="BU160" s="213"/>
      <c r="BV160" s="213"/>
      <c r="BW160" s="213"/>
      <c r="BX160" s="213"/>
    </row>
    <row r="161" spans="1:76" s="126" customFormat="1" ht="11.25" customHeight="1" x14ac:dyDescent="0.2">
      <c r="A161" s="5"/>
      <c r="B161" s="5"/>
      <c r="C161" s="5"/>
      <c r="D161" s="5"/>
      <c r="E161" s="5"/>
      <c r="F161" s="5"/>
      <c r="G161" s="5"/>
      <c r="H161" s="5"/>
      <c r="I161" s="5"/>
      <c r="J161" s="5"/>
      <c r="K161" s="5"/>
      <c r="L161" s="213"/>
      <c r="M161" s="213"/>
      <c r="N161" s="213"/>
      <c r="O161" s="213"/>
      <c r="P161" s="213"/>
      <c r="Q161" s="5"/>
      <c r="R161" s="5"/>
      <c r="S161" s="5"/>
      <c r="T161" s="5"/>
      <c r="U161" s="5"/>
      <c r="V161" s="5"/>
      <c r="W161" s="5"/>
      <c r="X161" s="5"/>
      <c r="Y161" s="213"/>
      <c r="Z161" s="213"/>
      <c r="AA161" s="213"/>
      <c r="AB161" s="213"/>
      <c r="AC161" s="213"/>
      <c r="AD161" s="213"/>
      <c r="AE161" s="213"/>
      <c r="AF161" s="213"/>
      <c r="AG161" s="213"/>
      <c r="AH161" s="213"/>
      <c r="AI161" s="213"/>
      <c r="AJ161" s="213"/>
      <c r="AK161" s="213"/>
      <c r="AL161" s="213"/>
      <c r="AM161" s="213"/>
      <c r="AN161" s="213"/>
      <c r="AO161" s="213"/>
      <c r="AP161" s="213"/>
      <c r="AQ161" s="213"/>
      <c r="AR161" s="213"/>
      <c r="AS161" s="213"/>
      <c r="AT161" s="213"/>
      <c r="AU161" s="213"/>
      <c r="AV161" s="213"/>
      <c r="AW161" s="213"/>
      <c r="AX161" s="213"/>
      <c r="AY161" s="213"/>
      <c r="AZ161" s="213"/>
      <c r="BA161" s="213"/>
      <c r="BB161" s="213"/>
      <c r="BC161" s="213"/>
      <c r="BD161" s="213"/>
      <c r="BE161" s="213"/>
      <c r="BF161" s="213"/>
      <c r="BG161" s="213"/>
      <c r="BH161" s="213"/>
      <c r="BI161" s="213"/>
      <c r="BJ161" s="213"/>
      <c r="BK161" s="213"/>
      <c r="BL161" s="213"/>
      <c r="BM161" s="213"/>
      <c r="BN161" s="213"/>
      <c r="BO161" s="213"/>
      <c r="BP161" s="213"/>
      <c r="BQ161" s="213"/>
      <c r="BR161" s="213"/>
      <c r="BS161" s="213"/>
      <c r="BT161" s="213"/>
      <c r="BU161" s="213"/>
      <c r="BV161" s="213"/>
      <c r="BW161" s="213"/>
      <c r="BX161" s="213"/>
    </row>
    <row r="162" spans="1:76" s="126" customFormat="1" ht="11.25" customHeight="1" x14ac:dyDescent="0.2">
      <c r="A162" s="5"/>
      <c r="B162" s="5"/>
      <c r="C162" s="5"/>
      <c r="D162" s="5"/>
      <c r="E162" s="5"/>
      <c r="F162" s="5"/>
      <c r="G162" s="5"/>
      <c r="H162" s="5"/>
      <c r="I162" s="5"/>
      <c r="J162" s="5"/>
      <c r="K162" s="5"/>
      <c r="L162" s="213"/>
      <c r="M162" s="213"/>
      <c r="N162" s="213"/>
      <c r="O162" s="213"/>
      <c r="P162" s="213"/>
      <c r="Q162" s="5"/>
      <c r="R162" s="5"/>
      <c r="S162" s="5"/>
      <c r="T162" s="5"/>
      <c r="U162" s="5"/>
      <c r="V162" s="5"/>
      <c r="W162" s="5"/>
      <c r="X162" s="5"/>
      <c r="Y162" s="213"/>
      <c r="Z162" s="213"/>
      <c r="AA162" s="213"/>
      <c r="AB162" s="213"/>
      <c r="AC162" s="213"/>
      <c r="AD162" s="213"/>
      <c r="AE162" s="213"/>
      <c r="AF162" s="213"/>
      <c r="AG162" s="213"/>
      <c r="AH162" s="213"/>
      <c r="AI162" s="213"/>
      <c r="AJ162" s="213"/>
      <c r="AK162" s="213"/>
      <c r="AL162" s="213"/>
      <c r="AM162" s="213"/>
      <c r="AN162" s="213"/>
      <c r="AO162" s="213"/>
      <c r="AP162" s="213"/>
      <c r="AQ162" s="213"/>
      <c r="AR162" s="213"/>
      <c r="AS162" s="213"/>
      <c r="AT162" s="213"/>
      <c r="AU162" s="213"/>
      <c r="AV162" s="213"/>
      <c r="AW162" s="213"/>
      <c r="AX162" s="213"/>
      <c r="AY162" s="213"/>
      <c r="AZ162" s="213"/>
      <c r="BA162" s="213"/>
      <c r="BB162" s="213"/>
      <c r="BC162" s="213"/>
      <c r="BD162" s="213"/>
      <c r="BE162" s="213"/>
      <c r="BF162" s="213"/>
      <c r="BG162" s="213"/>
      <c r="BH162" s="213"/>
      <c r="BI162" s="213"/>
      <c r="BJ162" s="213"/>
      <c r="BK162" s="213"/>
      <c r="BL162" s="213"/>
      <c r="BM162" s="213"/>
      <c r="BN162" s="213"/>
      <c r="BO162" s="213"/>
      <c r="BP162" s="213"/>
      <c r="BQ162" s="213"/>
      <c r="BR162" s="213"/>
      <c r="BS162" s="213"/>
      <c r="BT162" s="213"/>
      <c r="BU162" s="213"/>
      <c r="BV162" s="213"/>
      <c r="BW162" s="213"/>
      <c r="BX162" s="213"/>
    </row>
    <row r="163" spans="1:76" s="126" customFormat="1" ht="11.25" customHeight="1" x14ac:dyDescent="0.2">
      <c r="A163" s="5"/>
      <c r="B163" s="5"/>
      <c r="C163" s="5"/>
      <c r="D163" s="5"/>
      <c r="E163" s="5"/>
      <c r="F163" s="5"/>
      <c r="G163" s="5"/>
      <c r="H163" s="5"/>
      <c r="I163" s="5"/>
      <c r="J163" s="5"/>
      <c r="K163" s="5"/>
      <c r="L163" s="213"/>
      <c r="M163" s="213"/>
      <c r="N163" s="213"/>
      <c r="O163" s="213"/>
      <c r="P163" s="213"/>
      <c r="Q163" s="5"/>
      <c r="R163" s="5"/>
      <c r="S163" s="5"/>
      <c r="T163" s="5"/>
      <c r="U163" s="5"/>
      <c r="V163" s="5"/>
      <c r="W163" s="5"/>
      <c r="X163" s="5"/>
      <c r="Y163" s="213"/>
      <c r="Z163" s="213"/>
      <c r="AA163" s="213"/>
      <c r="AB163" s="213"/>
      <c r="AC163" s="213"/>
      <c r="AD163" s="213"/>
      <c r="AE163" s="213"/>
      <c r="AF163" s="213"/>
      <c r="AG163" s="213"/>
      <c r="AH163" s="213"/>
      <c r="AI163" s="213"/>
      <c r="AJ163" s="213"/>
      <c r="AK163" s="213"/>
      <c r="AL163" s="213"/>
      <c r="AM163" s="213"/>
      <c r="AN163" s="213"/>
      <c r="AO163" s="213"/>
      <c r="AP163" s="213"/>
      <c r="AQ163" s="213"/>
      <c r="AR163" s="213"/>
      <c r="AS163" s="213"/>
      <c r="AT163" s="213"/>
      <c r="AU163" s="213"/>
      <c r="AV163" s="213"/>
      <c r="AW163" s="213"/>
      <c r="AX163" s="213"/>
      <c r="AY163" s="213"/>
      <c r="AZ163" s="213"/>
      <c r="BA163" s="213"/>
      <c r="BB163" s="213"/>
      <c r="BC163" s="213"/>
      <c r="BD163" s="213"/>
      <c r="BE163" s="213"/>
      <c r="BF163" s="213"/>
      <c r="BG163" s="213"/>
      <c r="BH163" s="213"/>
      <c r="BI163" s="213"/>
      <c r="BJ163" s="213"/>
      <c r="BK163" s="213"/>
      <c r="BL163" s="213"/>
      <c r="BM163" s="213"/>
      <c r="BN163" s="213"/>
      <c r="BO163" s="213"/>
      <c r="BP163" s="213"/>
      <c r="BQ163" s="213"/>
      <c r="BR163" s="213"/>
      <c r="BS163" s="213"/>
      <c r="BT163" s="213"/>
      <c r="BU163" s="213"/>
      <c r="BV163" s="213"/>
      <c r="BW163" s="213"/>
      <c r="BX163" s="213"/>
    </row>
    <row r="164" spans="1:76" s="126" customFormat="1" ht="11.25" customHeight="1" x14ac:dyDescent="0.2">
      <c r="A164" s="5"/>
      <c r="B164" s="5"/>
      <c r="C164" s="5"/>
      <c r="D164" s="5"/>
      <c r="E164" s="5"/>
      <c r="F164" s="5"/>
      <c r="G164" s="5"/>
      <c r="H164" s="5"/>
      <c r="I164" s="5"/>
      <c r="J164" s="5"/>
      <c r="K164" s="5"/>
      <c r="L164" s="213"/>
      <c r="M164" s="213"/>
      <c r="N164" s="213"/>
      <c r="O164" s="213"/>
      <c r="P164" s="213"/>
      <c r="Q164" s="5"/>
      <c r="R164" s="5"/>
      <c r="S164" s="5"/>
      <c r="T164" s="5"/>
      <c r="U164" s="5"/>
      <c r="V164" s="5"/>
      <c r="W164" s="5"/>
      <c r="X164" s="5"/>
      <c r="Y164" s="213"/>
      <c r="Z164" s="213"/>
      <c r="AA164" s="213"/>
      <c r="AB164" s="213"/>
      <c r="AC164" s="213"/>
      <c r="AD164" s="213"/>
      <c r="AE164" s="213"/>
      <c r="AF164" s="213"/>
      <c r="AG164" s="213"/>
      <c r="AH164" s="213"/>
      <c r="AI164" s="213"/>
      <c r="AJ164" s="213"/>
      <c r="AK164" s="213"/>
      <c r="AL164" s="213"/>
      <c r="AM164" s="213"/>
      <c r="AN164" s="213"/>
      <c r="AO164" s="213"/>
      <c r="AP164" s="213"/>
      <c r="AQ164" s="213"/>
      <c r="AR164" s="213"/>
      <c r="AS164" s="213"/>
      <c r="AT164" s="213"/>
      <c r="AU164" s="213"/>
      <c r="AV164" s="213"/>
      <c r="AW164" s="213"/>
      <c r="AX164" s="213"/>
      <c r="AY164" s="213"/>
      <c r="AZ164" s="213"/>
      <c r="BA164" s="213"/>
      <c r="BB164" s="213"/>
      <c r="BC164" s="213"/>
      <c r="BD164" s="213"/>
      <c r="BE164" s="213"/>
      <c r="BF164" s="213"/>
      <c r="BG164" s="213"/>
      <c r="BH164" s="213"/>
      <c r="BI164" s="213"/>
      <c r="BJ164" s="213"/>
      <c r="BK164" s="213"/>
      <c r="BL164" s="213"/>
      <c r="BM164" s="213"/>
      <c r="BN164" s="213"/>
      <c r="BO164" s="213"/>
      <c r="BP164" s="213"/>
      <c r="BQ164" s="213"/>
      <c r="BR164" s="213"/>
      <c r="BS164" s="213"/>
      <c r="BT164" s="213"/>
      <c r="BU164" s="213"/>
      <c r="BV164" s="213"/>
      <c r="BW164" s="213"/>
      <c r="BX164" s="213"/>
    </row>
    <row r="165" spans="1:76" s="126" customFormat="1" ht="11.25" customHeight="1" x14ac:dyDescent="0.2">
      <c r="A165" s="5"/>
      <c r="B165" s="5"/>
      <c r="C165" s="5"/>
      <c r="D165" s="5"/>
      <c r="E165" s="5"/>
      <c r="F165" s="5"/>
      <c r="G165" s="5"/>
      <c r="H165" s="5"/>
      <c r="I165" s="5"/>
      <c r="J165" s="5"/>
      <c r="K165" s="5"/>
      <c r="L165" s="213"/>
      <c r="M165" s="213"/>
      <c r="N165" s="213"/>
      <c r="O165" s="213"/>
      <c r="P165" s="213"/>
      <c r="Q165" s="5"/>
      <c r="R165" s="5"/>
      <c r="S165" s="5"/>
      <c r="T165" s="5"/>
      <c r="U165" s="5"/>
      <c r="V165" s="5"/>
      <c r="W165" s="5"/>
      <c r="X165" s="5"/>
      <c r="Y165" s="213"/>
      <c r="Z165" s="213"/>
      <c r="AA165" s="213"/>
      <c r="AB165" s="213"/>
      <c r="AC165" s="213"/>
      <c r="AD165" s="213"/>
      <c r="AE165" s="213"/>
      <c r="AF165" s="213"/>
      <c r="AG165" s="213"/>
      <c r="AH165" s="213"/>
      <c r="AI165" s="213"/>
      <c r="AJ165" s="213"/>
      <c r="AK165" s="213"/>
      <c r="AL165" s="213"/>
      <c r="AM165" s="213"/>
      <c r="AN165" s="213"/>
      <c r="AO165" s="213"/>
      <c r="AP165" s="213"/>
      <c r="AQ165" s="213"/>
      <c r="AR165" s="213"/>
      <c r="AS165" s="213"/>
      <c r="AT165" s="213"/>
      <c r="AU165" s="213"/>
      <c r="AV165" s="213"/>
      <c r="AW165" s="213"/>
      <c r="AX165" s="213"/>
      <c r="AY165" s="213"/>
      <c r="AZ165" s="213"/>
      <c r="BA165" s="213"/>
      <c r="BB165" s="213"/>
      <c r="BC165" s="213"/>
      <c r="BD165" s="213"/>
      <c r="BE165" s="213"/>
      <c r="BF165" s="213"/>
      <c r="BG165" s="213"/>
      <c r="BH165" s="213"/>
      <c r="BI165" s="213"/>
      <c r="BJ165" s="213"/>
      <c r="BK165" s="213"/>
      <c r="BL165" s="213"/>
      <c r="BM165" s="213"/>
      <c r="BN165" s="213"/>
      <c r="BO165" s="213"/>
      <c r="BP165" s="213"/>
      <c r="BQ165" s="213"/>
      <c r="BR165" s="213"/>
      <c r="BS165" s="213"/>
      <c r="BT165" s="213"/>
      <c r="BU165" s="213"/>
      <c r="BV165" s="213"/>
      <c r="BW165" s="213"/>
      <c r="BX165" s="213"/>
    </row>
    <row r="166" spans="1:76" s="126" customFormat="1" ht="11.25" customHeight="1" x14ac:dyDescent="0.2">
      <c r="A166" s="5"/>
      <c r="B166" s="5"/>
      <c r="C166" s="5"/>
      <c r="D166" s="5"/>
      <c r="E166" s="5"/>
      <c r="F166" s="5"/>
      <c r="G166" s="5"/>
      <c r="H166" s="5"/>
      <c r="I166" s="5"/>
      <c r="J166" s="5"/>
      <c r="K166" s="5"/>
      <c r="L166" s="213"/>
      <c r="M166" s="213"/>
      <c r="N166" s="213"/>
      <c r="O166" s="213"/>
      <c r="P166" s="213"/>
      <c r="Q166" s="5"/>
      <c r="R166" s="5"/>
      <c r="S166" s="5"/>
      <c r="T166" s="5"/>
      <c r="U166" s="5"/>
      <c r="V166" s="5"/>
      <c r="W166" s="5"/>
      <c r="X166" s="5"/>
      <c r="Y166" s="213"/>
      <c r="Z166" s="213"/>
      <c r="AA166" s="213"/>
      <c r="AB166" s="213"/>
      <c r="AC166" s="213"/>
      <c r="AD166" s="213"/>
      <c r="AE166" s="213"/>
      <c r="AF166" s="213"/>
      <c r="AG166" s="213"/>
      <c r="AH166" s="213"/>
      <c r="AI166" s="213"/>
      <c r="AJ166" s="213"/>
      <c r="AK166" s="213"/>
      <c r="AL166" s="213"/>
      <c r="AM166" s="213"/>
      <c r="AN166" s="213"/>
      <c r="AO166" s="213"/>
      <c r="AP166" s="213"/>
      <c r="AQ166" s="213"/>
      <c r="AR166" s="213"/>
      <c r="AS166" s="213"/>
      <c r="AT166" s="213"/>
      <c r="AU166" s="213"/>
      <c r="AV166" s="213"/>
      <c r="AW166" s="213"/>
      <c r="AX166" s="213"/>
      <c r="AY166" s="213"/>
      <c r="AZ166" s="213"/>
      <c r="BA166" s="213"/>
      <c r="BB166" s="213"/>
      <c r="BC166" s="213"/>
      <c r="BD166" s="213"/>
      <c r="BE166" s="213"/>
      <c r="BF166" s="213"/>
      <c r="BG166" s="213"/>
      <c r="BH166" s="213"/>
      <c r="BI166" s="213"/>
      <c r="BJ166" s="213"/>
      <c r="BK166" s="213"/>
      <c r="BL166" s="213"/>
      <c r="BM166" s="213"/>
      <c r="BN166" s="213"/>
      <c r="BO166" s="213"/>
      <c r="BP166" s="213"/>
      <c r="BQ166" s="213"/>
      <c r="BR166" s="213"/>
      <c r="BS166" s="213"/>
      <c r="BT166" s="213"/>
      <c r="BU166" s="213"/>
      <c r="BV166" s="213"/>
      <c r="BW166" s="213"/>
      <c r="BX166" s="213"/>
    </row>
    <row r="167" spans="1:76" s="126" customFormat="1" ht="11.25" customHeight="1" x14ac:dyDescent="0.2">
      <c r="A167" s="5"/>
      <c r="B167" s="5"/>
      <c r="C167" s="5"/>
      <c r="D167" s="5"/>
      <c r="E167" s="5"/>
      <c r="F167" s="5"/>
      <c r="G167" s="5"/>
      <c r="H167" s="5"/>
      <c r="I167" s="5"/>
      <c r="J167" s="5"/>
      <c r="K167" s="5"/>
      <c r="L167" s="213"/>
      <c r="M167" s="213"/>
      <c r="N167" s="213"/>
      <c r="O167" s="213"/>
      <c r="P167" s="213"/>
      <c r="Q167" s="5"/>
      <c r="R167" s="5"/>
      <c r="S167" s="5"/>
      <c r="T167" s="5"/>
      <c r="U167" s="5"/>
      <c r="V167" s="5"/>
      <c r="W167" s="5"/>
      <c r="X167" s="5"/>
      <c r="Y167" s="213"/>
      <c r="Z167" s="213"/>
      <c r="AA167" s="213"/>
      <c r="AB167" s="213"/>
      <c r="AC167" s="213"/>
      <c r="AD167" s="213"/>
      <c r="AE167" s="213"/>
      <c r="AF167" s="213"/>
      <c r="AG167" s="213"/>
      <c r="AH167" s="213"/>
      <c r="AI167" s="213"/>
      <c r="AJ167" s="213"/>
      <c r="AK167" s="213"/>
      <c r="AL167" s="213"/>
      <c r="AM167" s="213"/>
      <c r="AN167" s="213"/>
      <c r="AO167" s="213"/>
      <c r="AP167" s="213"/>
      <c r="AQ167" s="213"/>
      <c r="AR167" s="213"/>
      <c r="AS167" s="213"/>
      <c r="AT167" s="213"/>
      <c r="AU167" s="213"/>
      <c r="AV167" s="213"/>
      <c r="AW167" s="213"/>
      <c r="AX167" s="213"/>
      <c r="AY167" s="213"/>
      <c r="AZ167" s="213"/>
      <c r="BA167" s="213"/>
      <c r="BB167" s="213"/>
      <c r="BC167" s="213"/>
      <c r="BD167" s="213"/>
      <c r="BE167" s="213"/>
      <c r="BF167" s="213"/>
      <c r="BG167" s="213"/>
      <c r="BH167" s="213"/>
      <c r="BI167" s="213"/>
      <c r="BJ167" s="213"/>
      <c r="BK167" s="213"/>
      <c r="BL167" s="213"/>
      <c r="BM167" s="213"/>
      <c r="BN167" s="213"/>
      <c r="BO167" s="213"/>
      <c r="BP167" s="213"/>
      <c r="BQ167" s="213"/>
      <c r="BR167" s="213"/>
      <c r="BS167" s="213"/>
      <c r="BT167" s="213"/>
      <c r="BU167" s="213"/>
      <c r="BV167" s="213"/>
      <c r="BW167" s="213"/>
      <c r="BX167" s="213"/>
    </row>
    <row r="168" spans="1:76" s="126" customFormat="1" ht="11.25" customHeight="1" x14ac:dyDescent="0.2">
      <c r="A168" s="5"/>
      <c r="B168" s="5"/>
      <c r="C168" s="5"/>
      <c r="D168" s="5"/>
      <c r="E168" s="5"/>
      <c r="F168" s="5"/>
      <c r="G168" s="5"/>
      <c r="H168" s="5"/>
      <c r="I168" s="5"/>
      <c r="J168" s="5"/>
      <c r="K168" s="5"/>
      <c r="L168" s="213"/>
      <c r="M168" s="213"/>
      <c r="N168" s="213"/>
      <c r="O168" s="213"/>
      <c r="P168" s="213"/>
      <c r="Q168" s="5"/>
      <c r="R168" s="5"/>
      <c r="S168" s="5"/>
      <c r="T168" s="5"/>
      <c r="U168" s="5"/>
      <c r="V168" s="5"/>
      <c r="W168" s="5"/>
      <c r="X168" s="5"/>
      <c r="Y168" s="213"/>
      <c r="Z168" s="213"/>
      <c r="AA168" s="213"/>
      <c r="AB168" s="213"/>
      <c r="AC168" s="213"/>
      <c r="AD168" s="213"/>
      <c r="AE168" s="213"/>
      <c r="AF168" s="213"/>
      <c r="AG168" s="213"/>
      <c r="AH168" s="213"/>
      <c r="AI168" s="213"/>
      <c r="AJ168" s="213"/>
      <c r="AK168" s="213"/>
      <c r="AL168" s="213"/>
      <c r="AM168" s="213"/>
      <c r="AN168" s="213"/>
      <c r="AO168" s="213"/>
      <c r="AP168" s="213"/>
      <c r="AQ168" s="213"/>
      <c r="AR168" s="213"/>
      <c r="AS168" s="213"/>
      <c r="AT168" s="213"/>
      <c r="AU168" s="213"/>
      <c r="AV168" s="213"/>
      <c r="AW168" s="213"/>
      <c r="AX168" s="213"/>
      <c r="AY168" s="213"/>
      <c r="AZ168" s="213"/>
      <c r="BA168" s="213"/>
      <c r="BB168" s="213"/>
      <c r="BC168" s="213"/>
      <c r="BD168" s="213"/>
      <c r="BE168" s="213"/>
      <c r="BF168" s="213"/>
      <c r="BG168" s="213"/>
      <c r="BH168" s="213"/>
      <c r="BI168" s="213"/>
      <c r="BJ168" s="213"/>
      <c r="BK168" s="213"/>
      <c r="BL168" s="213"/>
      <c r="BM168" s="213"/>
      <c r="BN168" s="213"/>
      <c r="BO168" s="213"/>
      <c r="BP168" s="213"/>
      <c r="BQ168" s="213"/>
      <c r="BR168" s="213"/>
      <c r="BS168" s="213"/>
      <c r="BT168" s="213"/>
      <c r="BU168" s="213"/>
      <c r="BV168" s="213"/>
      <c r="BW168" s="213"/>
      <c r="BX168" s="213"/>
    </row>
    <row r="169" spans="1:76" s="126" customFormat="1" ht="11.25" customHeight="1" x14ac:dyDescent="0.2">
      <c r="A169" s="5"/>
      <c r="B169" s="5"/>
      <c r="C169" s="5"/>
      <c r="D169" s="5"/>
      <c r="E169" s="5"/>
      <c r="F169" s="5"/>
      <c r="G169" s="5"/>
      <c r="H169" s="5"/>
      <c r="I169" s="5"/>
      <c r="J169" s="5"/>
      <c r="K169" s="5"/>
      <c r="L169" s="213"/>
      <c r="M169" s="213"/>
      <c r="N169" s="213"/>
      <c r="O169" s="213"/>
      <c r="P169" s="213"/>
      <c r="Q169" s="5"/>
      <c r="R169" s="5"/>
      <c r="S169" s="5"/>
      <c r="T169" s="5"/>
      <c r="U169" s="5"/>
      <c r="V169" s="5"/>
      <c r="W169" s="5"/>
      <c r="X169" s="5"/>
      <c r="Y169" s="213"/>
      <c r="Z169" s="213"/>
      <c r="AA169" s="213"/>
      <c r="AB169" s="213"/>
      <c r="AC169" s="213"/>
      <c r="AD169" s="213"/>
      <c r="AE169" s="213"/>
      <c r="AF169" s="213"/>
      <c r="AG169" s="213"/>
      <c r="AH169" s="213"/>
      <c r="AI169" s="213"/>
      <c r="AJ169" s="213"/>
      <c r="AK169" s="213"/>
      <c r="AL169" s="213"/>
      <c r="AM169" s="213"/>
      <c r="AN169" s="213"/>
      <c r="AO169" s="213"/>
      <c r="AP169" s="213"/>
      <c r="AQ169" s="213"/>
      <c r="AR169" s="213"/>
      <c r="AS169" s="213"/>
      <c r="AT169" s="213"/>
      <c r="AU169" s="213"/>
      <c r="AV169" s="213"/>
      <c r="AW169" s="213"/>
      <c r="AX169" s="213"/>
      <c r="AY169" s="213"/>
      <c r="AZ169" s="213"/>
      <c r="BA169" s="213"/>
      <c r="BB169" s="213"/>
      <c r="BC169" s="213"/>
      <c r="BD169" s="213"/>
      <c r="BE169" s="213"/>
      <c r="BF169" s="213"/>
      <c r="BG169" s="213"/>
      <c r="BH169" s="213"/>
      <c r="BI169" s="213"/>
      <c r="BJ169" s="213"/>
      <c r="BK169" s="213"/>
      <c r="BL169" s="213"/>
      <c r="BM169" s="213"/>
      <c r="BN169" s="213"/>
      <c r="BO169" s="213"/>
      <c r="BP169" s="213"/>
      <c r="BQ169" s="213"/>
      <c r="BR169" s="213"/>
      <c r="BS169" s="213"/>
      <c r="BT169" s="213"/>
      <c r="BU169" s="213"/>
      <c r="BV169" s="213"/>
      <c r="BW169" s="213"/>
      <c r="BX169" s="213"/>
    </row>
    <row r="170" spans="1:76" s="126" customFormat="1" ht="11.25" customHeight="1" x14ac:dyDescent="0.2">
      <c r="A170" s="5"/>
      <c r="B170" s="5"/>
      <c r="C170" s="5"/>
      <c r="D170" s="5"/>
      <c r="E170" s="5"/>
      <c r="F170" s="5"/>
      <c r="G170" s="5"/>
      <c r="H170" s="5"/>
      <c r="I170" s="5"/>
      <c r="J170" s="5"/>
      <c r="K170" s="5"/>
      <c r="L170" s="213"/>
      <c r="M170" s="213"/>
      <c r="N170" s="213"/>
      <c r="O170" s="213"/>
      <c r="P170" s="213"/>
      <c r="Q170" s="5"/>
      <c r="R170" s="5"/>
      <c r="S170" s="5"/>
      <c r="T170" s="5"/>
      <c r="U170" s="5"/>
      <c r="V170" s="5"/>
      <c r="W170" s="5"/>
      <c r="X170" s="5"/>
      <c r="Y170" s="213"/>
      <c r="Z170" s="213"/>
      <c r="AA170" s="213"/>
      <c r="AB170" s="213"/>
      <c r="AC170" s="213"/>
      <c r="AD170" s="213"/>
      <c r="AE170" s="213"/>
      <c r="AF170" s="213"/>
      <c r="AG170" s="213"/>
      <c r="AH170" s="213"/>
      <c r="AI170" s="213"/>
      <c r="AJ170" s="213"/>
      <c r="AK170" s="213"/>
      <c r="AL170" s="213"/>
      <c r="AM170" s="213"/>
      <c r="AN170" s="213"/>
      <c r="AO170" s="213"/>
      <c r="AP170" s="213"/>
      <c r="AQ170" s="213"/>
      <c r="AR170" s="213"/>
      <c r="AS170" s="213"/>
      <c r="AT170" s="213"/>
      <c r="AU170" s="213"/>
      <c r="AV170" s="213"/>
      <c r="AW170" s="213"/>
      <c r="AX170" s="213"/>
      <c r="AY170" s="213"/>
      <c r="AZ170" s="213"/>
      <c r="BA170" s="213"/>
      <c r="BB170" s="213"/>
      <c r="BC170" s="213"/>
      <c r="BD170" s="213"/>
      <c r="BE170" s="213"/>
      <c r="BF170" s="213"/>
      <c r="BG170" s="213"/>
      <c r="BH170" s="213"/>
      <c r="BI170" s="213"/>
      <c r="BJ170" s="213"/>
      <c r="BK170" s="213"/>
      <c r="BL170" s="213"/>
      <c r="BM170" s="213"/>
      <c r="BN170" s="213"/>
      <c r="BO170" s="213"/>
      <c r="BP170" s="213"/>
      <c r="BQ170" s="213"/>
      <c r="BR170" s="213"/>
      <c r="BS170" s="213"/>
      <c r="BT170" s="213"/>
      <c r="BU170" s="213"/>
      <c r="BV170" s="213"/>
      <c r="BW170" s="213"/>
      <c r="BX170" s="213"/>
    </row>
    <row r="171" spans="1:76" s="126" customFormat="1" ht="11.25" customHeight="1" x14ac:dyDescent="0.2">
      <c r="A171" s="5"/>
      <c r="B171" s="5"/>
      <c r="C171" s="5"/>
      <c r="D171" s="5"/>
      <c r="E171" s="5"/>
      <c r="F171" s="5"/>
      <c r="G171" s="5"/>
      <c r="H171" s="5"/>
      <c r="I171" s="5"/>
      <c r="J171" s="5"/>
      <c r="K171" s="5"/>
      <c r="L171" s="213"/>
      <c r="M171" s="213"/>
      <c r="N171" s="213"/>
      <c r="O171" s="213"/>
      <c r="P171" s="213"/>
      <c r="Q171" s="5"/>
      <c r="R171" s="5"/>
      <c r="S171" s="5"/>
      <c r="T171" s="5"/>
      <c r="U171" s="5"/>
      <c r="V171" s="5"/>
      <c r="W171" s="5"/>
      <c r="X171" s="5"/>
      <c r="Y171" s="213"/>
      <c r="Z171" s="213"/>
      <c r="AA171" s="213"/>
      <c r="AB171" s="213"/>
      <c r="AC171" s="213"/>
      <c r="AD171" s="213"/>
      <c r="AE171" s="213"/>
      <c r="AF171" s="213"/>
      <c r="AG171" s="213"/>
      <c r="AH171" s="213"/>
      <c r="AI171" s="213"/>
      <c r="AJ171" s="213"/>
      <c r="AK171" s="213"/>
      <c r="AL171" s="213"/>
      <c r="AM171" s="213"/>
      <c r="AN171" s="213"/>
      <c r="AO171" s="213"/>
      <c r="AP171" s="213"/>
      <c r="AQ171" s="213"/>
      <c r="AR171" s="213"/>
      <c r="AS171" s="213"/>
      <c r="AT171" s="213"/>
      <c r="AU171" s="213"/>
      <c r="AV171" s="213"/>
      <c r="AW171" s="213"/>
      <c r="AX171" s="213"/>
      <c r="AY171" s="213"/>
      <c r="AZ171" s="213"/>
      <c r="BA171" s="213"/>
      <c r="BB171" s="213"/>
      <c r="BC171" s="213"/>
      <c r="BD171" s="213"/>
      <c r="BE171" s="213"/>
      <c r="BF171" s="213"/>
      <c r="BG171" s="213"/>
      <c r="BH171" s="213"/>
      <c r="BI171" s="213"/>
      <c r="BJ171" s="213"/>
      <c r="BK171" s="213"/>
      <c r="BL171" s="213"/>
      <c r="BM171" s="213"/>
      <c r="BN171" s="213"/>
      <c r="BO171" s="213"/>
      <c r="BP171" s="213"/>
      <c r="BQ171" s="213"/>
      <c r="BR171" s="213"/>
      <c r="BS171" s="213"/>
      <c r="BT171" s="213"/>
      <c r="BU171" s="213"/>
      <c r="BV171" s="213"/>
      <c r="BW171" s="213"/>
      <c r="BX171" s="213"/>
    </row>
    <row r="172" spans="1:76" s="126" customFormat="1" ht="11.25" customHeight="1" x14ac:dyDescent="0.2">
      <c r="A172" s="5"/>
      <c r="B172" s="5"/>
      <c r="C172" s="5"/>
      <c r="D172" s="5"/>
      <c r="E172" s="5"/>
      <c r="F172" s="5"/>
      <c r="G172" s="5"/>
      <c r="H172" s="5"/>
      <c r="I172" s="5"/>
      <c r="J172" s="5"/>
      <c r="K172" s="5"/>
      <c r="L172" s="213"/>
      <c r="M172" s="213"/>
      <c r="N172" s="213"/>
      <c r="O172" s="213"/>
      <c r="P172" s="213"/>
      <c r="Q172" s="5"/>
      <c r="R172" s="5"/>
      <c r="S172" s="5"/>
      <c r="T172" s="5"/>
      <c r="U172" s="5"/>
      <c r="V172" s="5"/>
      <c r="W172" s="5"/>
      <c r="X172" s="5"/>
      <c r="Y172" s="213"/>
      <c r="Z172" s="213"/>
      <c r="AA172" s="213"/>
      <c r="AB172" s="213"/>
      <c r="AC172" s="213"/>
      <c r="AD172" s="213"/>
      <c r="AE172" s="213"/>
      <c r="AF172" s="213"/>
      <c r="AG172" s="213"/>
      <c r="AH172" s="213"/>
      <c r="AI172" s="213"/>
      <c r="AJ172" s="213"/>
      <c r="AK172" s="213"/>
      <c r="AL172" s="213"/>
      <c r="AM172" s="213"/>
      <c r="AN172" s="213"/>
      <c r="AO172" s="213"/>
      <c r="AP172" s="213"/>
      <c r="AQ172" s="213"/>
      <c r="AR172" s="213"/>
      <c r="AS172" s="213"/>
      <c r="AT172" s="213"/>
      <c r="AU172" s="213"/>
      <c r="AV172" s="213"/>
      <c r="AW172" s="213"/>
      <c r="AX172" s="213"/>
      <c r="AY172" s="213"/>
      <c r="AZ172" s="213"/>
      <c r="BA172" s="213"/>
      <c r="BB172" s="213"/>
      <c r="BC172" s="213"/>
      <c r="BD172" s="213"/>
      <c r="BE172" s="213"/>
      <c r="BF172" s="213"/>
      <c r="BG172" s="213"/>
      <c r="BH172" s="213"/>
      <c r="BI172" s="213"/>
      <c r="BJ172" s="213"/>
      <c r="BK172" s="213"/>
      <c r="BL172" s="213"/>
      <c r="BM172" s="213"/>
      <c r="BN172" s="213"/>
      <c r="BO172" s="213"/>
      <c r="BP172" s="213"/>
      <c r="BQ172" s="213"/>
      <c r="BR172" s="213"/>
      <c r="BS172" s="213"/>
      <c r="BT172" s="213"/>
      <c r="BU172" s="213"/>
      <c r="BV172" s="213"/>
      <c r="BW172" s="213"/>
      <c r="BX172" s="213"/>
    </row>
    <row r="173" spans="1:76" s="126" customFormat="1" ht="11.25" customHeight="1" x14ac:dyDescent="0.2">
      <c r="A173" s="5"/>
      <c r="B173" s="5"/>
      <c r="C173" s="5"/>
      <c r="D173" s="5"/>
      <c r="E173" s="5"/>
      <c r="F173" s="5"/>
      <c r="G173" s="5"/>
      <c r="H173" s="5"/>
      <c r="I173" s="5"/>
      <c r="J173" s="5"/>
      <c r="K173" s="5"/>
      <c r="L173" s="213"/>
      <c r="M173" s="213"/>
      <c r="N173" s="213"/>
      <c r="O173" s="213"/>
      <c r="P173" s="213"/>
      <c r="Q173" s="5"/>
      <c r="R173" s="5"/>
      <c r="S173" s="5"/>
      <c r="T173" s="5"/>
      <c r="U173" s="5"/>
      <c r="V173" s="5"/>
      <c r="W173" s="5"/>
      <c r="X173" s="5"/>
      <c r="Y173" s="213"/>
      <c r="Z173" s="213"/>
      <c r="AA173" s="213"/>
      <c r="AB173" s="213"/>
      <c r="AC173" s="213"/>
      <c r="AD173" s="213"/>
      <c r="AE173" s="213"/>
      <c r="AF173" s="213"/>
      <c r="AG173" s="213"/>
      <c r="AH173" s="213"/>
      <c r="AI173" s="213"/>
      <c r="AJ173" s="213"/>
      <c r="AK173" s="213"/>
      <c r="AL173" s="213"/>
      <c r="AM173" s="213"/>
      <c r="AN173" s="213"/>
      <c r="AO173" s="213"/>
      <c r="AP173" s="213"/>
      <c r="AQ173" s="213"/>
      <c r="AR173" s="213"/>
      <c r="AS173" s="213"/>
      <c r="AT173" s="213"/>
      <c r="AU173" s="213"/>
      <c r="AV173" s="213"/>
      <c r="AW173" s="213"/>
      <c r="AX173" s="213"/>
      <c r="AY173" s="213"/>
      <c r="AZ173" s="213"/>
      <c r="BA173" s="213"/>
      <c r="BB173" s="213"/>
      <c r="BC173" s="213"/>
      <c r="BD173" s="213"/>
      <c r="BE173" s="213"/>
      <c r="BF173" s="213"/>
      <c r="BG173" s="213"/>
      <c r="BH173" s="213"/>
      <c r="BI173" s="213"/>
      <c r="BJ173" s="213"/>
      <c r="BK173" s="213"/>
      <c r="BL173" s="213"/>
      <c r="BM173" s="213"/>
      <c r="BN173" s="213"/>
      <c r="BO173" s="213"/>
      <c r="BP173" s="213"/>
      <c r="BQ173" s="213"/>
      <c r="BR173" s="213"/>
      <c r="BS173" s="213"/>
      <c r="BT173" s="213"/>
      <c r="BU173" s="213"/>
      <c r="BV173" s="213"/>
      <c r="BW173" s="213"/>
      <c r="BX173" s="213"/>
    </row>
    <row r="174" spans="1:76" s="126" customFormat="1" ht="11.25" customHeight="1" x14ac:dyDescent="0.2">
      <c r="A174" s="5"/>
      <c r="B174" s="5"/>
      <c r="C174" s="5"/>
      <c r="D174" s="5"/>
      <c r="E174" s="5"/>
      <c r="F174" s="5"/>
      <c r="G174" s="5"/>
      <c r="H174" s="5"/>
      <c r="I174" s="5"/>
      <c r="J174" s="5"/>
      <c r="K174" s="5"/>
      <c r="L174" s="213"/>
      <c r="M174" s="213"/>
      <c r="N174" s="213"/>
      <c r="O174" s="213"/>
      <c r="P174" s="213"/>
      <c r="Q174" s="5"/>
      <c r="R174" s="5"/>
      <c r="S174" s="5"/>
      <c r="T174" s="5"/>
      <c r="U174" s="5"/>
      <c r="V174" s="5"/>
      <c r="W174" s="5"/>
      <c r="X174" s="5"/>
      <c r="Y174" s="213"/>
      <c r="Z174" s="213"/>
      <c r="AA174" s="213"/>
      <c r="AB174" s="213"/>
      <c r="AC174" s="213"/>
      <c r="AD174" s="213"/>
      <c r="AE174" s="213"/>
      <c r="AF174" s="213"/>
      <c r="AG174" s="213"/>
      <c r="AH174" s="213"/>
      <c r="AI174" s="213"/>
      <c r="AJ174" s="213"/>
      <c r="AK174" s="213"/>
      <c r="AL174" s="213"/>
      <c r="AM174" s="213"/>
      <c r="AN174" s="213"/>
      <c r="AO174" s="213"/>
      <c r="AP174" s="213"/>
      <c r="AQ174" s="213"/>
      <c r="AR174" s="213"/>
      <c r="AS174" s="213"/>
      <c r="AT174" s="213"/>
      <c r="AU174" s="213"/>
      <c r="AV174" s="213"/>
      <c r="AW174" s="213"/>
      <c r="AX174" s="213"/>
      <c r="AY174" s="213"/>
      <c r="AZ174" s="213"/>
      <c r="BA174" s="213"/>
      <c r="BB174" s="213"/>
      <c r="BC174" s="213"/>
      <c r="BD174" s="213"/>
      <c r="BE174" s="213"/>
      <c r="BF174" s="213"/>
      <c r="BG174" s="213"/>
      <c r="BH174" s="213"/>
      <c r="BI174" s="213"/>
      <c r="BJ174" s="213"/>
      <c r="BK174" s="213"/>
      <c r="BL174" s="213"/>
      <c r="BM174" s="213"/>
      <c r="BN174" s="213"/>
      <c r="BO174" s="213"/>
      <c r="BP174" s="213"/>
      <c r="BQ174" s="213"/>
      <c r="BR174" s="213"/>
      <c r="BS174" s="213"/>
      <c r="BT174" s="213"/>
      <c r="BU174" s="213"/>
      <c r="BV174" s="213"/>
      <c r="BW174" s="213"/>
      <c r="BX174" s="213"/>
    </row>
    <row r="175" spans="1:76" s="126" customFormat="1" ht="11.25" customHeight="1" x14ac:dyDescent="0.2">
      <c r="A175" s="5"/>
      <c r="B175" s="5"/>
      <c r="C175" s="5"/>
      <c r="D175" s="5"/>
      <c r="E175" s="5"/>
      <c r="F175" s="5"/>
      <c r="G175" s="5"/>
      <c r="H175" s="5"/>
      <c r="I175" s="5"/>
      <c r="J175" s="5"/>
      <c r="K175" s="5"/>
      <c r="L175" s="213"/>
      <c r="M175" s="213"/>
      <c r="N175" s="213"/>
      <c r="O175" s="213"/>
      <c r="P175" s="213"/>
      <c r="Q175" s="5"/>
      <c r="R175" s="5"/>
      <c r="S175" s="5"/>
      <c r="T175" s="5"/>
      <c r="U175" s="5"/>
      <c r="V175" s="5"/>
      <c r="W175" s="5"/>
      <c r="X175" s="5"/>
      <c r="Y175" s="213"/>
      <c r="Z175" s="213"/>
      <c r="AA175" s="213"/>
      <c r="AB175" s="213"/>
      <c r="AC175" s="213"/>
      <c r="AD175" s="213"/>
      <c r="AE175" s="213"/>
      <c r="AF175" s="213"/>
      <c r="AG175" s="213"/>
      <c r="AH175" s="213"/>
      <c r="AI175" s="213"/>
      <c r="AJ175" s="213"/>
      <c r="AK175" s="213"/>
      <c r="AL175" s="213"/>
      <c r="AM175" s="213"/>
      <c r="AN175" s="213"/>
      <c r="AO175" s="213"/>
      <c r="AP175" s="213"/>
      <c r="AQ175" s="213"/>
      <c r="AR175" s="213"/>
      <c r="AS175" s="213"/>
      <c r="AT175" s="213"/>
      <c r="AU175" s="213"/>
      <c r="AV175" s="213"/>
      <c r="AW175" s="213"/>
      <c r="AX175" s="213"/>
      <c r="AY175" s="213"/>
      <c r="AZ175" s="213"/>
      <c r="BA175" s="213"/>
      <c r="BB175" s="213"/>
      <c r="BC175" s="213"/>
      <c r="BD175" s="213"/>
      <c r="BE175" s="213"/>
      <c r="BF175" s="213"/>
      <c r="BG175" s="213"/>
      <c r="BH175" s="213"/>
      <c r="BI175" s="213"/>
      <c r="BJ175" s="213"/>
      <c r="BK175" s="213"/>
      <c r="BL175" s="213"/>
      <c r="BM175" s="213"/>
      <c r="BN175" s="213"/>
      <c r="BO175" s="213"/>
      <c r="BP175" s="213"/>
      <c r="BQ175" s="213"/>
      <c r="BR175" s="213"/>
      <c r="BS175" s="213"/>
      <c r="BT175" s="213"/>
      <c r="BU175" s="213"/>
      <c r="BV175" s="213"/>
      <c r="BW175" s="213"/>
      <c r="BX175" s="213"/>
    </row>
    <row r="176" spans="1:76" s="126" customFormat="1" ht="11.25" customHeight="1" x14ac:dyDescent="0.2">
      <c r="A176" s="5"/>
      <c r="B176" s="5"/>
      <c r="C176" s="5"/>
      <c r="D176" s="5"/>
      <c r="E176" s="5"/>
      <c r="F176" s="5"/>
      <c r="G176" s="5"/>
      <c r="H176" s="5"/>
      <c r="I176" s="5"/>
      <c r="J176" s="5"/>
      <c r="K176" s="5"/>
      <c r="L176" s="213"/>
      <c r="M176" s="213"/>
      <c r="N176" s="213"/>
      <c r="O176" s="213"/>
      <c r="P176" s="213"/>
      <c r="Q176" s="5"/>
      <c r="R176" s="5"/>
      <c r="S176" s="5"/>
      <c r="T176" s="5"/>
      <c r="U176" s="5"/>
      <c r="V176" s="5"/>
      <c r="W176" s="5"/>
      <c r="X176" s="5"/>
      <c r="Y176" s="213"/>
      <c r="Z176" s="213"/>
      <c r="AA176" s="213"/>
      <c r="AB176" s="213"/>
      <c r="AC176" s="213"/>
      <c r="AD176" s="213"/>
      <c r="AE176" s="213"/>
      <c r="AF176" s="213"/>
      <c r="AG176" s="213"/>
      <c r="AH176" s="213"/>
      <c r="AI176" s="213"/>
      <c r="AJ176" s="213"/>
      <c r="AK176" s="213"/>
      <c r="AL176" s="213"/>
      <c r="AM176" s="213"/>
      <c r="AN176" s="213"/>
      <c r="AO176" s="213"/>
      <c r="AP176" s="213"/>
      <c r="AQ176" s="213"/>
      <c r="AR176" s="213"/>
      <c r="AS176" s="213"/>
      <c r="AT176" s="213"/>
      <c r="AU176" s="213"/>
      <c r="AV176" s="213"/>
      <c r="AW176" s="213"/>
      <c r="AX176" s="213"/>
      <c r="AY176" s="213"/>
      <c r="AZ176" s="213"/>
      <c r="BA176" s="213"/>
      <c r="BB176" s="213"/>
      <c r="BC176" s="213"/>
      <c r="BD176" s="213"/>
      <c r="BE176" s="213"/>
      <c r="BF176" s="213"/>
      <c r="BG176" s="213"/>
      <c r="BH176" s="213"/>
      <c r="BI176" s="213"/>
      <c r="BJ176" s="213"/>
      <c r="BK176" s="213"/>
      <c r="BL176" s="213"/>
      <c r="BM176" s="213"/>
      <c r="BN176" s="213"/>
      <c r="BO176" s="213"/>
      <c r="BP176" s="213"/>
      <c r="BQ176" s="213"/>
      <c r="BR176" s="213"/>
      <c r="BS176" s="213"/>
      <c r="BT176" s="213"/>
      <c r="BU176" s="213"/>
      <c r="BV176" s="213"/>
      <c r="BW176" s="213"/>
      <c r="BX176" s="213"/>
    </row>
    <row r="177" spans="1:76" s="126" customFormat="1" ht="11.25" customHeight="1" x14ac:dyDescent="0.2">
      <c r="A177" s="5"/>
      <c r="B177" s="5"/>
      <c r="C177" s="5"/>
      <c r="D177" s="5"/>
      <c r="E177" s="5"/>
      <c r="F177" s="5"/>
      <c r="G177" s="5"/>
      <c r="H177" s="5"/>
      <c r="I177" s="5"/>
      <c r="J177" s="5"/>
      <c r="K177" s="5"/>
      <c r="L177" s="213"/>
      <c r="M177" s="213"/>
      <c r="N177" s="213"/>
      <c r="O177" s="213"/>
      <c r="P177" s="213"/>
      <c r="Q177" s="5"/>
      <c r="R177" s="5"/>
      <c r="S177" s="5"/>
      <c r="T177" s="5"/>
      <c r="U177" s="5"/>
      <c r="V177" s="5"/>
      <c r="W177" s="5"/>
      <c r="X177" s="5"/>
      <c r="Y177" s="213"/>
      <c r="Z177" s="213"/>
      <c r="AA177" s="213"/>
      <c r="AB177" s="213"/>
      <c r="AC177" s="213"/>
      <c r="AD177" s="213"/>
      <c r="AE177" s="213"/>
      <c r="AF177" s="213"/>
      <c r="AG177" s="213"/>
      <c r="AH177" s="213"/>
      <c r="AI177" s="213"/>
      <c r="AJ177" s="213"/>
      <c r="AK177" s="213"/>
      <c r="AL177" s="213"/>
      <c r="AM177" s="213"/>
      <c r="AN177" s="213"/>
      <c r="AO177" s="213"/>
      <c r="AP177" s="213"/>
      <c r="AQ177" s="213"/>
      <c r="AR177" s="213"/>
      <c r="AS177" s="213"/>
      <c r="AT177" s="213"/>
      <c r="AU177" s="213"/>
      <c r="AV177" s="213"/>
      <c r="AW177" s="213"/>
      <c r="AX177" s="213"/>
      <c r="AY177" s="213"/>
      <c r="AZ177" s="213"/>
      <c r="BA177" s="213"/>
      <c r="BB177" s="213"/>
      <c r="BC177" s="213"/>
      <c r="BD177" s="213"/>
      <c r="BE177" s="213"/>
      <c r="BF177" s="213"/>
      <c r="BG177" s="213"/>
      <c r="BH177" s="213"/>
      <c r="BI177" s="213"/>
      <c r="BJ177" s="213"/>
      <c r="BK177" s="213"/>
      <c r="BL177" s="213"/>
      <c r="BM177" s="213"/>
      <c r="BN177" s="213"/>
      <c r="BO177" s="213"/>
      <c r="BP177" s="213"/>
      <c r="BQ177" s="213"/>
      <c r="BR177" s="213"/>
      <c r="BS177" s="213"/>
      <c r="BT177" s="213"/>
      <c r="BU177" s="213"/>
      <c r="BV177" s="213"/>
      <c r="BW177" s="213"/>
      <c r="BX177" s="213"/>
    </row>
    <row r="178" spans="1:76" s="126" customFormat="1" ht="11.25" customHeight="1" x14ac:dyDescent="0.2">
      <c r="A178" s="5"/>
      <c r="B178" s="5"/>
      <c r="C178" s="5"/>
      <c r="D178" s="5"/>
      <c r="E178" s="5"/>
      <c r="F178" s="5"/>
      <c r="G178" s="5"/>
      <c r="H178" s="5"/>
      <c r="I178" s="5"/>
      <c r="J178" s="5"/>
      <c r="K178" s="5"/>
      <c r="L178" s="213"/>
      <c r="M178" s="213"/>
      <c r="N178" s="213"/>
      <c r="O178" s="213"/>
      <c r="P178" s="213"/>
      <c r="Q178" s="5"/>
      <c r="R178" s="5"/>
      <c r="S178" s="5"/>
      <c r="T178" s="5"/>
      <c r="U178" s="5"/>
      <c r="V178" s="5"/>
      <c r="W178" s="5"/>
      <c r="X178" s="5"/>
      <c r="Y178" s="213"/>
      <c r="Z178" s="213"/>
      <c r="AA178" s="213"/>
      <c r="AB178" s="213"/>
      <c r="AC178" s="213"/>
      <c r="AD178" s="213"/>
      <c r="AE178" s="213"/>
      <c r="AF178" s="213"/>
      <c r="AG178" s="213"/>
      <c r="AH178" s="213"/>
      <c r="AI178" s="213"/>
      <c r="AJ178" s="213"/>
      <c r="AK178" s="213"/>
      <c r="AL178" s="213"/>
      <c r="AM178" s="213"/>
      <c r="AN178" s="213"/>
      <c r="AO178" s="213"/>
      <c r="AP178" s="213"/>
      <c r="AQ178" s="213"/>
      <c r="AR178" s="213"/>
      <c r="AS178" s="213"/>
      <c r="AT178" s="213"/>
      <c r="AU178" s="213"/>
      <c r="AV178" s="213"/>
      <c r="AW178" s="213"/>
      <c r="AX178" s="213"/>
      <c r="AY178" s="213"/>
      <c r="AZ178" s="213"/>
      <c r="BA178" s="213"/>
      <c r="BB178" s="213"/>
      <c r="BC178" s="213"/>
      <c r="BD178" s="213"/>
      <c r="BE178" s="213"/>
      <c r="BF178" s="213"/>
      <c r="BG178" s="213"/>
      <c r="BH178" s="213"/>
      <c r="BI178" s="213"/>
      <c r="BJ178" s="213"/>
      <c r="BK178" s="213"/>
      <c r="BL178" s="213"/>
      <c r="BM178" s="213"/>
      <c r="BN178" s="213"/>
      <c r="BO178" s="213"/>
      <c r="BP178" s="213"/>
      <c r="BQ178" s="213"/>
      <c r="BR178" s="213"/>
      <c r="BS178" s="213"/>
      <c r="BT178" s="213"/>
      <c r="BU178" s="213"/>
      <c r="BV178" s="213"/>
      <c r="BW178" s="213"/>
      <c r="BX178" s="213"/>
    </row>
    <row r="179" spans="1:76" s="126" customFormat="1" ht="11.25" customHeight="1" x14ac:dyDescent="0.2">
      <c r="A179" s="5"/>
      <c r="B179" s="5"/>
      <c r="C179" s="5"/>
      <c r="D179" s="5"/>
      <c r="E179" s="5"/>
      <c r="F179" s="5"/>
      <c r="G179" s="5"/>
      <c r="H179" s="5"/>
      <c r="I179" s="5"/>
      <c r="J179" s="5"/>
      <c r="K179" s="5"/>
      <c r="L179" s="213"/>
      <c r="M179" s="213"/>
      <c r="N179" s="213"/>
      <c r="O179" s="213"/>
      <c r="P179" s="213"/>
      <c r="Q179" s="5"/>
      <c r="R179" s="5"/>
      <c r="S179" s="5"/>
      <c r="T179" s="5"/>
      <c r="U179" s="5"/>
      <c r="V179" s="5"/>
      <c r="W179" s="5"/>
      <c r="X179" s="5"/>
      <c r="Y179" s="213"/>
      <c r="Z179" s="213"/>
      <c r="AA179" s="213"/>
      <c r="AB179" s="213"/>
      <c r="AC179" s="213"/>
      <c r="AD179" s="213"/>
      <c r="AE179" s="213"/>
      <c r="AF179" s="213"/>
      <c r="AG179" s="213"/>
      <c r="AH179" s="213"/>
      <c r="AI179" s="213"/>
      <c r="AJ179" s="213"/>
      <c r="AK179" s="213"/>
      <c r="AL179" s="213"/>
      <c r="AM179" s="213"/>
      <c r="AN179" s="213"/>
      <c r="AO179" s="213"/>
      <c r="AP179" s="213"/>
      <c r="AQ179" s="213"/>
      <c r="AR179" s="213"/>
      <c r="AS179" s="213"/>
      <c r="AT179" s="213"/>
      <c r="AU179" s="213"/>
      <c r="AV179" s="213"/>
      <c r="AW179" s="213"/>
      <c r="AX179" s="213"/>
      <c r="AY179" s="213"/>
      <c r="AZ179" s="213"/>
      <c r="BA179" s="213"/>
      <c r="BB179" s="213"/>
      <c r="BC179" s="213"/>
      <c r="BD179" s="213"/>
      <c r="BE179" s="213"/>
      <c r="BF179" s="213"/>
      <c r="BG179" s="213"/>
      <c r="BH179" s="213"/>
      <c r="BI179" s="213"/>
      <c r="BJ179" s="213"/>
      <c r="BK179" s="213"/>
      <c r="BL179" s="213"/>
      <c r="BM179" s="213"/>
      <c r="BN179" s="213"/>
      <c r="BO179" s="213"/>
      <c r="BP179" s="213"/>
      <c r="BQ179" s="213"/>
      <c r="BR179" s="213"/>
      <c r="BS179" s="213"/>
      <c r="BT179" s="213"/>
      <c r="BU179" s="213"/>
      <c r="BV179" s="213"/>
      <c r="BW179" s="213"/>
      <c r="BX179" s="213"/>
    </row>
    <row r="180" spans="1:76" s="126" customFormat="1" ht="11.25" customHeight="1" x14ac:dyDescent="0.2">
      <c r="A180" s="5"/>
      <c r="B180" s="5"/>
      <c r="C180" s="5"/>
      <c r="D180" s="5"/>
      <c r="E180" s="5"/>
      <c r="F180" s="5"/>
      <c r="G180" s="5"/>
      <c r="H180" s="5"/>
      <c r="I180" s="5"/>
      <c r="J180" s="5"/>
      <c r="K180" s="5"/>
      <c r="L180" s="213"/>
      <c r="M180" s="213"/>
      <c r="N180" s="213"/>
      <c r="O180" s="213"/>
      <c r="P180" s="213"/>
      <c r="Q180" s="5"/>
      <c r="R180" s="5"/>
      <c r="S180" s="5"/>
      <c r="T180" s="5"/>
      <c r="U180" s="5"/>
      <c r="V180" s="5"/>
      <c r="W180" s="5"/>
      <c r="X180" s="5"/>
      <c r="Y180" s="213"/>
      <c r="Z180" s="213"/>
      <c r="AA180" s="213"/>
      <c r="AB180" s="213"/>
      <c r="AC180" s="213"/>
      <c r="AD180" s="213"/>
      <c r="AE180" s="213"/>
      <c r="AF180" s="213"/>
      <c r="AG180" s="213"/>
      <c r="AH180" s="213"/>
      <c r="AI180" s="213"/>
      <c r="AJ180" s="213"/>
      <c r="AK180" s="213"/>
      <c r="AL180" s="213"/>
      <c r="AM180" s="213"/>
      <c r="AN180" s="213"/>
      <c r="AO180" s="213"/>
      <c r="AP180" s="213"/>
      <c r="AQ180" s="213"/>
      <c r="AR180" s="213"/>
      <c r="AS180" s="213"/>
      <c r="AT180" s="213"/>
      <c r="AU180" s="213"/>
      <c r="AV180" s="213"/>
      <c r="AW180" s="213"/>
      <c r="AX180" s="213"/>
      <c r="AY180" s="213"/>
      <c r="AZ180" s="213"/>
      <c r="BA180" s="213"/>
      <c r="BB180" s="213"/>
      <c r="BC180" s="213"/>
      <c r="BD180" s="213"/>
      <c r="BE180" s="213"/>
      <c r="BF180" s="213"/>
      <c r="BG180" s="213"/>
      <c r="BH180" s="213"/>
      <c r="BI180" s="213"/>
      <c r="BJ180" s="213"/>
      <c r="BK180" s="213"/>
      <c r="BL180" s="213"/>
      <c r="BM180" s="213"/>
      <c r="BN180" s="213"/>
      <c r="BO180" s="213"/>
      <c r="BP180" s="213"/>
      <c r="BQ180" s="213"/>
      <c r="BR180" s="213"/>
      <c r="BS180" s="213"/>
      <c r="BT180" s="213"/>
      <c r="BU180" s="213"/>
      <c r="BV180" s="213"/>
      <c r="BW180" s="213"/>
      <c r="BX180" s="213"/>
    </row>
    <row r="181" spans="1:76" s="126" customFormat="1" ht="11.25" customHeight="1" x14ac:dyDescent="0.2">
      <c r="A181" s="5"/>
      <c r="B181" s="5"/>
      <c r="C181" s="5"/>
      <c r="D181" s="5"/>
      <c r="E181" s="5"/>
      <c r="F181" s="5"/>
      <c r="G181" s="5"/>
      <c r="H181" s="5"/>
      <c r="I181" s="5"/>
      <c r="J181" s="5"/>
      <c r="K181" s="5"/>
      <c r="L181" s="213"/>
      <c r="M181" s="213"/>
      <c r="N181" s="213"/>
      <c r="O181" s="213"/>
      <c r="P181" s="213"/>
      <c r="Q181" s="5"/>
      <c r="R181" s="5"/>
      <c r="S181" s="5"/>
      <c r="T181" s="5"/>
      <c r="U181" s="5"/>
      <c r="V181" s="5"/>
      <c r="W181" s="5"/>
      <c r="X181" s="5"/>
      <c r="Y181" s="213"/>
      <c r="Z181" s="213"/>
      <c r="AA181" s="213"/>
      <c r="AB181" s="213"/>
      <c r="AC181" s="213"/>
      <c r="AD181" s="213"/>
      <c r="AE181" s="213"/>
      <c r="AF181" s="213"/>
      <c r="AG181" s="213"/>
      <c r="AH181" s="213"/>
      <c r="AI181" s="213"/>
      <c r="AJ181" s="213"/>
      <c r="AK181" s="213"/>
      <c r="AL181" s="213"/>
      <c r="AM181" s="213"/>
      <c r="AN181" s="213"/>
      <c r="AO181" s="213"/>
      <c r="AP181" s="213"/>
      <c r="AQ181" s="213"/>
      <c r="AR181" s="213"/>
      <c r="AS181" s="213"/>
      <c r="AT181" s="213"/>
      <c r="AU181" s="213"/>
      <c r="AV181" s="213"/>
      <c r="AW181" s="213"/>
      <c r="AX181" s="213"/>
      <c r="AY181" s="213"/>
      <c r="AZ181" s="213"/>
      <c r="BA181" s="213"/>
      <c r="BB181" s="213"/>
      <c r="BC181" s="213"/>
      <c r="BD181" s="213"/>
      <c r="BE181" s="213"/>
      <c r="BF181" s="213"/>
      <c r="BG181" s="213"/>
      <c r="BH181" s="213"/>
      <c r="BI181" s="213"/>
      <c r="BJ181" s="213"/>
      <c r="BK181" s="213"/>
      <c r="BL181" s="213"/>
      <c r="BM181" s="213"/>
      <c r="BN181" s="213"/>
      <c r="BO181" s="213"/>
      <c r="BP181" s="213"/>
      <c r="BQ181" s="213"/>
      <c r="BR181" s="213"/>
      <c r="BS181" s="213"/>
      <c r="BT181" s="213"/>
      <c r="BU181" s="213"/>
      <c r="BV181" s="213"/>
      <c r="BW181" s="213"/>
      <c r="BX181" s="213"/>
    </row>
    <row r="182" spans="1:76" s="126" customFormat="1" ht="11.25" customHeight="1" x14ac:dyDescent="0.2">
      <c r="A182" s="5"/>
      <c r="B182" s="5"/>
      <c r="C182" s="5"/>
      <c r="D182" s="5"/>
      <c r="E182" s="5"/>
      <c r="F182" s="5"/>
      <c r="G182" s="5"/>
      <c r="H182" s="5"/>
      <c r="I182" s="5"/>
      <c r="J182" s="5"/>
      <c r="K182" s="5"/>
      <c r="L182" s="213"/>
      <c r="M182" s="213"/>
      <c r="N182" s="213"/>
      <c r="O182" s="213"/>
      <c r="P182" s="213"/>
      <c r="Q182" s="5"/>
      <c r="R182" s="5"/>
      <c r="S182" s="5"/>
      <c r="T182" s="5"/>
      <c r="U182" s="5"/>
      <c r="V182" s="5"/>
      <c r="W182" s="5"/>
      <c r="X182" s="5"/>
      <c r="Y182" s="213"/>
      <c r="Z182" s="213"/>
      <c r="AA182" s="213"/>
      <c r="AB182" s="213"/>
      <c r="AC182" s="213"/>
      <c r="AD182" s="213"/>
      <c r="AE182" s="213"/>
      <c r="AF182" s="213"/>
      <c r="AG182" s="213"/>
      <c r="AH182" s="213"/>
      <c r="AI182" s="213"/>
      <c r="AJ182" s="213"/>
      <c r="AK182" s="213"/>
      <c r="AL182" s="213"/>
      <c r="AM182" s="213"/>
      <c r="AN182" s="213"/>
      <c r="AO182" s="213"/>
      <c r="AP182" s="213"/>
      <c r="AQ182" s="213"/>
      <c r="AR182" s="213"/>
      <c r="AS182" s="213"/>
      <c r="AT182" s="213"/>
      <c r="AU182" s="213"/>
      <c r="AV182" s="213"/>
      <c r="AW182" s="213"/>
      <c r="AX182" s="213"/>
      <c r="AY182" s="213"/>
      <c r="AZ182" s="213"/>
      <c r="BA182" s="213"/>
      <c r="BB182" s="213"/>
      <c r="BC182" s="213"/>
      <c r="BD182" s="213"/>
      <c r="BE182" s="213"/>
      <c r="BF182" s="213"/>
      <c r="BG182" s="213"/>
      <c r="BH182" s="213"/>
      <c r="BI182" s="213"/>
      <c r="BJ182" s="213"/>
      <c r="BK182" s="213"/>
      <c r="BL182" s="213"/>
      <c r="BM182" s="213"/>
      <c r="BN182" s="213"/>
      <c r="BO182" s="213"/>
      <c r="BP182" s="213"/>
      <c r="BQ182" s="213"/>
      <c r="BR182" s="213"/>
      <c r="BS182" s="213"/>
      <c r="BT182" s="213"/>
      <c r="BU182" s="213"/>
      <c r="BV182" s="213"/>
      <c r="BW182" s="213"/>
      <c r="BX182" s="213"/>
    </row>
    <row r="183" spans="1:76" s="126" customFormat="1" ht="11.25" customHeight="1" x14ac:dyDescent="0.2">
      <c r="A183" s="5"/>
      <c r="B183" s="5"/>
      <c r="C183" s="5"/>
      <c r="D183" s="5"/>
      <c r="E183" s="5"/>
      <c r="F183" s="5"/>
      <c r="G183" s="5"/>
      <c r="H183" s="5"/>
      <c r="I183" s="5"/>
      <c r="J183" s="5"/>
      <c r="K183" s="5"/>
      <c r="L183" s="213"/>
      <c r="M183" s="213"/>
      <c r="N183" s="213"/>
      <c r="O183" s="213"/>
      <c r="P183" s="213"/>
      <c r="Q183" s="5"/>
      <c r="R183" s="5"/>
      <c r="S183" s="5"/>
      <c r="T183" s="5"/>
      <c r="U183" s="5"/>
      <c r="V183" s="5"/>
      <c r="W183" s="5"/>
      <c r="X183" s="5"/>
      <c r="Y183" s="213"/>
      <c r="Z183" s="213"/>
      <c r="AA183" s="213"/>
      <c r="AB183" s="213"/>
      <c r="AC183" s="213"/>
      <c r="AD183" s="213"/>
      <c r="AE183" s="213"/>
      <c r="AF183" s="213"/>
      <c r="AG183" s="213"/>
      <c r="AH183" s="213"/>
      <c r="AI183" s="213"/>
      <c r="AJ183" s="213"/>
      <c r="AK183" s="213"/>
      <c r="AL183" s="213"/>
      <c r="AM183" s="213"/>
      <c r="AN183" s="213"/>
      <c r="AO183" s="213"/>
      <c r="AP183" s="213"/>
      <c r="AQ183" s="213"/>
      <c r="AR183" s="213"/>
      <c r="AS183" s="213"/>
      <c r="AT183" s="213"/>
      <c r="AU183" s="213"/>
      <c r="AV183" s="213"/>
      <c r="AW183" s="213"/>
      <c r="AX183" s="213"/>
      <c r="AY183" s="213"/>
      <c r="AZ183" s="213"/>
      <c r="BA183" s="213"/>
      <c r="BB183" s="213"/>
      <c r="BC183" s="213"/>
      <c r="BD183" s="213"/>
      <c r="BE183" s="213"/>
      <c r="BF183" s="213"/>
      <c r="BG183" s="213"/>
      <c r="BH183" s="213"/>
      <c r="BI183" s="213"/>
      <c r="BJ183" s="213"/>
      <c r="BK183" s="213"/>
      <c r="BL183" s="213"/>
      <c r="BM183" s="213"/>
      <c r="BN183" s="213"/>
      <c r="BO183" s="213"/>
      <c r="BP183" s="213"/>
      <c r="BQ183" s="213"/>
      <c r="BR183" s="213"/>
      <c r="BS183" s="213"/>
      <c r="BT183" s="213"/>
      <c r="BU183" s="213"/>
      <c r="BV183" s="213"/>
      <c r="BW183" s="213"/>
      <c r="BX183" s="213"/>
    </row>
    <row r="184" spans="1:76" s="126" customFormat="1" ht="11.25" customHeight="1" x14ac:dyDescent="0.2">
      <c r="A184" s="5"/>
      <c r="B184" s="5"/>
      <c r="C184" s="5"/>
      <c r="D184" s="5"/>
      <c r="E184" s="5"/>
      <c r="F184" s="5"/>
      <c r="G184" s="5"/>
      <c r="H184" s="5"/>
      <c r="I184" s="5"/>
      <c r="J184" s="5"/>
      <c r="K184" s="5"/>
      <c r="L184" s="213"/>
      <c r="M184" s="213"/>
      <c r="N184" s="213"/>
      <c r="O184" s="213"/>
      <c r="P184" s="213"/>
      <c r="Q184" s="5"/>
      <c r="R184" s="5"/>
      <c r="S184" s="5"/>
      <c r="T184" s="5"/>
      <c r="U184" s="5"/>
      <c r="V184" s="5"/>
      <c r="W184" s="5"/>
      <c r="X184" s="5"/>
      <c r="Y184" s="213"/>
      <c r="Z184" s="213"/>
      <c r="AA184" s="213"/>
      <c r="AB184" s="213"/>
      <c r="AC184" s="213"/>
      <c r="AD184" s="213"/>
      <c r="AE184" s="213"/>
      <c r="AF184" s="213"/>
      <c r="AG184" s="213"/>
      <c r="AH184" s="213"/>
      <c r="AI184" s="213"/>
      <c r="AJ184" s="213"/>
      <c r="AK184" s="213"/>
      <c r="AL184" s="213"/>
      <c r="AM184" s="213"/>
      <c r="AN184" s="213"/>
      <c r="AO184" s="213"/>
      <c r="AP184" s="213"/>
      <c r="AQ184" s="213"/>
      <c r="AR184" s="213"/>
      <c r="AS184" s="213"/>
      <c r="AT184" s="213"/>
      <c r="AU184" s="213"/>
      <c r="AV184" s="213"/>
      <c r="AW184" s="213"/>
      <c r="AX184" s="213"/>
      <c r="AY184" s="213"/>
      <c r="AZ184" s="213"/>
      <c r="BA184" s="213"/>
      <c r="BB184" s="213"/>
      <c r="BC184" s="213"/>
      <c r="BD184" s="213"/>
      <c r="BE184" s="213"/>
      <c r="BF184" s="213"/>
      <c r="BG184" s="213"/>
      <c r="BH184" s="213"/>
      <c r="BI184" s="213"/>
      <c r="BJ184" s="213"/>
      <c r="BK184" s="213"/>
      <c r="BL184" s="213"/>
      <c r="BM184" s="213"/>
      <c r="BN184" s="213"/>
      <c r="BO184" s="213"/>
      <c r="BP184" s="213"/>
      <c r="BQ184" s="213"/>
      <c r="BR184" s="213"/>
      <c r="BS184" s="213"/>
      <c r="BT184" s="213"/>
      <c r="BU184" s="213"/>
      <c r="BV184" s="213"/>
      <c r="BW184" s="213"/>
      <c r="BX184" s="213"/>
    </row>
    <row r="185" spans="1:76" s="126" customFormat="1" ht="11.25" customHeight="1" x14ac:dyDescent="0.2">
      <c r="A185" s="5"/>
      <c r="B185" s="5"/>
      <c r="C185" s="5"/>
      <c r="D185" s="5"/>
      <c r="E185" s="5"/>
      <c r="F185" s="5"/>
      <c r="G185" s="5"/>
      <c r="H185" s="5"/>
      <c r="I185" s="5"/>
      <c r="J185" s="5"/>
      <c r="K185" s="5"/>
      <c r="L185" s="213"/>
      <c r="M185" s="213"/>
      <c r="N185" s="213"/>
      <c r="O185" s="213"/>
      <c r="P185" s="213"/>
      <c r="Q185" s="5"/>
      <c r="R185" s="5"/>
      <c r="S185" s="5"/>
      <c r="T185" s="5"/>
      <c r="U185" s="5"/>
      <c r="V185" s="5"/>
      <c r="W185" s="5"/>
      <c r="X185" s="5"/>
      <c r="Y185" s="213"/>
      <c r="Z185" s="213"/>
      <c r="AA185" s="213"/>
      <c r="AB185" s="213"/>
      <c r="AC185" s="213"/>
      <c r="AD185" s="213"/>
      <c r="AE185" s="213"/>
      <c r="AF185" s="213"/>
      <c r="AG185" s="213"/>
      <c r="AH185" s="213"/>
      <c r="AI185" s="213"/>
      <c r="AJ185" s="213"/>
      <c r="AK185" s="213"/>
      <c r="AL185" s="213"/>
      <c r="AM185" s="213"/>
      <c r="AN185" s="213"/>
      <c r="AO185" s="213"/>
      <c r="AP185" s="213"/>
      <c r="AQ185" s="213"/>
      <c r="AR185" s="213"/>
      <c r="AS185" s="213"/>
      <c r="AT185" s="213"/>
      <c r="AU185" s="213"/>
      <c r="AV185" s="213"/>
      <c r="AW185" s="213"/>
      <c r="AX185" s="213"/>
      <c r="AY185" s="213"/>
      <c r="AZ185" s="213"/>
      <c r="BA185" s="213"/>
      <c r="BB185" s="213"/>
      <c r="BC185" s="213"/>
      <c r="BD185" s="213"/>
      <c r="BE185" s="213"/>
      <c r="BF185" s="213"/>
      <c r="BG185" s="213"/>
      <c r="BH185" s="213"/>
      <c r="BI185" s="213"/>
      <c r="BJ185" s="213"/>
      <c r="BK185" s="213"/>
      <c r="BL185" s="213"/>
      <c r="BM185" s="213"/>
      <c r="BN185" s="213"/>
      <c r="BO185" s="213"/>
      <c r="BP185" s="213"/>
      <c r="BQ185" s="213"/>
      <c r="BR185" s="213"/>
      <c r="BS185" s="213"/>
      <c r="BT185" s="213"/>
      <c r="BU185" s="213"/>
      <c r="BV185" s="213"/>
      <c r="BW185" s="213"/>
      <c r="BX185" s="213"/>
    </row>
    <row r="186" spans="1:76" s="126" customFormat="1" ht="11.25" customHeight="1" x14ac:dyDescent="0.2">
      <c r="A186" s="5"/>
      <c r="B186" s="5"/>
      <c r="C186" s="5"/>
      <c r="D186" s="5"/>
      <c r="E186" s="5"/>
      <c r="F186" s="5"/>
      <c r="G186" s="5"/>
      <c r="H186" s="5"/>
      <c r="I186" s="5"/>
      <c r="J186" s="5"/>
      <c r="K186" s="5"/>
      <c r="L186" s="213"/>
      <c r="M186" s="213"/>
      <c r="N186" s="213"/>
      <c r="O186" s="213"/>
      <c r="P186" s="213"/>
      <c r="Q186" s="5"/>
      <c r="R186" s="5"/>
      <c r="S186" s="5"/>
      <c r="T186" s="5"/>
      <c r="U186" s="5"/>
      <c r="V186" s="5"/>
      <c r="W186" s="5"/>
      <c r="X186" s="5"/>
      <c r="Y186" s="213"/>
      <c r="Z186" s="213"/>
      <c r="AA186" s="213"/>
      <c r="AB186" s="213"/>
      <c r="AC186" s="213"/>
      <c r="AD186" s="213"/>
      <c r="AE186" s="213"/>
      <c r="AF186" s="213"/>
      <c r="AG186" s="213"/>
      <c r="AH186" s="213"/>
      <c r="AI186" s="213"/>
      <c r="AJ186" s="213"/>
      <c r="AK186" s="213"/>
      <c r="AL186" s="213"/>
      <c r="AM186" s="213"/>
      <c r="AN186" s="213"/>
      <c r="AO186" s="213"/>
      <c r="AP186" s="213"/>
      <c r="AQ186" s="213"/>
      <c r="AR186" s="213"/>
      <c r="AS186" s="213"/>
      <c r="AT186" s="213"/>
      <c r="AU186" s="213"/>
      <c r="AV186" s="213"/>
      <c r="AW186" s="213"/>
      <c r="AX186" s="213"/>
      <c r="AY186" s="213"/>
      <c r="AZ186" s="213"/>
      <c r="BA186" s="213"/>
      <c r="BB186" s="213"/>
      <c r="BC186" s="213"/>
      <c r="BD186" s="213"/>
      <c r="BE186" s="213"/>
      <c r="BF186" s="213"/>
      <c r="BG186" s="213"/>
      <c r="BH186" s="213"/>
      <c r="BI186" s="213"/>
      <c r="BJ186" s="213"/>
      <c r="BK186" s="213"/>
      <c r="BL186" s="213"/>
      <c r="BM186" s="213"/>
      <c r="BN186" s="213"/>
      <c r="BO186" s="213"/>
      <c r="BP186" s="213"/>
      <c r="BQ186" s="213"/>
      <c r="BR186" s="213"/>
      <c r="BS186" s="213"/>
      <c r="BT186" s="213"/>
      <c r="BU186" s="213"/>
      <c r="BV186" s="213"/>
      <c r="BW186" s="213"/>
      <c r="BX186" s="213"/>
    </row>
    <row r="187" spans="1:76" s="126" customFormat="1" ht="11.25" customHeight="1" x14ac:dyDescent="0.2">
      <c r="A187" s="5"/>
      <c r="B187" s="5"/>
      <c r="C187" s="5"/>
      <c r="D187" s="5"/>
      <c r="E187" s="5"/>
      <c r="F187" s="5"/>
      <c r="G187" s="5"/>
      <c r="H187" s="5"/>
      <c r="I187" s="5"/>
      <c r="J187" s="5"/>
      <c r="K187" s="5"/>
      <c r="L187" s="213"/>
      <c r="M187" s="213"/>
      <c r="N187" s="213"/>
      <c r="O187" s="213"/>
      <c r="P187" s="213"/>
      <c r="Q187" s="5"/>
      <c r="R187" s="5"/>
      <c r="S187" s="5"/>
      <c r="T187" s="5"/>
      <c r="U187" s="5"/>
      <c r="V187" s="5"/>
      <c r="W187" s="5"/>
      <c r="X187" s="5"/>
      <c r="Y187" s="213"/>
      <c r="Z187" s="213"/>
      <c r="AA187" s="213"/>
      <c r="AB187" s="213"/>
      <c r="AC187" s="213"/>
      <c r="AD187" s="213"/>
      <c r="AE187" s="213"/>
      <c r="AF187" s="213"/>
      <c r="AG187" s="213"/>
      <c r="AH187" s="213"/>
      <c r="AI187" s="213"/>
      <c r="AJ187" s="213"/>
      <c r="AK187" s="213"/>
      <c r="AL187" s="213"/>
      <c r="AM187" s="213"/>
      <c r="AN187" s="213"/>
      <c r="AO187" s="213"/>
      <c r="AP187" s="213"/>
      <c r="AQ187" s="213"/>
      <c r="AR187" s="213"/>
      <c r="AS187" s="213"/>
      <c r="AT187" s="213"/>
      <c r="AU187" s="213"/>
      <c r="AV187" s="213"/>
      <c r="AW187" s="213"/>
      <c r="AX187" s="213"/>
      <c r="AY187" s="213"/>
      <c r="AZ187" s="213"/>
      <c r="BA187" s="213"/>
      <c r="BB187" s="213"/>
      <c r="BC187" s="213"/>
      <c r="BD187" s="213"/>
      <c r="BE187" s="213"/>
      <c r="BF187" s="213"/>
      <c r="BG187" s="213"/>
      <c r="BH187" s="213"/>
      <c r="BI187" s="213"/>
      <c r="BJ187" s="213"/>
      <c r="BK187" s="213"/>
      <c r="BL187" s="213"/>
      <c r="BM187" s="213"/>
      <c r="BN187" s="213"/>
      <c r="BO187" s="213"/>
      <c r="BP187" s="213"/>
      <c r="BQ187" s="213"/>
      <c r="BR187" s="213"/>
      <c r="BS187" s="213"/>
      <c r="BT187" s="213"/>
      <c r="BU187" s="213"/>
      <c r="BV187" s="213"/>
      <c r="BW187" s="213"/>
      <c r="BX187" s="213"/>
    </row>
    <row r="188" spans="1:76" s="126" customFormat="1" ht="11.25" customHeight="1" x14ac:dyDescent="0.2">
      <c r="A188" s="5"/>
      <c r="B188" s="5"/>
      <c r="C188" s="5"/>
      <c r="D188" s="5"/>
      <c r="E188" s="5"/>
      <c r="F188" s="5"/>
      <c r="G188" s="5"/>
      <c r="H188" s="5"/>
      <c r="I188" s="5"/>
      <c r="J188" s="5"/>
      <c r="K188" s="5"/>
      <c r="L188" s="213"/>
      <c r="M188" s="213"/>
      <c r="N188" s="213"/>
      <c r="O188" s="213"/>
      <c r="P188" s="213"/>
      <c r="Q188" s="5"/>
      <c r="R188" s="5"/>
      <c r="S188" s="5"/>
      <c r="T188" s="5"/>
      <c r="U188" s="5"/>
      <c r="V188" s="5"/>
      <c r="W188" s="5"/>
      <c r="X188" s="5"/>
      <c r="Y188" s="213"/>
      <c r="Z188" s="213"/>
      <c r="AA188" s="213"/>
      <c r="AB188" s="213"/>
      <c r="AC188" s="213"/>
      <c r="AD188" s="213"/>
      <c r="AE188" s="213"/>
      <c r="AF188" s="213"/>
      <c r="AG188" s="213"/>
      <c r="AH188" s="213"/>
      <c r="AI188" s="213"/>
      <c r="AJ188" s="213"/>
      <c r="AK188" s="213"/>
      <c r="AL188" s="213"/>
      <c r="AM188" s="213"/>
      <c r="AN188" s="213"/>
      <c r="AO188" s="213"/>
      <c r="AP188" s="213"/>
      <c r="AQ188" s="213"/>
      <c r="AR188" s="213"/>
      <c r="AS188" s="213"/>
      <c r="AT188" s="213"/>
      <c r="AU188" s="213"/>
      <c r="AV188" s="213"/>
      <c r="AW188" s="213"/>
      <c r="AX188" s="213"/>
      <c r="AY188" s="213"/>
      <c r="AZ188" s="213"/>
      <c r="BA188" s="213"/>
      <c r="BB188" s="213"/>
      <c r="BC188" s="213"/>
      <c r="BD188" s="213"/>
      <c r="BE188" s="213"/>
      <c r="BF188" s="213"/>
      <c r="BG188" s="213"/>
      <c r="BH188" s="213"/>
      <c r="BI188" s="213"/>
      <c r="BJ188" s="213"/>
      <c r="BK188" s="213"/>
      <c r="BL188" s="213"/>
      <c r="BM188" s="213"/>
      <c r="BN188" s="213"/>
      <c r="BO188" s="213"/>
      <c r="BP188" s="213"/>
      <c r="BQ188" s="213"/>
      <c r="BR188" s="213"/>
      <c r="BS188" s="213"/>
      <c r="BT188" s="213"/>
      <c r="BU188" s="213"/>
      <c r="BV188" s="213"/>
      <c r="BW188" s="213"/>
      <c r="BX188" s="213"/>
    </row>
    <row r="189" spans="1:76" s="126" customFormat="1" ht="11.25" customHeight="1" x14ac:dyDescent="0.2">
      <c r="A189" s="5"/>
      <c r="B189" s="5"/>
      <c r="C189" s="5"/>
      <c r="D189" s="5"/>
      <c r="E189" s="5"/>
      <c r="F189" s="5"/>
      <c r="G189" s="5"/>
      <c r="H189" s="5"/>
      <c r="I189" s="5"/>
      <c r="J189" s="5"/>
      <c r="K189" s="5"/>
      <c r="L189" s="213"/>
      <c r="M189" s="213"/>
      <c r="N189" s="213"/>
      <c r="O189" s="213"/>
      <c r="P189" s="213"/>
      <c r="Q189" s="5"/>
      <c r="R189" s="5"/>
      <c r="S189" s="5"/>
      <c r="T189" s="5"/>
      <c r="U189" s="5"/>
      <c r="V189" s="5"/>
      <c r="W189" s="5"/>
      <c r="X189" s="5"/>
      <c r="Y189" s="213"/>
      <c r="Z189" s="213"/>
      <c r="AA189" s="213"/>
      <c r="AB189" s="213"/>
      <c r="AC189" s="213"/>
      <c r="AD189" s="213"/>
      <c r="AE189" s="213"/>
      <c r="AF189" s="213"/>
      <c r="AG189" s="213"/>
      <c r="AH189" s="213"/>
      <c r="AI189" s="213"/>
      <c r="AJ189" s="213"/>
      <c r="AK189" s="213"/>
      <c r="AL189" s="213"/>
      <c r="AM189" s="213"/>
      <c r="AN189" s="213"/>
      <c r="AO189" s="213"/>
      <c r="AP189" s="213"/>
      <c r="AQ189" s="213"/>
      <c r="AR189" s="213"/>
      <c r="AS189" s="213"/>
      <c r="AT189" s="213"/>
      <c r="AU189" s="213"/>
      <c r="AV189" s="213"/>
      <c r="AW189" s="213"/>
      <c r="AX189" s="213"/>
      <c r="AY189" s="213"/>
      <c r="AZ189" s="213"/>
      <c r="BA189" s="213"/>
      <c r="BB189" s="213"/>
      <c r="BC189" s="213"/>
      <c r="BD189" s="213"/>
      <c r="BE189" s="213"/>
      <c r="BF189" s="213"/>
      <c r="BG189" s="213"/>
      <c r="BH189" s="213"/>
      <c r="BI189" s="213"/>
      <c r="BJ189" s="213"/>
      <c r="BK189" s="213"/>
      <c r="BL189" s="213"/>
      <c r="BM189" s="213"/>
      <c r="BN189" s="213"/>
      <c r="BO189" s="213"/>
      <c r="BP189" s="213"/>
      <c r="BQ189" s="213"/>
      <c r="BR189" s="213"/>
      <c r="BS189" s="213"/>
      <c r="BT189" s="213"/>
      <c r="BU189" s="213"/>
      <c r="BV189" s="213"/>
      <c r="BW189" s="213"/>
      <c r="BX189" s="213"/>
    </row>
    <row r="190" spans="1:76" s="126" customFormat="1" ht="11.25" customHeight="1" x14ac:dyDescent="0.2">
      <c r="A190" s="5"/>
      <c r="B190" s="5"/>
      <c r="C190" s="5"/>
      <c r="D190" s="5"/>
      <c r="E190" s="5"/>
      <c r="F190" s="5"/>
      <c r="G190" s="5"/>
      <c r="H190" s="5"/>
      <c r="I190" s="5"/>
      <c r="J190" s="5"/>
      <c r="K190" s="5"/>
      <c r="L190" s="213"/>
      <c r="M190" s="213"/>
      <c r="N190" s="213"/>
      <c r="O190" s="213"/>
      <c r="P190" s="213"/>
      <c r="Q190" s="5"/>
      <c r="R190" s="5"/>
      <c r="S190" s="5"/>
      <c r="T190" s="5"/>
      <c r="U190" s="5"/>
      <c r="V190" s="5"/>
      <c r="W190" s="5"/>
      <c r="X190" s="5"/>
      <c r="Y190" s="213"/>
      <c r="Z190" s="213"/>
      <c r="AA190" s="213"/>
      <c r="AB190" s="213"/>
      <c r="AC190" s="213"/>
      <c r="AD190" s="213"/>
      <c r="AE190" s="213"/>
      <c r="AF190" s="213"/>
      <c r="AG190" s="213"/>
      <c r="AH190" s="213"/>
      <c r="AI190" s="213"/>
      <c r="AJ190" s="213"/>
      <c r="AK190" s="213"/>
      <c r="AL190" s="213"/>
      <c r="AM190" s="213"/>
      <c r="AN190" s="213"/>
      <c r="AO190" s="213"/>
      <c r="AP190" s="213"/>
      <c r="AQ190" s="213"/>
      <c r="AR190" s="213"/>
      <c r="AS190" s="213"/>
      <c r="AT190" s="213"/>
      <c r="AU190" s="213"/>
      <c r="AV190" s="213"/>
      <c r="AW190" s="213"/>
      <c r="AX190" s="213"/>
      <c r="AY190" s="213"/>
      <c r="AZ190" s="213"/>
      <c r="BA190" s="213"/>
      <c r="BB190" s="213"/>
      <c r="BC190" s="213"/>
      <c r="BD190" s="213"/>
      <c r="BE190" s="213"/>
      <c r="BF190" s="213"/>
      <c r="BG190" s="213"/>
      <c r="BH190" s="213"/>
      <c r="BI190" s="213"/>
      <c r="BJ190" s="213"/>
      <c r="BK190" s="213"/>
      <c r="BL190" s="213"/>
      <c r="BM190" s="213"/>
      <c r="BN190" s="213"/>
      <c r="BO190" s="213"/>
      <c r="BP190" s="213"/>
      <c r="BQ190" s="213"/>
      <c r="BR190" s="213"/>
      <c r="BS190" s="213"/>
      <c r="BT190" s="213"/>
      <c r="BU190" s="213"/>
      <c r="BV190" s="213"/>
      <c r="BW190" s="213"/>
      <c r="BX190" s="213"/>
    </row>
    <row r="191" spans="1:76" s="126" customFormat="1" ht="11.25" customHeight="1" x14ac:dyDescent="0.2">
      <c r="A191" s="5"/>
      <c r="B191" s="5"/>
      <c r="C191" s="5"/>
      <c r="D191" s="5"/>
      <c r="E191" s="5"/>
      <c r="F191" s="5"/>
      <c r="G191" s="5"/>
      <c r="H191" s="5"/>
      <c r="I191" s="5"/>
      <c r="J191" s="5"/>
      <c r="K191" s="5"/>
      <c r="L191" s="213"/>
      <c r="M191" s="213"/>
      <c r="N191" s="213"/>
      <c r="O191" s="213"/>
      <c r="P191" s="213"/>
      <c r="Q191" s="5"/>
      <c r="R191" s="5"/>
      <c r="S191" s="5"/>
      <c r="T191" s="5"/>
      <c r="U191" s="5"/>
      <c r="V191" s="5"/>
      <c r="W191" s="5"/>
      <c r="X191" s="5"/>
      <c r="Y191" s="213"/>
      <c r="Z191" s="213"/>
      <c r="AA191" s="213"/>
      <c r="AB191" s="213"/>
      <c r="AC191" s="213"/>
      <c r="AD191" s="213"/>
      <c r="AE191" s="213"/>
      <c r="AF191" s="213"/>
      <c r="AG191" s="213"/>
      <c r="AH191" s="213"/>
      <c r="AI191" s="213"/>
      <c r="AJ191" s="213"/>
      <c r="AK191" s="213"/>
      <c r="AL191" s="213"/>
      <c r="AM191" s="213"/>
      <c r="AN191" s="213"/>
      <c r="AO191" s="213"/>
      <c r="AP191" s="213"/>
      <c r="AQ191" s="213"/>
      <c r="AR191" s="213"/>
      <c r="AS191" s="213"/>
      <c r="AT191" s="213"/>
      <c r="AU191" s="213"/>
      <c r="AV191" s="213"/>
      <c r="AW191" s="213"/>
      <c r="AX191" s="213"/>
      <c r="AY191" s="213"/>
      <c r="AZ191" s="213"/>
      <c r="BA191" s="213"/>
      <c r="BB191" s="213"/>
      <c r="BC191" s="213"/>
      <c r="BD191" s="213"/>
      <c r="BE191" s="213"/>
      <c r="BF191" s="213"/>
      <c r="BG191" s="213"/>
      <c r="BH191" s="213"/>
      <c r="BI191" s="213"/>
      <c r="BJ191" s="213"/>
      <c r="BK191" s="213"/>
      <c r="BL191" s="213"/>
      <c r="BM191" s="213"/>
      <c r="BN191" s="213"/>
      <c r="BO191" s="213"/>
      <c r="BP191" s="213"/>
      <c r="BQ191" s="213"/>
      <c r="BR191" s="213"/>
      <c r="BS191" s="213"/>
      <c r="BT191" s="213"/>
      <c r="BU191" s="213"/>
      <c r="BV191" s="213"/>
      <c r="BW191" s="213"/>
      <c r="BX191" s="213"/>
    </row>
    <row r="192" spans="1:76" s="126" customFormat="1" ht="11.25" customHeight="1" x14ac:dyDescent="0.2">
      <c r="A192" s="5"/>
      <c r="B192" s="5"/>
      <c r="C192" s="5"/>
      <c r="D192" s="5"/>
      <c r="E192" s="5"/>
      <c r="F192" s="5"/>
      <c r="G192" s="5"/>
      <c r="H192" s="5"/>
      <c r="I192" s="5"/>
      <c r="J192" s="5"/>
      <c r="K192" s="5"/>
      <c r="L192" s="213"/>
      <c r="M192" s="213"/>
      <c r="N192" s="213"/>
      <c r="O192" s="213"/>
      <c r="P192" s="213"/>
      <c r="Q192" s="5"/>
      <c r="R192" s="5"/>
      <c r="S192" s="5"/>
      <c r="T192" s="5"/>
      <c r="U192" s="5"/>
      <c r="V192" s="5"/>
      <c r="W192" s="5"/>
      <c r="X192" s="5"/>
      <c r="Y192" s="213"/>
      <c r="Z192" s="213"/>
      <c r="AA192" s="213"/>
      <c r="AB192" s="213"/>
      <c r="AC192" s="213"/>
      <c r="AD192" s="213"/>
      <c r="AE192" s="213"/>
      <c r="AF192" s="213"/>
      <c r="AG192" s="213"/>
      <c r="AH192" s="213"/>
      <c r="AI192" s="213"/>
      <c r="AJ192" s="213"/>
      <c r="AK192" s="213"/>
      <c r="AL192" s="213"/>
      <c r="AM192" s="213"/>
      <c r="AN192" s="213"/>
      <c r="AO192" s="213"/>
      <c r="AP192" s="213"/>
      <c r="AQ192" s="213"/>
      <c r="AR192" s="213"/>
      <c r="AS192" s="213"/>
      <c r="AT192" s="213"/>
      <c r="AU192" s="213"/>
      <c r="AV192" s="213"/>
      <c r="AW192" s="213"/>
      <c r="AX192" s="213"/>
      <c r="AY192" s="213"/>
      <c r="AZ192" s="213"/>
      <c r="BA192" s="213"/>
      <c r="BB192" s="213"/>
      <c r="BC192" s="213"/>
      <c r="BD192" s="213"/>
      <c r="BE192" s="213"/>
      <c r="BF192" s="213"/>
      <c r="BG192" s="213"/>
      <c r="BH192" s="213"/>
      <c r="BI192" s="213"/>
      <c r="BJ192" s="213"/>
      <c r="BK192" s="213"/>
      <c r="BL192" s="213"/>
      <c r="BM192" s="213"/>
      <c r="BN192" s="213"/>
      <c r="BO192" s="213"/>
      <c r="BP192" s="213"/>
      <c r="BQ192" s="213"/>
      <c r="BR192" s="213"/>
      <c r="BS192" s="213"/>
      <c r="BT192" s="213"/>
      <c r="BU192" s="213"/>
      <c r="BV192" s="213"/>
      <c r="BW192" s="213"/>
      <c r="BX192" s="213"/>
    </row>
    <row r="193" spans="1:76" s="126" customFormat="1" ht="11.25" customHeight="1" x14ac:dyDescent="0.2">
      <c r="A193" s="5"/>
      <c r="B193" s="5"/>
      <c r="C193" s="5"/>
      <c r="D193" s="5"/>
      <c r="E193" s="5"/>
      <c r="F193" s="5"/>
      <c r="G193" s="5"/>
      <c r="H193" s="5"/>
      <c r="I193" s="5"/>
      <c r="J193" s="5"/>
      <c r="K193" s="5"/>
      <c r="L193" s="213"/>
      <c r="M193" s="213"/>
      <c r="N193" s="213"/>
      <c r="O193" s="213"/>
      <c r="P193" s="213"/>
      <c r="Q193" s="5"/>
      <c r="R193" s="5"/>
      <c r="S193" s="5"/>
      <c r="T193" s="5"/>
      <c r="U193" s="5"/>
      <c r="V193" s="5"/>
      <c r="W193" s="5"/>
      <c r="X193" s="5"/>
      <c r="Y193" s="213"/>
      <c r="Z193" s="213"/>
      <c r="AA193" s="213"/>
      <c r="AB193" s="213"/>
      <c r="AC193" s="213"/>
      <c r="AD193" s="213"/>
      <c r="AE193" s="213"/>
      <c r="AF193" s="213"/>
      <c r="AG193" s="213"/>
      <c r="AH193" s="213"/>
      <c r="AI193" s="213"/>
      <c r="AJ193" s="213"/>
      <c r="AK193" s="213"/>
      <c r="AL193" s="213"/>
      <c r="AM193" s="213"/>
      <c r="AN193" s="213"/>
      <c r="AO193" s="213"/>
      <c r="AP193" s="213"/>
      <c r="AQ193" s="213"/>
      <c r="AR193" s="213"/>
      <c r="AS193" s="213"/>
      <c r="AT193" s="213"/>
      <c r="AU193" s="213"/>
      <c r="AV193" s="213"/>
      <c r="AW193" s="213"/>
      <c r="AX193" s="213"/>
      <c r="AY193" s="213"/>
      <c r="AZ193" s="213"/>
      <c r="BA193" s="213"/>
      <c r="BB193" s="213"/>
      <c r="BC193" s="213"/>
      <c r="BD193" s="213"/>
      <c r="BE193" s="213"/>
      <c r="BF193" s="213"/>
      <c r="BG193" s="213"/>
      <c r="BH193" s="213"/>
      <c r="BI193" s="213"/>
      <c r="BJ193" s="213"/>
      <c r="BK193" s="213"/>
      <c r="BL193" s="213"/>
      <c r="BM193" s="213"/>
      <c r="BN193" s="213"/>
      <c r="BO193" s="213"/>
      <c r="BP193" s="213"/>
      <c r="BQ193" s="213"/>
      <c r="BR193" s="213"/>
      <c r="BS193" s="213"/>
      <c r="BT193" s="213"/>
      <c r="BU193" s="213"/>
      <c r="BV193" s="213"/>
      <c r="BW193" s="213"/>
      <c r="BX193" s="213"/>
    </row>
    <row r="194" spans="1:76" s="126" customFormat="1" ht="11.25" customHeight="1" x14ac:dyDescent="0.2">
      <c r="A194" s="5"/>
      <c r="B194" s="5"/>
      <c r="C194" s="5"/>
      <c r="D194" s="5"/>
      <c r="E194" s="5"/>
      <c r="F194" s="5"/>
      <c r="G194" s="5"/>
      <c r="H194" s="5"/>
      <c r="I194" s="5"/>
      <c r="J194" s="5"/>
      <c r="K194" s="5"/>
      <c r="L194" s="213"/>
      <c r="M194" s="213"/>
      <c r="N194" s="213"/>
      <c r="O194" s="213"/>
      <c r="P194" s="213"/>
      <c r="Q194" s="5"/>
      <c r="R194" s="5"/>
      <c r="S194" s="5"/>
      <c r="T194" s="5"/>
      <c r="U194" s="5"/>
      <c r="V194" s="5"/>
      <c r="W194" s="5"/>
      <c r="X194" s="5"/>
      <c r="Y194" s="213"/>
      <c r="Z194" s="213"/>
      <c r="AA194" s="213"/>
      <c r="AB194" s="213"/>
      <c r="AC194" s="213"/>
      <c r="AD194" s="213"/>
      <c r="AE194" s="213"/>
      <c r="AF194" s="213"/>
      <c r="AG194" s="213"/>
      <c r="AH194" s="213"/>
      <c r="AI194" s="213"/>
      <c r="AJ194" s="213"/>
      <c r="AK194" s="213"/>
      <c r="AL194" s="213"/>
      <c r="AM194" s="213"/>
      <c r="AN194" s="213"/>
      <c r="AO194" s="213"/>
      <c r="AP194" s="213"/>
      <c r="AQ194" s="213"/>
      <c r="AR194" s="213"/>
      <c r="AS194" s="213"/>
      <c r="AT194" s="213"/>
      <c r="AU194" s="213"/>
      <c r="AV194" s="213"/>
      <c r="AW194" s="213"/>
      <c r="AX194" s="213"/>
      <c r="AY194" s="213"/>
      <c r="AZ194" s="213"/>
      <c r="BA194" s="213"/>
      <c r="BB194" s="213"/>
      <c r="BC194" s="213"/>
      <c r="BD194" s="213"/>
      <c r="BE194" s="213"/>
      <c r="BF194" s="213"/>
      <c r="BG194" s="213"/>
      <c r="BH194" s="213"/>
      <c r="BI194" s="213"/>
      <c r="BJ194" s="213"/>
      <c r="BK194" s="213"/>
      <c r="BL194" s="213"/>
      <c r="BM194" s="213"/>
      <c r="BN194" s="213"/>
      <c r="BO194" s="213"/>
      <c r="BP194" s="213"/>
      <c r="BQ194" s="213"/>
      <c r="BR194" s="213"/>
      <c r="BS194" s="213"/>
      <c r="BT194" s="213"/>
      <c r="BU194" s="213"/>
      <c r="BV194" s="213"/>
      <c r="BW194" s="213"/>
      <c r="BX194" s="213"/>
    </row>
    <row r="195" spans="1:76" s="126" customFormat="1" ht="11.25" customHeight="1" x14ac:dyDescent="0.2">
      <c r="A195" s="5"/>
      <c r="B195" s="5"/>
      <c r="C195" s="5"/>
      <c r="D195" s="5"/>
      <c r="E195" s="5"/>
      <c r="F195" s="5"/>
      <c r="G195" s="5"/>
      <c r="H195" s="5"/>
      <c r="I195" s="5"/>
      <c r="J195" s="5"/>
      <c r="K195" s="5"/>
      <c r="L195" s="213"/>
      <c r="M195" s="213"/>
      <c r="N195" s="213"/>
      <c r="O195" s="213"/>
      <c r="P195" s="213"/>
      <c r="Q195" s="5"/>
      <c r="R195" s="5"/>
      <c r="S195" s="5"/>
      <c r="T195" s="5"/>
      <c r="U195" s="5"/>
      <c r="V195" s="5"/>
      <c r="W195" s="5"/>
      <c r="X195" s="5"/>
      <c r="Y195" s="213"/>
      <c r="Z195" s="213"/>
      <c r="AA195" s="213"/>
      <c r="AB195" s="213"/>
      <c r="AC195" s="213"/>
      <c r="AD195" s="213"/>
      <c r="AE195" s="213"/>
      <c r="AF195" s="213"/>
      <c r="AG195" s="213"/>
      <c r="AH195" s="213"/>
      <c r="AI195" s="213"/>
      <c r="AJ195" s="213"/>
      <c r="AK195" s="213"/>
      <c r="AL195" s="213"/>
      <c r="AM195" s="213"/>
      <c r="AN195" s="213"/>
      <c r="AO195" s="213"/>
      <c r="AP195" s="213"/>
      <c r="AQ195" s="213"/>
      <c r="AR195" s="213"/>
      <c r="AS195" s="213"/>
      <c r="AT195" s="213"/>
      <c r="AU195" s="213"/>
      <c r="AV195" s="213"/>
      <c r="AW195" s="213"/>
      <c r="AX195" s="213"/>
      <c r="AY195" s="213"/>
      <c r="AZ195" s="213"/>
      <c r="BA195" s="213"/>
      <c r="BB195" s="213"/>
      <c r="BC195" s="213"/>
      <c r="BD195" s="213"/>
      <c r="BE195" s="213"/>
      <c r="BF195" s="213"/>
      <c r="BG195" s="213"/>
      <c r="BH195" s="213"/>
      <c r="BI195" s="213"/>
      <c r="BJ195" s="213"/>
      <c r="BK195" s="213"/>
      <c r="BL195" s="213"/>
      <c r="BM195" s="213"/>
      <c r="BN195" s="213"/>
      <c r="BO195" s="213"/>
      <c r="BP195" s="213"/>
      <c r="BQ195" s="213"/>
      <c r="BR195" s="213"/>
      <c r="BS195" s="213"/>
      <c r="BT195" s="213"/>
      <c r="BU195" s="213"/>
      <c r="BV195" s="213"/>
      <c r="BW195" s="213"/>
      <c r="BX195" s="213"/>
    </row>
    <row r="196" spans="1:76" s="126" customFormat="1" ht="11.25" customHeight="1" x14ac:dyDescent="0.2">
      <c r="A196" s="5"/>
      <c r="B196" s="5"/>
      <c r="C196" s="5"/>
      <c r="D196" s="5"/>
      <c r="E196" s="5"/>
      <c r="F196" s="5"/>
      <c r="G196" s="5"/>
      <c r="H196" s="5"/>
      <c r="I196" s="5"/>
      <c r="J196" s="5"/>
      <c r="K196" s="5"/>
      <c r="L196" s="213"/>
      <c r="M196" s="213"/>
      <c r="N196" s="213"/>
      <c r="O196" s="213"/>
      <c r="P196" s="213"/>
      <c r="Q196" s="5"/>
      <c r="R196" s="5"/>
      <c r="S196" s="5"/>
      <c r="T196" s="5"/>
      <c r="U196" s="5"/>
      <c r="V196" s="5"/>
      <c r="W196" s="5"/>
      <c r="X196" s="5"/>
      <c r="Y196" s="213"/>
      <c r="Z196" s="213"/>
      <c r="AA196" s="213"/>
      <c r="AB196" s="213"/>
      <c r="AC196" s="213"/>
      <c r="AD196" s="213"/>
      <c r="AE196" s="213"/>
      <c r="AF196" s="213"/>
      <c r="AG196" s="213"/>
      <c r="AH196" s="213"/>
      <c r="AI196" s="213"/>
      <c r="AJ196" s="213"/>
      <c r="AK196" s="213"/>
      <c r="AL196" s="213"/>
      <c r="AM196" s="213"/>
      <c r="AN196" s="213"/>
      <c r="AO196" s="213"/>
      <c r="AP196" s="213"/>
      <c r="AQ196" s="213"/>
      <c r="AR196" s="213"/>
      <c r="AS196" s="213"/>
      <c r="AT196" s="213"/>
      <c r="AU196" s="213"/>
      <c r="AV196" s="213"/>
      <c r="AW196" s="213"/>
      <c r="AX196" s="213"/>
      <c r="AY196" s="213"/>
      <c r="AZ196" s="213"/>
      <c r="BA196" s="213"/>
      <c r="BB196" s="213"/>
      <c r="BC196" s="213"/>
      <c r="BD196" s="213"/>
      <c r="BE196" s="213"/>
      <c r="BF196" s="213"/>
      <c r="BG196" s="213"/>
      <c r="BH196" s="213"/>
      <c r="BI196" s="213"/>
      <c r="BJ196" s="213"/>
      <c r="BK196" s="213"/>
      <c r="BL196" s="213"/>
      <c r="BM196" s="213"/>
      <c r="BN196" s="213"/>
      <c r="BO196" s="213"/>
      <c r="BP196" s="213"/>
      <c r="BQ196" s="213"/>
      <c r="BR196" s="213"/>
      <c r="BS196" s="213"/>
      <c r="BT196" s="213"/>
      <c r="BU196" s="213"/>
      <c r="BV196" s="213"/>
      <c r="BW196" s="213"/>
      <c r="BX196" s="213"/>
    </row>
    <row r="197" spans="1:76" s="126" customFormat="1" ht="11.25" customHeight="1" x14ac:dyDescent="0.2">
      <c r="A197" s="5"/>
      <c r="B197" s="5"/>
      <c r="C197" s="5"/>
      <c r="D197" s="5"/>
      <c r="E197" s="5"/>
      <c r="F197" s="5"/>
      <c r="G197" s="5"/>
      <c r="H197" s="5"/>
      <c r="I197" s="5"/>
      <c r="J197" s="5"/>
      <c r="K197" s="5"/>
      <c r="L197" s="213"/>
      <c r="M197" s="213"/>
      <c r="N197" s="213"/>
      <c r="O197" s="213"/>
      <c r="P197" s="213"/>
      <c r="Q197" s="5"/>
      <c r="R197" s="5"/>
      <c r="S197" s="5"/>
      <c r="T197" s="5"/>
      <c r="U197" s="5"/>
      <c r="V197" s="5"/>
      <c r="W197" s="5"/>
      <c r="X197" s="5"/>
      <c r="Y197" s="213"/>
      <c r="Z197" s="213"/>
      <c r="AA197" s="213"/>
      <c r="AB197" s="213"/>
      <c r="AC197" s="213"/>
      <c r="AD197" s="213"/>
      <c r="AE197" s="213"/>
      <c r="AF197" s="213"/>
      <c r="AG197" s="213"/>
      <c r="AH197" s="213"/>
      <c r="AI197" s="213"/>
      <c r="AJ197" s="213"/>
      <c r="AK197" s="213"/>
      <c r="AL197" s="213"/>
      <c r="AM197" s="213"/>
      <c r="AN197" s="213"/>
      <c r="AO197" s="213"/>
      <c r="AP197" s="213"/>
      <c r="AQ197" s="213"/>
      <c r="AR197" s="213"/>
      <c r="AS197" s="213"/>
      <c r="AT197" s="213"/>
      <c r="AU197" s="213"/>
      <c r="AV197" s="213"/>
      <c r="AW197" s="213"/>
      <c r="AX197" s="213"/>
      <c r="AY197" s="213"/>
      <c r="AZ197" s="213"/>
      <c r="BA197" s="213"/>
      <c r="BB197" s="213"/>
      <c r="BC197" s="213"/>
      <c r="BD197" s="213"/>
      <c r="BE197" s="213"/>
      <c r="BF197" s="213"/>
      <c r="BG197" s="213"/>
      <c r="BH197" s="213"/>
      <c r="BI197" s="213"/>
      <c r="BJ197" s="213"/>
      <c r="BK197" s="213"/>
      <c r="BL197" s="213"/>
      <c r="BM197" s="213"/>
      <c r="BN197" s="213"/>
      <c r="BO197" s="213"/>
      <c r="BP197" s="213"/>
      <c r="BQ197" s="213"/>
      <c r="BR197" s="213"/>
      <c r="BS197" s="213"/>
      <c r="BT197" s="213"/>
      <c r="BU197" s="213"/>
      <c r="BV197" s="213"/>
      <c r="BW197" s="213"/>
      <c r="BX197" s="213"/>
    </row>
    <row r="198" spans="1:76" s="126" customFormat="1" ht="11.25" customHeight="1" x14ac:dyDescent="0.2">
      <c r="A198" s="5"/>
      <c r="B198" s="5"/>
      <c r="C198" s="5"/>
      <c r="D198" s="5"/>
      <c r="E198" s="5"/>
      <c r="F198" s="5"/>
      <c r="G198" s="5"/>
      <c r="H198" s="5"/>
      <c r="I198" s="5"/>
      <c r="J198" s="5"/>
      <c r="K198" s="5"/>
      <c r="L198" s="213"/>
      <c r="M198" s="213"/>
      <c r="N198" s="213"/>
      <c r="O198" s="213"/>
      <c r="P198" s="213"/>
      <c r="Q198" s="5"/>
      <c r="R198" s="5"/>
      <c r="S198" s="5"/>
      <c r="T198" s="5"/>
      <c r="U198" s="5"/>
      <c r="V198" s="5"/>
      <c r="W198" s="5"/>
      <c r="X198" s="5"/>
      <c r="Y198" s="213"/>
      <c r="Z198" s="213"/>
      <c r="AA198" s="213"/>
      <c r="AB198" s="213"/>
      <c r="AC198" s="213"/>
      <c r="AD198" s="213"/>
      <c r="AE198" s="213"/>
      <c r="AF198" s="213"/>
      <c r="AG198" s="213"/>
      <c r="AH198" s="213"/>
      <c r="AI198" s="213"/>
      <c r="AJ198" s="213"/>
      <c r="AK198" s="213"/>
      <c r="AL198" s="213"/>
      <c r="AM198" s="213"/>
      <c r="AN198" s="213"/>
      <c r="AO198" s="213"/>
      <c r="AP198" s="213"/>
      <c r="AQ198" s="213"/>
      <c r="AR198" s="213"/>
      <c r="AS198" s="213"/>
      <c r="AT198" s="213"/>
      <c r="AU198" s="213"/>
      <c r="AV198" s="213"/>
      <c r="AW198" s="213"/>
      <c r="AX198" s="213"/>
      <c r="AY198" s="213"/>
      <c r="AZ198" s="213"/>
      <c r="BA198" s="213"/>
      <c r="BB198" s="213"/>
      <c r="BC198" s="213"/>
      <c r="BD198" s="213"/>
      <c r="BE198" s="213"/>
      <c r="BF198" s="213"/>
      <c r="BG198" s="213"/>
      <c r="BH198" s="213"/>
      <c r="BI198" s="213"/>
      <c r="BJ198" s="213"/>
      <c r="BK198" s="213"/>
      <c r="BL198" s="213"/>
      <c r="BM198" s="213"/>
      <c r="BN198" s="213"/>
      <c r="BO198" s="213"/>
      <c r="BP198" s="213"/>
      <c r="BQ198" s="213"/>
      <c r="BR198" s="213"/>
      <c r="BS198" s="213"/>
      <c r="BT198" s="213"/>
      <c r="BU198" s="213"/>
      <c r="BV198" s="213"/>
      <c r="BW198" s="213"/>
      <c r="BX198" s="213"/>
    </row>
    <row r="199" spans="1:76" s="126" customFormat="1" ht="11.25" customHeight="1" x14ac:dyDescent="0.2">
      <c r="A199" s="5"/>
      <c r="B199" s="5"/>
      <c r="C199" s="5"/>
      <c r="D199" s="5"/>
      <c r="E199" s="5"/>
      <c r="F199" s="5"/>
      <c r="G199" s="5"/>
      <c r="H199" s="5"/>
      <c r="I199" s="5"/>
      <c r="J199" s="5"/>
      <c r="K199" s="5"/>
      <c r="L199" s="213"/>
      <c r="M199" s="213"/>
      <c r="N199" s="213"/>
      <c r="O199" s="213"/>
      <c r="P199" s="213"/>
      <c r="Q199" s="5"/>
      <c r="R199" s="5"/>
      <c r="S199" s="5"/>
      <c r="T199" s="5"/>
      <c r="U199" s="5"/>
      <c r="V199" s="5"/>
      <c r="W199" s="5"/>
      <c r="X199" s="5"/>
      <c r="Y199" s="213"/>
      <c r="Z199" s="213"/>
      <c r="AA199" s="213"/>
      <c r="AB199" s="213"/>
      <c r="AC199" s="213"/>
      <c r="AD199" s="213"/>
      <c r="AE199" s="213"/>
      <c r="AF199" s="213"/>
      <c r="AG199" s="213"/>
      <c r="AH199" s="213"/>
      <c r="AI199" s="213"/>
      <c r="AJ199" s="213"/>
      <c r="AK199" s="213"/>
      <c r="AL199" s="213"/>
      <c r="AM199" s="213"/>
      <c r="AN199" s="213"/>
      <c r="AO199" s="213"/>
      <c r="AP199" s="213"/>
      <c r="AQ199" s="213"/>
      <c r="AR199" s="213"/>
      <c r="AS199" s="213"/>
      <c r="AT199" s="213"/>
      <c r="AU199" s="213"/>
      <c r="AV199" s="213"/>
      <c r="AW199" s="213"/>
      <c r="AX199" s="213"/>
      <c r="AY199" s="213"/>
      <c r="AZ199" s="213"/>
      <c r="BA199" s="213"/>
      <c r="BB199" s="213"/>
      <c r="BC199" s="213"/>
      <c r="BD199" s="213"/>
      <c r="BE199" s="213"/>
      <c r="BF199" s="213"/>
      <c r="BG199" s="213"/>
      <c r="BH199" s="213"/>
      <c r="BI199" s="213"/>
      <c r="BJ199" s="213"/>
      <c r="BK199" s="213"/>
      <c r="BL199" s="213"/>
      <c r="BM199" s="213"/>
      <c r="BN199" s="213"/>
      <c r="BO199" s="213"/>
      <c r="BP199" s="213"/>
      <c r="BQ199" s="213"/>
      <c r="BR199" s="213"/>
      <c r="BS199" s="213"/>
      <c r="BT199" s="213"/>
      <c r="BU199" s="213"/>
      <c r="BV199" s="213"/>
      <c r="BW199" s="213"/>
      <c r="BX199" s="213"/>
    </row>
    <row r="200" spans="1:76" ht="11.25" customHeight="1" x14ac:dyDescent="0.2"/>
    <row r="201" spans="1:76" ht="11.25" customHeight="1" x14ac:dyDescent="0.2"/>
    <row r="202" spans="1:76" ht="11.25" customHeight="1" x14ac:dyDescent="0.2"/>
    <row r="203" spans="1:76" ht="11.25" customHeight="1" x14ac:dyDescent="0.2"/>
    <row r="204" spans="1:76" ht="11.25" customHeight="1" x14ac:dyDescent="0.2"/>
    <row r="205" spans="1:76" ht="11.25" customHeight="1" x14ac:dyDescent="0.2"/>
    <row r="206" spans="1:76" ht="11.25" customHeight="1" x14ac:dyDescent="0.2"/>
    <row r="207" spans="1:76" ht="11.25" customHeight="1" x14ac:dyDescent="0.2"/>
    <row r="208" spans="1:76" ht="11.25" customHeight="1" x14ac:dyDescent="0.2"/>
    <row r="209" ht="11.25" customHeight="1" x14ac:dyDescent="0.2"/>
    <row r="210" ht="11.25" customHeight="1" x14ac:dyDescent="0.2"/>
    <row r="211" ht="11.25" customHeight="1" x14ac:dyDescent="0.2"/>
    <row r="212" ht="11.25" customHeight="1" x14ac:dyDescent="0.2"/>
    <row r="213" ht="11.25" customHeight="1" x14ac:dyDescent="0.2"/>
    <row r="214" ht="11.25" customHeight="1" x14ac:dyDescent="0.2"/>
    <row r="215" ht="11.25" customHeight="1" x14ac:dyDescent="0.2"/>
    <row r="216" ht="11.25" customHeight="1" x14ac:dyDescent="0.2"/>
    <row r="217" ht="11.25" customHeight="1" x14ac:dyDescent="0.2"/>
    <row r="218" ht="11.25" customHeight="1" x14ac:dyDescent="0.2"/>
    <row r="219" ht="11.25" customHeight="1" x14ac:dyDescent="0.2"/>
    <row r="220" ht="11.25" customHeight="1" x14ac:dyDescent="0.2"/>
    <row r="221" ht="11.25" customHeight="1" x14ac:dyDescent="0.2"/>
    <row r="222" ht="11.25" customHeight="1" x14ac:dyDescent="0.2"/>
    <row r="223" ht="11.25" customHeight="1" x14ac:dyDescent="0.2"/>
    <row r="224" ht="11.25" customHeight="1" x14ac:dyDescent="0.2"/>
    <row r="225" ht="11.25" customHeight="1" x14ac:dyDescent="0.2"/>
    <row r="226" ht="11.25" customHeight="1" x14ac:dyDescent="0.2"/>
    <row r="227" ht="11.25" customHeight="1" x14ac:dyDescent="0.2"/>
    <row r="228" ht="11.25" customHeight="1" x14ac:dyDescent="0.2"/>
    <row r="229" ht="11.25" customHeight="1" x14ac:dyDescent="0.2"/>
    <row r="230" ht="11.25" customHeight="1" x14ac:dyDescent="0.2"/>
    <row r="231" ht="11.25" customHeight="1" x14ac:dyDescent="0.2"/>
    <row r="232" ht="11.25" customHeight="1" x14ac:dyDescent="0.2"/>
    <row r="233" ht="11.25" customHeight="1" x14ac:dyDescent="0.2"/>
    <row r="234" ht="11.25" customHeight="1" x14ac:dyDescent="0.2"/>
    <row r="235" ht="11.25" customHeight="1" x14ac:dyDescent="0.2"/>
    <row r="236" ht="11.25" customHeight="1" x14ac:dyDescent="0.2"/>
    <row r="237" ht="11.25" customHeight="1" x14ac:dyDescent="0.2"/>
    <row r="238" ht="11.25" customHeight="1" x14ac:dyDescent="0.2"/>
    <row r="239" ht="11.25" customHeight="1" x14ac:dyDescent="0.2"/>
    <row r="240" ht="11.25" customHeight="1" x14ac:dyDescent="0.2"/>
    <row r="241" ht="11.25" customHeight="1" x14ac:dyDescent="0.2"/>
    <row r="242" ht="11.25" customHeight="1" x14ac:dyDescent="0.2"/>
    <row r="243" ht="11.25" customHeight="1" x14ac:dyDescent="0.2"/>
    <row r="244" ht="11.25" customHeight="1" x14ac:dyDescent="0.2"/>
    <row r="245" ht="11.25" customHeight="1" x14ac:dyDescent="0.2"/>
    <row r="246" ht="11.25" customHeight="1" x14ac:dyDescent="0.2"/>
    <row r="247" ht="11.25" customHeight="1" x14ac:dyDescent="0.2"/>
    <row r="248" ht="11.25" customHeight="1" x14ac:dyDescent="0.2"/>
    <row r="249" ht="11.25" customHeight="1" x14ac:dyDescent="0.2"/>
    <row r="250" ht="11.25" customHeight="1" x14ac:dyDescent="0.2"/>
    <row r="251" ht="11.25" customHeight="1" x14ac:dyDescent="0.2"/>
    <row r="252" ht="11.25" customHeight="1" x14ac:dyDescent="0.2"/>
    <row r="253" ht="11.25" customHeight="1" x14ac:dyDescent="0.2"/>
    <row r="254" ht="11.25" customHeight="1" x14ac:dyDescent="0.2"/>
    <row r="255" ht="11.25" customHeight="1" x14ac:dyDescent="0.2"/>
    <row r="256"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sheetData>
  <mergeCells count="71">
    <mergeCell ref="BQ8:BQ9"/>
    <mergeCell ref="BR8:BR9"/>
    <mergeCell ref="BI8:BI9"/>
    <mergeCell ref="BF8:BF9"/>
    <mergeCell ref="BE8:BE9"/>
    <mergeCell ref="BV8:BV9"/>
    <mergeCell ref="BU8:BU9"/>
    <mergeCell ref="BS7:BT7"/>
    <mergeCell ref="BS8:BS9"/>
    <mergeCell ref="BT8:BT9"/>
    <mergeCell ref="BP7:BQ7"/>
    <mergeCell ref="BP8:BP9"/>
    <mergeCell ref="BG7:BJ7"/>
    <mergeCell ref="AO8:AO9"/>
    <mergeCell ref="AP8:AP9"/>
    <mergeCell ref="BD7:BE7"/>
    <mergeCell ref="AR8:AR9"/>
    <mergeCell ref="BG8:BG9"/>
    <mergeCell ref="BH8:BH9"/>
    <mergeCell ref="AV7:AW7"/>
    <mergeCell ref="AX7:BC7"/>
    <mergeCell ref="AX8:AX9"/>
    <mergeCell ref="BK7:BO7"/>
    <mergeCell ref="BN8:BN9"/>
    <mergeCell ref="BO8:BO9"/>
    <mergeCell ref="BK8:BK9"/>
    <mergeCell ref="BL8:BL9"/>
    <mergeCell ref="BM8:BM9"/>
    <mergeCell ref="L8:P8"/>
    <mergeCell ref="A1:K1"/>
    <mergeCell ref="A2:K2"/>
    <mergeCell ref="A5:C5"/>
    <mergeCell ref="D5:E5"/>
    <mergeCell ref="I4:J4"/>
    <mergeCell ref="A4:G4"/>
    <mergeCell ref="A7:X7"/>
    <mergeCell ref="A8:K8"/>
    <mergeCell ref="Q8:X8"/>
    <mergeCell ref="Z8:Z9"/>
    <mergeCell ref="Y8:Y9"/>
    <mergeCell ref="AA8:AA9"/>
    <mergeCell ref="AB8:AB9"/>
    <mergeCell ref="AS8:AS9"/>
    <mergeCell ref="AS7:AU7"/>
    <mergeCell ref="AD8:AD9"/>
    <mergeCell ref="AQ8:AQ9"/>
    <mergeCell ref="AN8:AN9"/>
    <mergeCell ref="AI8:AI9"/>
    <mergeCell ref="AL8:AL9"/>
    <mergeCell ref="AK8:AK9"/>
    <mergeCell ref="AU8:AU9"/>
    <mergeCell ref="BD8:BD9"/>
    <mergeCell ref="AT8:AT9"/>
    <mergeCell ref="AV8:AV9"/>
    <mergeCell ref="BC8:BC9"/>
    <mergeCell ref="AY8:AY9"/>
    <mergeCell ref="AC8:AC9"/>
    <mergeCell ref="AM8:AM9"/>
    <mergeCell ref="AZ8:AZ9"/>
    <mergeCell ref="BA8:BA9"/>
    <mergeCell ref="AW8:AW9"/>
    <mergeCell ref="BW8:BW9"/>
    <mergeCell ref="BX8:BX9"/>
    <mergeCell ref="AO7:AR7"/>
    <mergeCell ref="AE8:AE9"/>
    <mergeCell ref="AF8:AF9"/>
    <mergeCell ref="AG8:AG9"/>
    <mergeCell ref="AJ8:AJ9"/>
    <mergeCell ref="AH8:AH9"/>
    <mergeCell ref="BJ8:BJ9"/>
    <mergeCell ref="BB8:BB9"/>
  </mergeCells>
  <phoneticPr fontId="11"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Sheet10.subscribeToOpenOrders">
                <anchor moveWithCells="1">
                  <from>
                    <xdr:col>0</xdr:col>
                    <xdr:colOff>76200</xdr:colOff>
                    <xdr:row>1</xdr:row>
                    <xdr:rowOff>57150</xdr:rowOff>
                  </from>
                  <to>
                    <xdr:col>2</xdr:col>
                    <xdr:colOff>695325</xdr:colOff>
                    <xdr:row>1</xdr:row>
                    <xdr:rowOff>257175</xdr:rowOff>
                  </to>
                </anchor>
              </controlPr>
            </control>
          </mc:Choice>
        </mc:AlternateContent>
        <mc:AlternateContent xmlns:mc="http://schemas.openxmlformats.org/markup-compatibility/2006">
          <mc:Choice Requires="x14">
            <control shapeId="24578" r:id="rId5" name="Button 2">
              <controlPr defaultSize="0" print="0" autoFill="0" autoPict="0" macro="[0]!Sheet10.onShowError">
                <anchor moveWithCells="1">
                  <from>
                    <xdr:col>9</xdr:col>
                    <xdr:colOff>228600</xdr:colOff>
                    <xdr:row>1</xdr:row>
                    <xdr:rowOff>57150</xdr:rowOff>
                  </from>
                  <to>
                    <xdr:col>10</xdr:col>
                    <xdr:colOff>171450</xdr:colOff>
                    <xdr:row>1</xdr:row>
                    <xdr:rowOff>257175</xdr:rowOff>
                  </to>
                </anchor>
              </controlPr>
            </control>
          </mc:Choice>
        </mc:AlternateContent>
        <mc:AlternateContent xmlns:mc="http://schemas.openxmlformats.org/markup-compatibility/2006">
          <mc:Choice Requires="x14">
            <control shapeId="24579" r:id="rId6" name="Button 3">
              <controlPr defaultSize="0" print="0" autoFill="0" autoPict="0" macro="[0]!Sheet10.cancelOpenOrderSubscription">
                <anchor moveWithCells="1">
                  <from>
                    <xdr:col>3</xdr:col>
                    <xdr:colOff>266700</xdr:colOff>
                    <xdr:row>1</xdr:row>
                    <xdr:rowOff>57150</xdr:rowOff>
                  </from>
                  <to>
                    <xdr:col>7</xdr:col>
                    <xdr:colOff>47625</xdr:colOff>
                    <xdr:row>1</xdr:row>
                    <xdr:rowOff>257175</xdr:rowOff>
                  </to>
                </anchor>
              </controlPr>
            </control>
          </mc:Choice>
        </mc:AlternateContent>
        <mc:AlternateContent xmlns:mc="http://schemas.openxmlformats.org/markup-compatibility/2006">
          <mc:Choice Requires="x14">
            <control shapeId="24580" r:id="rId7" name="Button 4">
              <controlPr defaultSize="0" print="0" autoFill="0" autoPict="0" macro="[0]!Sheet10.clearOpenOrders">
                <anchor moveWithCells="1">
                  <from>
                    <xdr:col>7</xdr:col>
                    <xdr:colOff>523875</xdr:colOff>
                    <xdr:row>1</xdr:row>
                    <xdr:rowOff>57150</xdr:rowOff>
                  </from>
                  <to>
                    <xdr:col>8</xdr:col>
                    <xdr:colOff>981075</xdr:colOff>
                    <xdr:row>1</xdr:row>
                    <xdr:rowOff>257175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T209"/>
  <sheetViews>
    <sheetView zoomScale="80" zoomScaleNormal="80" workbookViewId="0">
      <selection activeCell="D5" sqref="D5:E5"/>
    </sheetView>
  </sheetViews>
  <sheetFormatPr defaultRowHeight="12.75" x14ac:dyDescent="0.2"/>
  <cols>
    <col min="3" max="3" width="15.7109375" customWidth="1"/>
    <col min="6" max="6" width="13.42578125" customWidth="1"/>
    <col min="7" max="7" width="15.140625" customWidth="1"/>
    <col min="8" max="8" width="12.42578125" customWidth="1"/>
    <col min="9" max="9" width="33.85546875" customWidth="1"/>
    <col min="10" max="10" width="25.28515625" customWidth="1"/>
    <col min="11" max="11" width="23.85546875" customWidth="1"/>
    <col min="12" max="12" width="12.28515625" customWidth="1"/>
    <col min="13" max="13" width="9" customWidth="1"/>
    <col min="15" max="15" width="9.85546875" customWidth="1"/>
    <col min="16" max="16" width="10.28515625" customWidth="1"/>
    <col min="17" max="17" width="16" customWidth="1"/>
    <col min="18" max="18" width="16.5703125" customWidth="1"/>
    <col min="19" max="19" width="12.42578125" customWidth="1"/>
    <col min="20" max="20" width="15.5703125" customWidth="1"/>
  </cols>
  <sheetData>
    <row r="1" spans="1:20" x14ac:dyDescent="0.2">
      <c r="A1" s="266" t="s">
        <v>47</v>
      </c>
      <c r="B1" s="267"/>
      <c r="C1" s="267"/>
      <c r="D1" s="267"/>
      <c r="E1" s="267"/>
      <c r="F1" s="267"/>
      <c r="G1" s="267"/>
      <c r="H1" s="267"/>
      <c r="I1" s="268"/>
    </row>
    <row r="2" spans="1:20" ht="28.5" customHeight="1" x14ac:dyDescent="0.2">
      <c r="A2" s="269"/>
      <c r="B2" s="267"/>
      <c r="C2" s="267"/>
      <c r="D2" s="267"/>
      <c r="E2" s="267"/>
      <c r="F2" s="267"/>
      <c r="G2" s="267"/>
      <c r="H2" s="267"/>
      <c r="I2" s="268"/>
    </row>
    <row r="3" spans="1:20" x14ac:dyDescent="0.2">
      <c r="I3" s="26"/>
    </row>
    <row r="4" spans="1:20" x14ac:dyDescent="0.2">
      <c r="A4" s="391" t="s">
        <v>51</v>
      </c>
      <c r="B4" s="415"/>
      <c r="C4" s="415"/>
      <c r="D4" s="415"/>
      <c r="E4" s="415"/>
      <c r="F4" s="415"/>
      <c r="G4" s="416"/>
      <c r="I4" s="401" t="s">
        <v>304</v>
      </c>
      <c r="J4" s="396"/>
    </row>
    <row r="5" spans="1:20" x14ac:dyDescent="0.2">
      <c r="A5" s="308" t="s">
        <v>58</v>
      </c>
      <c r="B5" s="417"/>
      <c r="C5" s="356"/>
      <c r="D5" s="418" t="s">
        <v>498</v>
      </c>
      <c r="E5" s="419"/>
      <c r="F5" s="17"/>
      <c r="G5" s="18"/>
      <c r="I5" s="125"/>
      <c r="J5" s="127"/>
    </row>
    <row r="6" spans="1:20" x14ac:dyDescent="0.2">
      <c r="B6" s="47"/>
      <c r="C6" s="47"/>
      <c r="D6" s="47"/>
      <c r="E6" s="47"/>
      <c r="F6" s="47"/>
      <c r="G6" s="47"/>
      <c r="H6" s="47"/>
      <c r="I6" s="47"/>
      <c r="J6" s="47"/>
      <c r="K6" s="47"/>
      <c r="O6" s="47"/>
      <c r="P6" s="47"/>
      <c r="Q6" s="47"/>
      <c r="R6" s="147"/>
    </row>
    <row r="7" spans="1:20" x14ac:dyDescent="0.2">
      <c r="A7" s="420" t="s">
        <v>308</v>
      </c>
      <c r="B7" s="268"/>
      <c r="C7" s="268"/>
      <c r="D7" s="268"/>
      <c r="E7" s="268"/>
      <c r="F7" s="268"/>
      <c r="G7" s="268"/>
      <c r="H7" s="268"/>
      <c r="I7" s="268"/>
      <c r="J7" s="268"/>
      <c r="K7" s="268"/>
      <c r="L7" s="268"/>
      <c r="M7" s="268"/>
      <c r="N7" s="268"/>
      <c r="O7" s="268"/>
      <c r="P7" s="268"/>
      <c r="Q7" s="268"/>
      <c r="R7" s="268"/>
      <c r="S7" s="268"/>
      <c r="T7" s="268"/>
    </row>
    <row r="8" spans="1:20" x14ac:dyDescent="0.2">
      <c r="A8" s="255" t="s">
        <v>27</v>
      </c>
      <c r="B8" s="256"/>
      <c r="C8" s="256"/>
      <c r="D8" s="256"/>
      <c r="E8" s="256"/>
      <c r="F8" s="256"/>
      <c r="G8" s="256"/>
      <c r="H8" s="265"/>
      <c r="I8" s="255" t="s">
        <v>322</v>
      </c>
      <c r="J8" s="279"/>
      <c r="K8" s="279"/>
      <c r="L8" s="279"/>
      <c r="M8" s="279"/>
      <c r="N8" s="279"/>
      <c r="O8" s="279"/>
      <c r="P8" s="279"/>
      <c r="Q8" s="279"/>
      <c r="R8" s="279"/>
      <c r="S8" s="279"/>
      <c r="T8" s="280"/>
    </row>
    <row r="9" spans="1:20" x14ac:dyDescent="0.2">
      <c r="A9" s="100" t="s">
        <v>9</v>
      </c>
      <c r="B9" s="100" t="s">
        <v>21</v>
      </c>
      <c r="C9" s="100" t="s">
        <v>497</v>
      </c>
      <c r="D9" s="100" t="s">
        <v>10</v>
      </c>
      <c r="E9" s="100" t="s">
        <v>23</v>
      </c>
      <c r="F9" s="100" t="s">
        <v>85</v>
      </c>
      <c r="G9" s="100" t="s">
        <v>12</v>
      </c>
      <c r="H9" s="100" t="s">
        <v>40</v>
      </c>
      <c r="I9" s="100" t="s">
        <v>99</v>
      </c>
      <c r="J9" s="100" t="s">
        <v>100</v>
      </c>
      <c r="K9" s="207" t="s">
        <v>101</v>
      </c>
      <c r="L9" s="207" t="s">
        <v>72</v>
      </c>
      <c r="M9" s="209" t="s">
        <v>12</v>
      </c>
      <c r="N9" s="208" t="s">
        <v>102</v>
      </c>
      <c r="O9" s="209" t="s">
        <v>14</v>
      </c>
      <c r="P9" s="209" t="s">
        <v>34</v>
      </c>
      <c r="Q9" s="207" t="s">
        <v>324</v>
      </c>
      <c r="R9" s="235" t="s">
        <v>323</v>
      </c>
      <c r="S9" s="235" t="s">
        <v>73</v>
      </c>
      <c r="T9" s="235" t="s">
        <v>353</v>
      </c>
    </row>
    <row r="10" spans="1:20" x14ac:dyDescent="0.2">
      <c r="A10" s="5"/>
      <c r="B10" s="5"/>
      <c r="C10" s="5"/>
      <c r="D10" s="5"/>
      <c r="E10" s="5"/>
      <c r="F10" s="5"/>
      <c r="G10" s="5"/>
      <c r="H10" s="5"/>
      <c r="I10" s="213"/>
      <c r="J10" s="213"/>
      <c r="K10" s="213"/>
      <c r="L10" s="213"/>
      <c r="M10" s="213"/>
      <c r="N10" s="213"/>
      <c r="O10" s="213"/>
      <c r="P10" s="213"/>
      <c r="Q10" s="213"/>
      <c r="R10" s="213"/>
      <c r="S10" s="213"/>
      <c r="T10" s="213"/>
    </row>
    <row r="11" spans="1:20" x14ac:dyDescent="0.2">
      <c r="A11" s="5"/>
      <c r="B11" s="5"/>
      <c r="C11" s="5"/>
      <c r="D11" s="5"/>
      <c r="E11" s="5"/>
      <c r="F11" s="5"/>
      <c r="G11" s="5"/>
      <c r="H11" s="5"/>
      <c r="I11" s="213"/>
      <c r="J11" s="213"/>
      <c r="K11" s="213"/>
      <c r="L11" s="213"/>
      <c r="M11" s="213"/>
      <c r="N11" s="213"/>
      <c r="O11" s="213"/>
      <c r="P11" s="213"/>
      <c r="Q11" s="213"/>
      <c r="R11" s="213"/>
      <c r="S11" s="213"/>
      <c r="T11" s="213"/>
    </row>
    <row r="12" spans="1:20" x14ac:dyDescent="0.2">
      <c r="A12" s="5"/>
      <c r="B12" s="5"/>
      <c r="C12" s="5"/>
      <c r="D12" s="5"/>
      <c r="E12" s="5"/>
      <c r="F12" s="5"/>
      <c r="G12" s="5"/>
      <c r="H12" s="5"/>
      <c r="I12" s="213"/>
      <c r="J12" s="213"/>
      <c r="K12" s="213"/>
      <c r="L12" s="213"/>
      <c r="M12" s="213"/>
      <c r="N12" s="213"/>
      <c r="O12" s="213"/>
      <c r="P12" s="213"/>
      <c r="Q12" s="213"/>
      <c r="R12" s="213"/>
      <c r="S12" s="213"/>
      <c r="T12" s="213"/>
    </row>
    <row r="13" spans="1:20" x14ac:dyDescent="0.2">
      <c r="A13" s="5"/>
      <c r="B13" s="5"/>
      <c r="C13" s="5"/>
      <c r="D13" s="5"/>
      <c r="E13" s="5"/>
      <c r="F13" s="5"/>
      <c r="G13" s="5"/>
      <c r="H13" s="5"/>
      <c r="I13" s="213"/>
      <c r="J13" s="213"/>
      <c r="K13" s="213"/>
      <c r="L13" s="213"/>
      <c r="M13" s="213"/>
      <c r="N13" s="213"/>
      <c r="O13" s="213"/>
      <c r="P13" s="213"/>
      <c r="Q13" s="213"/>
      <c r="R13" s="213"/>
      <c r="S13" s="213"/>
      <c r="T13" s="213"/>
    </row>
    <row r="14" spans="1:20" x14ac:dyDescent="0.2">
      <c r="A14" s="5"/>
      <c r="B14" s="5"/>
      <c r="C14" s="5"/>
      <c r="D14" s="5"/>
      <c r="E14" s="5"/>
      <c r="F14" s="5"/>
      <c r="G14" s="5"/>
      <c r="H14" s="5"/>
      <c r="I14" s="213"/>
      <c r="J14" s="213"/>
      <c r="K14" s="213"/>
      <c r="L14" s="213"/>
      <c r="M14" s="213"/>
      <c r="N14" s="213"/>
      <c r="O14" s="213"/>
      <c r="P14" s="213"/>
      <c r="Q14" s="213"/>
      <c r="R14" s="213"/>
      <c r="S14" s="213"/>
      <c r="T14" s="213"/>
    </row>
    <row r="15" spans="1:20" x14ac:dyDescent="0.2">
      <c r="A15" s="5"/>
      <c r="B15" s="5"/>
      <c r="C15" s="5"/>
      <c r="D15" s="5"/>
      <c r="E15" s="5"/>
      <c r="F15" s="5"/>
      <c r="G15" s="5"/>
      <c r="H15" s="5"/>
      <c r="I15" s="213"/>
      <c r="J15" s="213"/>
      <c r="K15" s="213"/>
      <c r="L15" s="213"/>
      <c r="M15" s="213"/>
      <c r="N15" s="213"/>
      <c r="O15" s="213"/>
      <c r="P15" s="213"/>
      <c r="Q15" s="213"/>
      <c r="R15" s="213"/>
      <c r="S15" s="213"/>
      <c r="T15" s="213"/>
    </row>
    <row r="16" spans="1:20" x14ac:dyDescent="0.2">
      <c r="A16" s="5"/>
      <c r="B16" s="5"/>
      <c r="C16" s="5"/>
      <c r="D16" s="5"/>
      <c r="E16" s="5"/>
      <c r="F16" s="5"/>
      <c r="G16" s="5"/>
      <c r="H16" s="5"/>
      <c r="I16" s="213"/>
      <c r="J16" s="213"/>
      <c r="K16" s="213"/>
      <c r="L16" s="213"/>
      <c r="M16" s="213"/>
      <c r="N16" s="213"/>
      <c r="O16" s="213"/>
      <c r="P16" s="213"/>
      <c r="Q16" s="213"/>
      <c r="R16" s="213"/>
      <c r="S16" s="213"/>
      <c r="T16" s="213"/>
    </row>
    <row r="17" spans="1:20" x14ac:dyDescent="0.2">
      <c r="A17" s="5"/>
      <c r="B17" s="5"/>
      <c r="C17" s="5"/>
      <c r="D17" s="5"/>
      <c r="E17" s="5"/>
      <c r="F17" s="5"/>
      <c r="G17" s="5"/>
      <c r="H17" s="5"/>
      <c r="I17" s="213"/>
      <c r="J17" s="213"/>
      <c r="K17" s="213"/>
      <c r="L17" s="213"/>
      <c r="M17" s="213"/>
      <c r="N17" s="213"/>
      <c r="O17" s="213"/>
      <c r="P17" s="213"/>
      <c r="Q17" s="213"/>
      <c r="R17" s="213"/>
      <c r="S17" s="213"/>
      <c r="T17" s="213"/>
    </row>
    <row r="18" spans="1:20" x14ac:dyDescent="0.2">
      <c r="A18" s="5"/>
      <c r="B18" s="5"/>
      <c r="C18" s="5"/>
      <c r="D18" s="5"/>
      <c r="E18" s="5"/>
      <c r="F18" s="5"/>
      <c r="G18" s="5"/>
      <c r="H18" s="5"/>
      <c r="I18" s="213"/>
      <c r="J18" s="213"/>
      <c r="K18" s="213"/>
      <c r="L18" s="213"/>
      <c r="M18" s="213"/>
      <c r="N18" s="213"/>
      <c r="O18" s="213"/>
      <c r="P18" s="213"/>
      <c r="Q18" s="213"/>
      <c r="R18" s="213"/>
      <c r="S18" s="213"/>
      <c r="T18" s="213"/>
    </row>
    <row r="19" spans="1:20" x14ac:dyDescent="0.2">
      <c r="A19" s="5"/>
      <c r="B19" s="5"/>
      <c r="C19" s="5"/>
      <c r="D19" s="5"/>
      <c r="E19" s="5"/>
      <c r="F19" s="5"/>
      <c r="G19" s="5"/>
      <c r="H19" s="5"/>
      <c r="I19" s="213"/>
      <c r="J19" s="213"/>
      <c r="K19" s="213"/>
      <c r="L19" s="213"/>
      <c r="M19" s="213"/>
      <c r="N19" s="213"/>
      <c r="O19" s="213"/>
      <c r="P19" s="213"/>
      <c r="Q19" s="213"/>
      <c r="R19" s="213"/>
      <c r="S19" s="213"/>
      <c r="T19" s="213"/>
    </row>
    <row r="20" spans="1:20" x14ac:dyDescent="0.2">
      <c r="A20" s="5"/>
      <c r="B20" s="5"/>
      <c r="C20" s="5"/>
      <c r="D20" s="5"/>
      <c r="E20" s="5"/>
      <c r="F20" s="5"/>
      <c r="G20" s="5"/>
      <c r="H20" s="5"/>
      <c r="I20" s="213"/>
      <c r="J20" s="213"/>
      <c r="K20" s="213"/>
      <c r="L20" s="213"/>
      <c r="M20" s="213"/>
      <c r="N20" s="213"/>
      <c r="O20" s="213"/>
      <c r="P20" s="213"/>
      <c r="Q20" s="213"/>
      <c r="R20" s="213"/>
      <c r="S20" s="213"/>
      <c r="T20" s="213"/>
    </row>
    <row r="21" spans="1:20" x14ac:dyDescent="0.2">
      <c r="A21" s="5"/>
      <c r="B21" s="5"/>
      <c r="C21" s="5"/>
      <c r="D21" s="5"/>
      <c r="E21" s="5"/>
      <c r="F21" s="5"/>
      <c r="G21" s="5"/>
      <c r="H21" s="5"/>
      <c r="I21" s="213"/>
      <c r="J21" s="213"/>
      <c r="K21" s="213"/>
      <c r="L21" s="213"/>
      <c r="M21" s="213"/>
      <c r="N21" s="213"/>
      <c r="O21" s="213"/>
      <c r="P21" s="213"/>
      <c r="Q21" s="213"/>
      <c r="R21" s="213"/>
      <c r="S21" s="213"/>
      <c r="T21" s="213"/>
    </row>
    <row r="22" spans="1:20" x14ac:dyDescent="0.2">
      <c r="A22" s="5"/>
      <c r="B22" s="5"/>
      <c r="C22" s="5"/>
      <c r="D22" s="5"/>
      <c r="E22" s="5"/>
      <c r="F22" s="5"/>
      <c r="G22" s="5"/>
      <c r="H22" s="5"/>
      <c r="I22" s="213"/>
      <c r="J22" s="213"/>
      <c r="K22" s="213"/>
      <c r="L22" s="213"/>
      <c r="M22" s="213"/>
      <c r="N22" s="213"/>
      <c r="O22" s="213"/>
      <c r="P22" s="213"/>
      <c r="Q22" s="213"/>
      <c r="R22" s="213"/>
      <c r="S22" s="213"/>
      <c r="T22" s="213"/>
    </row>
    <row r="23" spans="1:20" x14ac:dyDescent="0.2">
      <c r="A23" s="5"/>
      <c r="B23" s="5"/>
      <c r="C23" s="5"/>
      <c r="D23" s="5"/>
      <c r="E23" s="5"/>
      <c r="F23" s="5"/>
      <c r="G23" s="5"/>
      <c r="H23" s="5"/>
      <c r="I23" s="213"/>
      <c r="J23" s="213"/>
      <c r="K23" s="213"/>
      <c r="L23" s="213"/>
      <c r="M23" s="213"/>
      <c r="N23" s="213"/>
      <c r="O23" s="213"/>
      <c r="P23" s="213"/>
      <c r="Q23" s="213"/>
      <c r="R23" s="213"/>
      <c r="S23" s="213"/>
      <c r="T23" s="213"/>
    </row>
    <row r="24" spans="1:20" x14ac:dyDescent="0.2">
      <c r="A24" s="5"/>
      <c r="B24" s="5"/>
      <c r="C24" s="5"/>
      <c r="D24" s="5"/>
      <c r="E24" s="5"/>
      <c r="F24" s="5"/>
      <c r="G24" s="5"/>
      <c r="H24" s="5"/>
      <c r="I24" s="213"/>
      <c r="J24" s="213"/>
      <c r="K24" s="213"/>
      <c r="L24" s="213"/>
      <c r="M24" s="213"/>
      <c r="N24" s="213"/>
      <c r="O24" s="213"/>
      <c r="P24" s="213"/>
      <c r="Q24" s="213"/>
      <c r="R24" s="213"/>
      <c r="S24" s="213"/>
      <c r="T24" s="213"/>
    </row>
    <row r="25" spans="1:20" x14ac:dyDescent="0.2">
      <c r="A25" s="5"/>
      <c r="B25" s="5"/>
      <c r="C25" s="5"/>
      <c r="D25" s="5"/>
      <c r="E25" s="5"/>
      <c r="F25" s="5"/>
      <c r="G25" s="5"/>
      <c r="H25" s="5"/>
      <c r="I25" s="213"/>
      <c r="J25" s="213"/>
      <c r="K25" s="213"/>
      <c r="L25" s="213"/>
      <c r="M25" s="213"/>
      <c r="N25" s="213"/>
      <c r="O25" s="213"/>
      <c r="P25" s="213"/>
      <c r="Q25" s="213"/>
      <c r="R25" s="213"/>
      <c r="S25" s="213"/>
      <c r="T25" s="213"/>
    </row>
    <row r="26" spans="1:20" x14ac:dyDescent="0.2">
      <c r="A26" s="5"/>
      <c r="B26" s="5"/>
      <c r="C26" s="5"/>
      <c r="D26" s="5"/>
      <c r="E26" s="5"/>
      <c r="F26" s="5"/>
      <c r="G26" s="5"/>
      <c r="H26" s="5"/>
      <c r="I26" s="213"/>
      <c r="J26" s="213"/>
      <c r="K26" s="213"/>
      <c r="L26" s="213"/>
      <c r="M26" s="213"/>
      <c r="N26" s="213"/>
      <c r="O26" s="213"/>
      <c r="P26" s="213"/>
      <c r="Q26" s="213"/>
      <c r="R26" s="213"/>
      <c r="S26" s="213"/>
      <c r="T26" s="213"/>
    </row>
    <row r="27" spans="1:20" x14ac:dyDescent="0.2">
      <c r="A27" s="5"/>
      <c r="B27" s="5"/>
      <c r="C27" s="5"/>
      <c r="D27" s="5"/>
      <c r="E27" s="5"/>
      <c r="F27" s="5"/>
      <c r="G27" s="5"/>
      <c r="H27" s="5"/>
      <c r="I27" s="213"/>
      <c r="J27" s="213"/>
      <c r="K27" s="213"/>
      <c r="L27" s="213"/>
      <c r="M27" s="213"/>
      <c r="N27" s="213"/>
      <c r="O27" s="213"/>
      <c r="P27" s="213"/>
      <c r="Q27" s="213"/>
      <c r="R27" s="213"/>
      <c r="S27" s="213"/>
      <c r="T27" s="213"/>
    </row>
    <row r="28" spans="1:20" x14ac:dyDescent="0.2">
      <c r="A28" s="5"/>
      <c r="B28" s="5"/>
      <c r="C28" s="5"/>
      <c r="D28" s="5"/>
      <c r="E28" s="5"/>
      <c r="F28" s="5"/>
      <c r="G28" s="5"/>
      <c r="H28" s="5"/>
      <c r="I28" s="213"/>
      <c r="J28" s="213"/>
      <c r="K28" s="213"/>
      <c r="L28" s="213"/>
      <c r="M28" s="213"/>
      <c r="N28" s="213"/>
      <c r="O28" s="213"/>
      <c r="P28" s="213"/>
      <c r="Q28" s="213"/>
      <c r="R28" s="213"/>
      <c r="S28" s="213"/>
      <c r="T28" s="213"/>
    </row>
    <row r="29" spans="1:20" x14ac:dyDescent="0.2">
      <c r="A29" s="5"/>
      <c r="B29" s="5"/>
      <c r="C29" s="5"/>
      <c r="D29" s="5"/>
      <c r="E29" s="5"/>
      <c r="F29" s="5"/>
      <c r="G29" s="5"/>
      <c r="H29" s="5"/>
      <c r="I29" s="213"/>
      <c r="J29" s="213"/>
      <c r="K29" s="213"/>
      <c r="L29" s="213"/>
      <c r="M29" s="213"/>
      <c r="N29" s="213"/>
      <c r="O29" s="213"/>
      <c r="P29" s="213"/>
      <c r="Q29" s="213"/>
      <c r="R29" s="213"/>
      <c r="S29" s="213"/>
      <c r="T29" s="213"/>
    </row>
    <row r="30" spans="1:20" x14ac:dyDescent="0.2">
      <c r="A30" s="5"/>
      <c r="B30" s="5"/>
      <c r="C30" s="5"/>
      <c r="D30" s="5"/>
      <c r="E30" s="5"/>
      <c r="F30" s="5"/>
      <c r="G30" s="5"/>
      <c r="H30" s="5"/>
      <c r="I30" s="213"/>
      <c r="J30" s="213"/>
      <c r="K30" s="213"/>
      <c r="L30" s="213"/>
      <c r="M30" s="213"/>
      <c r="N30" s="213"/>
      <c r="O30" s="213"/>
      <c r="P30" s="213"/>
      <c r="Q30" s="213"/>
      <c r="R30" s="213"/>
      <c r="S30" s="213"/>
      <c r="T30" s="213"/>
    </row>
    <row r="31" spans="1:20" x14ac:dyDescent="0.2">
      <c r="A31" s="5"/>
      <c r="B31" s="5"/>
      <c r="C31" s="5"/>
      <c r="D31" s="5"/>
      <c r="E31" s="5"/>
      <c r="F31" s="5"/>
      <c r="G31" s="5"/>
      <c r="H31" s="5"/>
      <c r="I31" s="213"/>
      <c r="J31" s="213"/>
      <c r="K31" s="213"/>
      <c r="L31" s="213"/>
      <c r="M31" s="213"/>
      <c r="N31" s="213"/>
      <c r="O31" s="213"/>
      <c r="P31" s="213"/>
      <c r="Q31" s="213"/>
      <c r="R31" s="213"/>
      <c r="S31" s="213"/>
      <c r="T31" s="213"/>
    </row>
    <row r="32" spans="1:20" x14ac:dyDescent="0.2">
      <c r="A32" s="5"/>
      <c r="B32" s="5"/>
      <c r="C32" s="5"/>
      <c r="D32" s="5"/>
      <c r="E32" s="5"/>
      <c r="F32" s="5"/>
      <c r="G32" s="5"/>
      <c r="H32" s="5"/>
      <c r="I32" s="213"/>
      <c r="J32" s="213"/>
      <c r="K32" s="213"/>
      <c r="L32" s="213"/>
      <c r="M32" s="213"/>
      <c r="N32" s="213"/>
      <c r="O32" s="213"/>
      <c r="P32" s="213"/>
      <c r="Q32" s="213"/>
      <c r="R32" s="213"/>
      <c r="S32" s="213"/>
      <c r="T32" s="213"/>
    </row>
    <row r="33" spans="1:20" x14ac:dyDescent="0.2">
      <c r="A33" s="5"/>
      <c r="B33" s="5"/>
      <c r="C33" s="5"/>
      <c r="D33" s="5"/>
      <c r="E33" s="5"/>
      <c r="F33" s="5"/>
      <c r="G33" s="5"/>
      <c r="H33" s="5"/>
      <c r="I33" s="213"/>
      <c r="J33" s="213"/>
      <c r="K33" s="213"/>
      <c r="L33" s="213"/>
      <c r="M33" s="213"/>
      <c r="N33" s="213"/>
      <c r="O33" s="213"/>
      <c r="P33" s="213"/>
      <c r="Q33" s="213"/>
      <c r="R33" s="213"/>
      <c r="S33" s="213"/>
      <c r="T33" s="213"/>
    </row>
    <row r="34" spans="1:20" x14ac:dyDescent="0.2">
      <c r="A34" s="5"/>
      <c r="B34" s="5"/>
      <c r="C34" s="5"/>
      <c r="D34" s="5"/>
      <c r="E34" s="5"/>
      <c r="F34" s="5"/>
      <c r="G34" s="5"/>
      <c r="H34" s="5"/>
      <c r="I34" s="213"/>
      <c r="J34" s="213"/>
      <c r="K34" s="213"/>
      <c r="L34" s="213"/>
      <c r="M34" s="213"/>
      <c r="N34" s="213"/>
      <c r="O34" s="213"/>
      <c r="P34" s="213"/>
      <c r="Q34" s="213"/>
      <c r="R34" s="213"/>
      <c r="S34" s="213"/>
      <c r="T34" s="213"/>
    </row>
    <row r="35" spans="1:20" x14ac:dyDescent="0.2">
      <c r="A35" s="5"/>
      <c r="B35" s="5"/>
      <c r="C35" s="5"/>
      <c r="D35" s="5"/>
      <c r="E35" s="5"/>
      <c r="F35" s="5"/>
      <c r="G35" s="5"/>
      <c r="H35" s="5"/>
      <c r="I35" s="213"/>
      <c r="J35" s="213"/>
      <c r="K35" s="213"/>
      <c r="L35" s="213"/>
      <c r="M35" s="213"/>
      <c r="N35" s="213"/>
      <c r="O35" s="213"/>
      <c r="P35" s="213"/>
      <c r="Q35" s="213"/>
      <c r="R35" s="213"/>
      <c r="S35" s="213"/>
      <c r="T35" s="213"/>
    </row>
    <row r="36" spans="1:20" x14ac:dyDescent="0.2">
      <c r="A36" s="5"/>
      <c r="B36" s="5"/>
      <c r="C36" s="5"/>
      <c r="D36" s="5"/>
      <c r="E36" s="5"/>
      <c r="F36" s="5"/>
      <c r="G36" s="5"/>
      <c r="H36" s="5"/>
      <c r="I36" s="213"/>
      <c r="J36" s="213"/>
      <c r="K36" s="213"/>
      <c r="L36" s="213"/>
      <c r="M36" s="213"/>
      <c r="N36" s="213"/>
      <c r="O36" s="213"/>
      <c r="P36" s="213"/>
      <c r="Q36" s="213"/>
      <c r="R36" s="213"/>
      <c r="S36" s="213"/>
      <c r="T36" s="213"/>
    </row>
    <row r="37" spans="1:20" x14ac:dyDescent="0.2">
      <c r="A37" s="5"/>
      <c r="B37" s="5"/>
      <c r="C37" s="5"/>
      <c r="D37" s="5"/>
      <c r="E37" s="5"/>
      <c r="F37" s="5"/>
      <c r="G37" s="5"/>
      <c r="H37" s="5"/>
      <c r="I37" s="213"/>
      <c r="J37" s="213"/>
      <c r="K37" s="213"/>
      <c r="L37" s="213"/>
      <c r="M37" s="213"/>
      <c r="N37" s="213"/>
      <c r="O37" s="213"/>
      <c r="P37" s="213"/>
      <c r="Q37" s="213"/>
      <c r="R37" s="213"/>
      <c r="S37" s="213"/>
      <c r="T37" s="213"/>
    </row>
    <row r="38" spans="1:20" x14ac:dyDescent="0.2">
      <c r="A38" s="5"/>
      <c r="B38" s="5"/>
      <c r="C38" s="5"/>
      <c r="D38" s="5"/>
      <c r="E38" s="5"/>
      <c r="F38" s="5"/>
      <c r="G38" s="5"/>
      <c r="H38" s="5"/>
      <c r="I38" s="213"/>
      <c r="J38" s="213"/>
      <c r="K38" s="213"/>
      <c r="L38" s="213"/>
      <c r="M38" s="213"/>
      <c r="N38" s="213"/>
      <c r="O38" s="213"/>
      <c r="P38" s="213"/>
      <c r="Q38" s="213"/>
      <c r="R38" s="213"/>
      <c r="S38" s="213"/>
      <c r="T38" s="213"/>
    </row>
    <row r="39" spans="1:20" x14ac:dyDescent="0.2">
      <c r="A39" s="5"/>
      <c r="B39" s="5"/>
      <c r="C39" s="5"/>
      <c r="D39" s="5"/>
      <c r="E39" s="5"/>
      <c r="F39" s="5"/>
      <c r="G39" s="5"/>
      <c r="H39" s="5"/>
      <c r="I39" s="213"/>
      <c r="J39" s="213"/>
      <c r="K39" s="213"/>
      <c r="L39" s="213"/>
      <c r="M39" s="213"/>
      <c r="N39" s="213"/>
      <c r="O39" s="213"/>
      <c r="P39" s="213"/>
      <c r="Q39" s="213"/>
      <c r="R39" s="213"/>
      <c r="S39" s="213"/>
      <c r="T39" s="213"/>
    </row>
    <row r="40" spans="1:20" x14ac:dyDescent="0.2">
      <c r="A40" s="5"/>
      <c r="B40" s="5"/>
      <c r="C40" s="5"/>
      <c r="D40" s="5"/>
      <c r="E40" s="5"/>
      <c r="F40" s="5"/>
      <c r="G40" s="5"/>
      <c r="H40" s="5"/>
      <c r="I40" s="213"/>
      <c r="J40" s="213"/>
      <c r="K40" s="213"/>
      <c r="L40" s="213"/>
      <c r="M40" s="213"/>
      <c r="N40" s="213"/>
      <c r="O40" s="213"/>
      <c r="P40" s="213"/>
      <c r="Q40" s="213"/>
      <c r="R40" s="213"/>
      <c r="S40" s="213"/>
      <c r="T40" s="213"/>
    </row>
    <row r="41" spans="1:20" x14ac:dyDescent="0.2">
      <c r="A41" s="5"/>
      <c r="B41" s="5"/>
      <c r="C41" s="5"/>
      <c r="D41" s="5"/>
      <c r="E41" s="5"/>
      <c r="F41" s="5"/>
      <c r="G41" s="5"/>
      <c r="H41" s="5"/>
      <c r="I41" s="213"/>
      <c r="J41" s="213"/>
      <c r="K41" s="213"/>
      <c r="L41" s="213"/>
      <c r="M41" s="213"/>
      <c r="N41" s="213"/>
      <c r="O41" s="213"/>
      <c r="P41" s="213"/>
      <c r="Q41" s="213"/>
      <c r="R41" s="213"/>
      <c r="S41" s="213"/>
      <c r="T41" s="213"/>
    </row>
    <row r="42" spans="1:20" x14ac:dyDescent="0.2">
      <c r="A42" s="5"/>
      <c r="B42" s="5"/>
      <c r="C42" s="5"/>
      <c r="D42" s="5"/>
      <c r="E42" s="5"/>
      <c r="F42" s="5"/>
      <c r="G42" s="5"/>
      <c r="H42" s="5"/>
      <c r="I42" s="213"/>
      <c r="J42" s="213"/>
      <c r="K42" s="213"/>
      <c r="L42" s="213"/>
      <c r="M42" s="213"/>
      <c r="N42" s="213"/>
      <c r="O42" s="213"/>
      <c r="P42" s="213"/>
      <c r="Q42" s="213"/>
      <c r="R42" s="213"/>
      <c r="S42" s="213"/>
      <c r="T42" s="213"/>
    </row>
    <row r="43" spans="1:20" x14ac:dyDescent="0.2">
      <c r="A43" s="5"/>
      <c r="B43" s="5"/>
      <c r="C43" s="5"/>
      <c r="D43" s="5"/>
      <c r="E43" s="5"/>
      <c r="F43" s="5"/>
      <c r="G43" s="5"/>
      <c r="H43" s="5"/>
      <c r="I43" s="213"/>
      <c r="J43" s="213"/>
      <c r="K43" s="213"/>
      <c r="L43" s="213"/>
      <c r="M43" s="213"/>
      <c r="N43" s="213"/>
      <c r="O43" s="213"/>
      <c r="P43" s="213"/>
      <c r="Q43" s="213"/>
      <c r="R43" s="213"/>
      <c r="S43" s="213"/>
      <c r="T43" s="213"/>
    </row>
    <row r="44" spans="1:20" x14ac:dyDescent="0.2">
      <c r="A44" s="5"/>
      <c r="B44" s="5"/>
      <c r="C44" s="5"/>
      <c r="D44" s="5"/>
      <c r="E44" s="5"/>
      <c r="F44" s="5"/>
      <c r="G44" s="5"/>
      <c r="H44" s="5"/>
      <c r="I44" s="213"/>
      <c r="J44" s="213"/>
      <c r="K44" s="213"/>
      <c r="L44" s="213"/>
      <c r="M44" s="213"/>
      <c r="N44" s="213"/>
      <c r="O44" s="213"/>
      <c r="P44" s="213"/>
      <c r="Q44" s="213"/>
      <c r="R44" s="213"/>
      <c r="S44" s="213"/>
      <c r="T44" s="213"/>
    </row>
    <row r="45" spans="1:20" x14ac:dyDescent="0.2">
      <c r="A45" s="5"/>
      <c r="B45" s="5"/>
      <c r="C45" s="5"/>
      <c r="D45" s="5"/>
      <c r="E45" s="5"/>
      <c r="F45" s="5"/>
      <c r="G45" s="5"/>
      <c r="H45" s="5"/>
      <c r="I45" s="213"/>
      <c r="J45" s="213"/>
      <c r="K45" s="213"/>
      <c r="L45" s="213"/>
      <c r="M45" s="213"/>
      <c r="N45" s="213"/>
      <c r="O45" s="213"/>
      <c r="P45" s="213"/>
      <c r="Q45" s="213"/>
      <c r="R45" s="213"/>
      <c r="S45" s="213"/>
      <c r="T45" s="213"/>
    </row>
    <row r="46" spans="1:20" x14ac:dyDescent="0.2">
      <c r="A46" s="5"/>
      <c r="B46" s="5"/>
      <c r="C46" s="5"/>
      <c r="D46" s="5"/>
      <c r="E46" s="5"/>
      <c r="F46" s="5"/>
      <c r="G46" s="5"/>
      <c r="H46" s="5"/>
      <c r="I46" s="213"/>
      <c r="J46" s="213"/>
      <c r="K46" s="213"/>
      <c r="L46" s="213"/>
      <c r="M46" s="213"/>
      <c r="N46" s="213"/>
      <c r="O46" s="213"/>
      <c r="P46" s="213"/>
      <c r="Q46" s="213"/>
      <c r="R46" s="213"/>
      <c r="S46" s="213"/>
      <c r="T46" s="213"/>
    </row>
    <row r="47" spans="1:20" x14ac:dyDescent="0.2">
      <c r="A47" s="5"/>
      <c r="B47" s="5"/>
      <c r="C47" s="5"/>
      <c r="D47" s="5"/>
      <c r="E47" s="5"/>
      <c r="F47" s="5"/>
      <c r="G47" s="5"/>
      <c r="H47" s="5"/>
      <c r="I47" s="213"/>
      <c r="J47" s="213"/>
      <c r="K47" s="213"/>
      <c r="L47" s="213"/>
      <c r="M47" s="213"/>
      <c r="N47" s="213"/>
      <c r="O47" s="213"/>
      <c r="P47" s="213"/>
      <c r="Q47" s="213"/>
      <c r="R47" s="213"/>
      <c r="S47" s="213"/>
      <c r="T47" s="213"/>
    </row>
    <row r="48" spans="1:20" x14ac:dyDescent="0.2">
      <c r="A48" s="5"/>
      <c r="B48" s="5"/>
      <c r="C48" s="5"/>
      <c r="D48" s="5"/>
      <c r="E48" s="5"/>
      <c r="F48" s="5"/>
      <c r="G48" s="5"/>
      <c r="H48" s="5"/>
      <c r="I48" s="213"/>
      <c r="J48" s="213"/>
      <c r="K48" s="213"/>
      <c r="L48" s="213"/>
      <c r="M48" s="213"/>
      <c r="N48" s="213"/>
      <c r="O48" s="213"/>
      <c r="P48" s="213"/>
      <c r="Q48" s="213"/>
      <c r="R48" s="213"/>
      <c r="S48" s="213"/>
      <c r="T48" s="213"/>
    </row>
    <row r="49" spans="1:20" x14ac:dyDescent="0.2">
      <c r="A49" s="5"/>
      <c r="B49" s="5"/>
      <c r="C49" s="5"/>
      <c r="D49" s="5"/>
      <c r="E49" s="5"/>
      <c r="F49" s="5"/>
      <c r="G49" s="5"/>
      <c r="H49" s="5"/>
      <c r="I49" s="213"/>
      <c r="J49" s="213"/>
      <c r="K49" s="213"/>
      <c r="L49" s="213"/>
      <c r="M49" s="213"/>
      <c r="N49" s="213"/>
      <c r="O49" s="213"/>
      <c r="P49" s="213"/>
      <c r="Q49" s="213"/>
      <c r="R49" s="213"/>
      <c r="S49" s="213"/>
      <c r="T49" s="213"/>
    </row>
    <row r="50" spans="1:20" x14ac:dyDescent="0.2">
      <c r="A50" s="5"/>
      <c r="B50" s="5"/>
      <c r="C50" s="5"/>
      <c r="D50" s="5"/>
      <c r="E50" s="5"/>
      <c r="F50" s="5"/>
      <c r="G50" s="5"/>
      <c r="H50" s="5"/>
      <c r="I50" s="213"/>
      <c r="J50" s="213"/>
      <c r="K50" s="213"/>
      <c r="L50" s="213"/>
      <c r="M50" s="213"/>
      <c r="N50" s="213"/>
      <c r="O50" s="213"/>
      <c r="P50" s="213"/>
      <c r="Q50" s="213"/>
      <c r="R50" s="213"/>
      <c r="S50" s="213"/>
      <c r="T50" s="213"/>
    </row>
    <row r="51" spans="1:20" x14ac:dyDescent="0.2">
      <c r="A51" s="5"/>
      <c r="B51" s="5"/>
      <c r="C51" s="5"/>
      <c r="D51" s="5"/>
      <c r="E51" s="5"/>
      <c r="F51" s="5"/>
      <c r="G51" s="5"/>
      <c r="H51" s="5"/>
      <c r="I51" s="213"/>
      <c r="J51" s="213"/>
      <c r="K51" s="213"/>
      <c r="L51" s="213"/>
      <c r="M51" s="213"/>
      <c r="N51" s="213"/>
      <c r="O51" s="213"/>
      <c r="P51" s="213"/>
      <c r="Q51" s="213"/>
      <c r="R51" s="213"/>
      <c r="S51" s="213"/>
      <c r="T51" s="213"/>
    </row>
    <row r="52" spans="1:20" x14ac:dyDescent="0.2">
      <c r="A52" s="5"/>
      <c r="B52" s="5"/>
      <c r="C52" s="5"/>
      <c r="D52" s="5"/>
      <c r="E52" s="5"/>
      <c r="F52" s="5"/>
      <c r="G52" s="5"/>
      <c r="H52" s="5"/>
      <c r="I52" s="213"/>
      <c r="J52" s="213"/>
      <c r="K52" s="213"/>
      <c r="L52" s="213"/>
      <c r="M52" s="213"/>
      <c r="N52" s="213"/>
      <c r="O52" s="213"/>
      <c r="P52" s="213"/>
      <c r="Q52" s="213"/>
      <c r="R52" s="213"/>
      <c r="S52" s="213"/>
      <c r="T52" s="213"/>
    </row>
    <row r="53" spans="1:20" x14ac:dyDescent="0.2">
      <c r="A53" s="5"/>
      <c r="B53" s="5"/>
      <c r="C53" s="5"/>
      <c r="D53" s="5"/>
      <c r="E53" s="5"/>
      <c r="F53" s="5"/>
      <c r="G53" s="5"/>
      <c r="H53" s="5"/>
      <c r="I53" s="213"/>
      <c r="J53" s="213"/>
      <c r="K53" s="213"/>
      <c r="L53" s="213"/>
      <c r="M53" s="213"/>
      <c r="N53" s="213"/>
      <c r="O53" s="213"/>
      <c r="P53" s="213"/>
      <c r="Q53" s="213"/>
      <c r="R53" s="213"/>
      <c r="S53" s="213"/>
      <c r="T53" s="213"/>
    </row>
    <row r="54" spans="1:20" x14ac:dyDescent="0.2">
      <c r="A54" s="5"/>
      <c r="B54" s="5"/>
      <c r="C54" s="5"/>
      <c r="D54" s="5"/>
      <c r="E54" s="5"/>
      <c r="F54" s="5"/>
      <c r="G54" s="5"/>
      <c r="H54" s="5"/>
      <c r="I54" s="213"/>
      <c r="J54" s="213"/>
      <c r="K54" s="213"/>
      <c r="L54" s="213"/>
      <c r="M54" s="213"/>
      <c r="N54" s="213"/>
      <c r="O54" s="213"/>
      <c r="P54" s="213"/>
      <c r="Q54" s="213"/>
      <c r="R54" s="213"/>
      <c r="S54" s="213"/>
      <c r="T54" s="213"/>
    </row>
    <row r="55" spans="1:20" x14ac:dyDescent="0.2">
      <c r="A55" s="5"/>
      <c r="B55" s="5"/>
      <c r="C55" s="5"/>
      <c r="D55" s="5"/>
      <c r="E55" s="5"/>
      <c r="F55" s="5"/>
      <c r="G55" s="5"/>
      <c r="H55" s="5"/>
      <c r="I55" s="213"/>
      <c r="J55" s="213"/>
      <c r="K55" s="213"/>
      <c r="L55" s="213"/>
      <c r="M55" s="213"/>
      <c r="N55" s="213"/>
      <c r="O55" s="213"/>
      <c r="P55" s="213"/>
      <c r="Q55" s="213"/>
      <c r="R55" s="213"/>
      <c r="S55" s="213"/>
      <c r="T55" s="213"/>
    </row>
    <row r="56" spans="1:20" x14ac:dyDescent="0.2">
      <c r="A56" s="5"/>
      <c r="B56" s="5"/>
      <c r="C56" s="5"/>
      <c r="D56" s="5"/>
      <c r="E56" s="5"/>
      <c r="F56" s="5"/>
      <c r="G56" s="5"/>
      <c r="H56" s="5"/>
      <c r="I56" s="213"/>
      <c r="J56" s="213"/>
      <c r="K56" s="213"/>
      <c r="L56" s="213"/>
      <c r="M56" s="213"/>
      <c r="N56" s="213"/>
      <c r="O56" s="213"/>
      <c r="P56" s="213"/>
      <c r="Q56" s="213"/>
      <c r="R56" s="213"/>
      <c r="S56" s="213"/>
      <c r="T56" s="213"/>
    </row>
    <row r="57" spans="1:20" x14ac:dyDescent="0.2">
      <c r="A57" s="5"/>
      <c r="B57" s="5"/>
      <c r="C57" s="5"/>
      <c r="D57" s="5"/>
      <c r="E57" s="5"/>
      <c r="F57" s="5"/>
      <c r="G57" s="5"/>
      <c r="H57" s="5"/>
      <c r="I57" s="213"/>
      <c r="J57" s="213"/>
      <c r="K57" s="213"/>
      <c r="L57" s="213"/>
      <c r="M57" s="213"/>
      <c r="N57" s="213"/>
      <c r="O57" s="213"/>
      <c r="P57" s="213"/>
      <c r="Q57" s="213"/>
      <c r="R57" s="213"/>
      <c r="S57" s="213"/>
      <c r="T57" s="213"/>
    </row>
    <row r="58" spans="1:20" x14ac:dyDescent="0.2">
      <c r="A58" s="5"/>
      <c r="B58" s="5"/>
      <c r="C58" s="5"/>
      <c r="D58" s="5"/>
      <c r="E58" s="5"/>
      <c r="F58" s="5"/>
      <c r="G58" s="5"/>
      <c r="H58" s="5"/>
      <c r="I58" s="213"/>
      <c r="J58" s="213"/>
      <c r="K58" s="213"/>
      <c r="L58" s="213"/>
      <c r="M58" s="213"/>
      <c r="N58" s="213"/>
      <c r="O58" s="213"/>
      <c r="P58" s="213"/>
      <c r="Q58" s="213"/>
      <c r="R58" s="213"/>
      <c r="S58" s="213"/>
      <c r="T58" s="213"/>
    </row>
    <row r="59" spans="1:20" x14ac:dyDescent="0.2">
      <c r="A59" s="5"/>
      <c r="B59" s="5"/>
      <c r="C59" s="5"/>
      <c r="D59" s="5"/>
      <c r="E59" s="5"/>
      <c r="F59" s="5"/>
      <c r="G59" s="5"/>
      <c r="H59" s="5"/>
      <c r="I59" s="213"/>
      <c r="J59" s="213"/>
      <c r="K59" s="213"/>
      <c r="L59" s="213"/>
      <c r="M59" s="213"/>
      <c r="N59" s="213"/>
      <c r="O59" s="213"/>
      <c r="P59" s="213"/>
      <c r="Q59" s="213"/>
      <c r="R59" s="213"/>
      <c r="S59" s="213"/>
      <c r="T59" s="213"/>
    </row>
    <row r="60" spans="1:20" x14ac:dyDescent="0.2">
      <c r="A60" s="5"/>
      <c r="B60" s="5"/>
      <c r="C60" s="5"/>
      <c r="D60" s="5"/>
      <c r="E60" s="5"/>
      <c r="F60" s="5"/>
      <c r="G60" s="5"/>
      <c r="H60" s="5"/>
      <c r="I60" s="213"/>
      <c r="J60" s="213"/>
      <c r="K60" s="213"/>
      <c r="L60" s="213"/>
      <c r="M60" s="213"/>
      <c r="N60" s="213"/>
      <c r="O60" s="213"/>
      <c r="P60" s="213"/>
      <c r="Q60" s="213"/>
      <c r="R60" s="213"/>
      <c r="S60" s="213"/>
      <c r="T60" s="213"/>
    </row>
    <row r="61" spans="1:20" x14ac:dyDescent="0.2">
      <c r="A61" s="5"/>
      <c r="B61" s="5"/>
      <c r="C61" s="5"/>
      <c r="D61" s="5"/>
      <c r="E61" s="5"/>
      <c r="F61" s="5"/>
      <c r="G61" s="5"/>
      <c r="H61" s="5"/>
      <c r="I61" s="213"/>
      <c r="J61" s="213"/>
      <c r="K61" s="213"/>
      <c r="L61" s="213"/>
      <c r="M61" s="213"/>
      <c r="N61" s="213"/>
      <c r="O61" s="213"/>
      <c r="P61" s="213"/>
      <c r="Q61" s="213"/>
      <c r="R61" s="213"/>
      <c r="S61" s="213"/>
      <c r="T61" s="213"/>
    </row>
    <row r="62" spans="1:20" x14ac:dyDescent="0.2">
      <c r="A62" s="5"/>
      <c r="B62" s="5"/>
      <c r="C62" s="5"/>
      <c r="D62" s="5"/>
      <c r="E62" s="5"/>
      <c r="F62" s="5"/>
      <c r="G62" s="5"/>
      <c r="H62" s="5"/>
      <c r="I62" s="213"/>
      <c r="J62" s="213"/>
      <c r="K62" s="213"/>
      <c r="L62" s="213"/>
      <c r="M62" s="213"/>
      <c r="N62" s="213"/>
      <c r="O62" s="213"/>
      <c r="P62" s="213"/>
      <c r="Q62" s="213"/>
      <c r="R62" s="213"/>
      <c r="S62" s="213"/>
      <c r="T62" s="213"/>
    </row>
    <row r="63" spans="1:20" x14ac:dyDescent="0.2">
      <c r="A63" s="5"/>
      <c r="B63" s="5"/>
      <c r="C63" s="5"/>
      <c r="D63" s="5"/>
      <c r="E63" s="5"/>
      <c r="F63" s="5"/>
      <c r="G63" s="5"/>
      <c r="H63" s="5"/>
      <c r="I63" s="213"/>
      <c r="J63" s="213"/>
      <c r="K63" s="213"/>
      <c r="L63" s="213"/>
      <c r="M63" s="213"/>
      <c r="N63" s="213"/>
      <c r="O63" s="213"/>
      <c r="P63" s="213"/>
      <c r="Q63" s="213"/>
      <c r="R63" s="213"/>
      <c r="S63" s="213"/>
      <c r="T63" s="213"/>
    </row>
    <row r="64" spans="1:20" x14ac:dyDescent="0.2">
      <c r="A64" s="5"/>
      <c r="B64" s="5"/>
      <c r="C64" s="5"/>
      <c r="D64" s="5"/>
      <c r="E64" s="5"/>
      <c r="F64" s="5"/>
      <c r="G64" s="5"/>
      <c r="H64" s="5"/>
      <c r="I64" s="213"/>
      <c r="J64" s="213"/>
      <c r="K64" s="213"/>
      <c r="L64" s="213"/>
      <c r="M64" s="213"/>
      <c r="N64" s="213"/>
      <c r="O64" s="213"/>
      <c r="P64" s="213"/>
      <c r="Q64" s="213"/>
      <c r="R64" s="213"/>
      <c r="S64" s="213"/>
      <c r="T64" s="213"/>
    </row>
    <row r="65" spans="1:20" x14ac:dyDescent="0.2">
      <c r="A65" s="5"/>
      <c r="B65" s="5"/>
      <c r="C65" s="5"/>
      <c r="D65" s="5"/>
      <c r="E65" s="5"/>
      <c r="F65" s="5"/>
      <c r="G65" s="5"/>
      <c r="H65" s="5"/>
      <c r="I65" s="213"/>
      <c r="J65" s="213"/>
      <c r="K65" s="213"/>
      <c r="L65" s="213"/>
      <c r="M65" s="213"/>
      <c r="N65" s="213"/>
      <c r="O65" s="213"/>
      <c r="P65" s="213"/>
      <c r="Q65" s="213"/>
      <c r="R65" s="213"/>
      <c r="S65" s="213"/>
      <c r="T65" s="213"/>
    </row>
    <row r="66" spans="1:20" x14ac:dyDescent="0.2">
      <c r="A66" s="5"/>
      <c r="B66" s="5"/>
      <c r="C66" s="5"/>
      <c r="D66" s="5"/>
      <c r="E66" s="5"/>
      <c r="F66" s="5"/>
      <c r="G66" s="5"/>
      <c r="H66" s="5"/>
      <c r="I66" s="213"/>
      <c r="J66" s="213"/>
      <c r="K66" s="213"/>
      <c r="L66" s="213"/>
      <c r="M66" s="213"/>
      <c r="N66" s="213"/>
      <c r="O66" s="213"/>
      <c r="P66" s="213"/>
      <c r="Q66" s="213"/>
      <c r="R66" s="213"/>
      <c r="S66" s="213"/>
      <c r="T66" s="213"/>
    </row>
    <row r="67" spans="1:20" x14ac:dyDescent="0.2">
      <c r="A67" s="5"/>
      <c r="B67" s="5"/>
      <c r="C67" s="5"/>
      <c r="D67" s="5"/>
      <c r="E67" s="5"/>
      <c r="F67" s="5"/>
      <c r="G67" s="5"/>
      <c r="H67" s="5"/>
      <c r="I67" s="213"/>
      <c r="J67" s="213"/>
      <c r="K67" s="213"/>
      <c r="L67" s="213"/>
      <c r="M67" s="213"/>
      <c r="N67" s="213"/>
      <c r="O67" s="213"/>
      <c r="P67" s="213"/>
      <c r="Q67" s="213"/>
      <c r="R67" s="213"/>
      <c r="S67" s="213"/>
      <c r="T67" s="213"/>
    </row>
    <row r="68" spans="1:20" x14ac:dyDescent="0.2">
      <c r="A68" s="5"/>
      <c r="B68" s="5"/>
      <c r="C68" s="5"/>
      <c r="D68" s="5"/>
      <c r="E68" s="5"/>
      <c r="F68" s="5"/>
      <c r="G68" s="5"/>
      <c r="H68" s="5"/>
      <c r="I68" s="213"/>
      <c r="J68" s="213"/>
      <c r="K68" s="213"/>
      <c r="L68" s="213"/>
      <c r="M68" s="213"/>
      <c r="N68" s="213"/>
      <c r="O68" s="213"/>
      <c r="P68" s="213"/>
      <c r="Q68" s="213"/>
      <c r="R68" s="213"/>
      <c r="S68" s="213"/>
      <c r="T68" s="213"/>
    </row>
    <row r="69" spans="1:20" x14ac:dyDescent="0.2">
      <c r="A69" s="5"/>
      <c r="B69" s="5"/>
      <c r="C69" s="5"/>
      <c r="D69" s="5"/>
      <c r="E69" s="5"/>
      <c r="F69" s="5"/>
      <c r="G69" s="5"/>
      <c r="H69" s="5"/>
      <c r="I69" s="213"/>
      <c r="J69" s="213"/>
      <c r="K69" s="213"/>
      <c r="L69" s="213"/>
      <c r="M69" s="213"/>
      <c r="N69" s="213"/>
      <c r="O69" s="213"/>
      <c r="P69" s="213"/>
      <c r="Q69" s="213"/>
      <c r="R69" s="213"/>
      <c r="S69" s="213"/>
      <c r="T69" s="213"/>
    </row>
    <row r="70" spans="1:20" x14ac:dyDescent="0.2">
      <c r="A70" s="5"/>
      <c r="B70" s="5"/>
      <c r="C70" s="5"/>
      <c r="D70" s="5"/>
      <c r="E70" s="5"/>
      <c r="F70" s="5"/>
      <c r="G70" s="5"/>
      <c r="H70" s="5"/>
      <c r="I70" s="213"/>
      <c r="J70" s="213"/>
      <c r="K70" s="213"/>
      <c r="L70" s="213"/>
      <c r="M70" s="213"/>
      <c r="N70" s="213"/>
      <c r="O70" s="213"/>
      <c r="P70" s="213"/>
      <c r="Q70" s="213"/>
      <c r="R70" s="213"/>
      <c r="S70" s="213"/>
      <c r="T70" s="213"/>
    </row>
    <row r="71" spans="1:20" x14ac:dyDescent="0.2">
      <c r="A71" s="5"/>
      <c r="B71" s="5"/>
      <c r="C71" s="5"/>
      <c r="D71" s="5"/>
      <c r="E71" s="5"/>
      <c r="F71" s="5"/>
      <c r="G71" s="5"/>
      <c r="H71" s="5"/>
      <c r="I71" s="213"/>
      <c r="J71" s="213"/>
      <c r="K71" s="213"/>
      <c r="L71" s="213"/>
      <c r="M71" s="213"/>
      <c r="N71" s="213"/>
      <c r="O71" s="213"/>
      <c r="P71" s="213"/>
      <c r="Q71" s="213"/>
      <c r="R71" s="213"/>
      <c r="S71" s="213"/>
      <c r="T71" s="213"/>
    </row>
    <row r="72" spans="1:20" x14ac:dyDescent="0.2">
      <c r="A72" s="5"/>
      <c r="B72" s="5"/>
      <c r="C72" s="5"/>
      <c r="D72" s="5"/>
      <c r="E72" s="5"/>
      <c r="F72" s="5"/>
      <c r="G72" s="5"/>
      <c r="H72" s="5"/>
      <c r="I72" s="213"/>
      <c r="J72" s="213"/>
      <c r="K72" s="213"/>
      <c r="L72" s="213"/>
      <c r="M72" s="213"/>
      <c r="N72" s="213"/>
      <c r="O72" s="213"/>
      <c r="P72" s="213"/>
      <c r="Q72" s="213"/>
      <c r="R72" s="213"/>
      <c r="S72" s="213"/>
      <c r="T72" s="213"/>
    </row>
    <row r="73" spans="1:20" x14ac:dyDescent="0.2">
      <c r="A73" s="5"/>
      <c r="B73" s="5"/>
      <c r="C73" s="5"/>
      <c r="D73" s="5"/>
      <c r="E73" s="5"/>
      <c r="F73" s="5"/>
      <c r="G73" s="5"/>
      <c r="H73" s="5"/>
      <c r="I73" s="213"/>
      <c r="J73" s="213"/>
      <c r="K73" s="213"/>
      <c r="L73" s="213"/>
      <c r="M73" s="213"/>
      <c r="N73" s="213"/>
      <c r="O73" s="213"/>
      <c r="P73" s="213"/>
      <c r="Q73" s="213"/>
      <c r="R73" s="213"/>
      <c r="S73" s="213"/>
      <c r="T73" s="213"/>
    </row>
    <row r="74" spans="1:20" x14ac:dyDescent="0.2">
      <c r="A74" s="5"/>
      <c r="B74" s="5"/>
      <c r="C74" s="5"/>
      <c r="D74" s="5"/>
      <c r="E74" s="5"/>
      <c r="F74" s="5"/>
      <c r="G74" s="5"/>
      <c r="H74" s="5"/>
      <c r="I74" s="213"/>
      <c r="J74" s="213"/>
      <c r="K74" s="213"/>
      <c r="L74" s="213"/>
      <c r="M74" s="213"/>
      <c r="N74" s="213"/>
      <c r="O74" s="213"/>
      <c r="P74" s="213"/>
      <c r="Q74" s="213"/>
      <c r="R74" s="213"/>
      <c r="S74" s="213"/>
      <c r="T74" s="213"/>
    </row>
    <row r="75" spans="1:20" x14ac:dyDescent="0.2">
      <c r="A75" s="5"/>
      <c r="B75" s="5"/>
      <c r="C75" s="5"/>
      <c r="D75" s="5"/>
      <c r="E75" s="5"/>
      <c r="F75" s="5"/>
      <c r="G75" s="5"/>
      <c r="H75" s="5"/>
      <c r="I75" s="213"/>
      <c r="J75" s="213"/>
      <c r="K75" s="213"/>
      <c r="L75" s="213"/>
      <c r="M75" s="213"/>
      <c r="N75" s="213"/>
      <c r="O75" s="213"/>
      <c r="P75" s="213"/>
      <c r="Q75" s="213"/>
      <c r="R75" s="213"/>
      <c r="S75" s="213"/>
      <c r="T75" s="213"/>
    </row>
    <row r="76" spans="1:20" x14ac:dyDescent="0.2">
      <c r="A76" s="5"/>
      <c r="B76" s="5"/>
      <c r="C76" s="5"/>
      <c r="D76" s="5"/>
      <c r="E76" s="5"/>
      <c r="F76" s="5"/>
      <c r="G76" s="5"/>
      <c r="H76" s="5"/>
      <c r="I76" s="213"/>
      <c r="J76" s="213"/>
      <c r="K76" s="213"/>
      <c r="L76" s="213"/>
      <c r="M76" s="213"/>
      <c r="N76" s="213"/>
      <c r="O76" s="213"/>
      <c r="P76" s="213"/>
      <c r="Q76" s="213"/>
      <c r="R76" s="213"/>
      <c r="S76" s="213"/>
      <c r="T76" s="213"/>
    </row>
    <row r="77" spans="1:20" x14ac:dyDescent="0.2">
      <c r="A77" s="5"/>
      <c r="B77" s="5"/>
      <c r="C77" s="5"/>
      <c r="D77" s="5"/>
      <c r="E77" s="5"/>
      <c r="F77" s="5"/>
      <c r="G77" s="5"/>
      <c r="H77" s="5"/>
      <c r="I77" s="213"/>
      <c r="J77" s="213"/>
      <c r="K77" s="213"/>
      <c r="L77" s="213"/>
      <c r="M77" s="213"/>
      <c r="N77" s="213"/>
      <c r="O77" s="213"/>
      <c r="P77" s="213"/>
      <c r="Q77" s="213"/>
      <c r="R77" s="213"/>
      <c r="S77" s="213"/>
      <c r="T77" s="213"/>
    </row>
    <row r="78" spans="1:20" x14ac:dyDescent="0.2">
      <c r="A78" s="5"/>
      <c r="B78" s="5"/>
      <c r="C78" s="5"/>
      <c r="D78" s="5"/>
      <c r="E78" s="5"/>
      <c r="F78" s="5"/>
      <c r="G78" s="5"/>
      <c r="H78" s="5"/>
      <c r="I78" s="213"/>
      <c r="J78" s="213"/>
      <c r="K78" s="213"/>
      <c r="L78" s="213"/>
      <c r="M78" s="213"/>
      <c r="N78" s="213"/>
      <c r="O78" s="213"/>
      <c r="P78" s="213"/>
      <c r="Q78" s="213"/>
      <c r="R78" s="213"/>
      <c r="S78" s="213"/>
      <c r="T78" s="213"/>
    </row>
    <row r="79" spans="1:20" x14ac:dyDescent="0.2">
      <c r="A79" s="5"/>
      <c r="B79" s="5"/>
      <c r="C79" s="5"/>
      <c r="D79" s="5"/>
      <c r="E79" s="5"/>
      <c r="F79" s="5"/>
      <c r="G79" s="5"/>
      <c r="H79" s="5"/>
      <c r="I79" s="213"/>
      <c r="J79" s="213"/>
      <c r="K79" s="213"/>
      <c r="L79" s="213"/>
      <c r="M79" s="213"/>
      <c r="N79" s="213"/>
      <c r="O79" s="213"/>
      <c r="P79" s="213"/>
      <c r="Q79" s="213"/>
      <c r="R79" s="213"/>
      <c r="S79" s="213"/>
      <c r="T79" s="213"/>
    </row>
    <row r="80" spans="1:20" x14ac:dyDescent="0.2">
      <c r="A80" s="5"/>
      <c r="B80" s="5"/>
      <c r="C80" s="5"/>
      <c r="D80" s="5"/>
      <c r="E80" s="5"/>
      <c r="F80" s="5"/>
      <c r="G80" s="5"/>
      <c r="H80" s="5"/>
      <c r="I80" s="213"/>
      <c r="J80" s="213"/>
      <c r="K80" s="213"/>
      <c r="L80" s="213"/>
      <c r="M80" s="213"/>
      <c r="N80" s="213"/>
      <c r="O80" s="213"/>
      <c r="P80" s="213"/>
      <c r="Q80" s="213"/>
      <c r="R80" s="213"/>
      <c r="S80" s="213"/>
      <c r="T80" s="213"/>
    </row>
    <row r="81" spans="1:20" x14ac:dyDescent="0.2">
      <c r="A81" s="5"/>
      <c r="B81" s="5"/>
      <c r="C81" s="5"/>
      <c r="D81" s="5"/>
      <c r="E81" s="5"/>
      <c r="F81" s="5"/>
      <c r="G81" s="5"/>
      <c r="H81" s="5"/>
      <c r="I81" s="213"/>
      <c r="J81" s="213"/>
      <c r="K81" s="213"/>
      <c r="L81" s="213"/>
      <c r="M81" s="213"/>
      <c r="N81" s="213"/>
      <c r="O81" s="213"/>
      <c r="P81" s="213"/>
      <c r="Q81" s="213"/>
      <c r="R81" s="213"/>
      <c r="S81" s="213"/>
      <c r="T81" s="213"/>
    </row>
    <row r="82" spans="1:20" x14ac:dyDescent="0.2">
      <c r="A82" s="5"/>
      <c r="B82" s="5"/>
      <c r="C82" s="5"/>
      <c r="D82" s="5"/>
      <c r="E82" s="5"/>
      <c r="F82" s="5"/>
      <c r="G82" s="5"/>
      <c r="H82" s="5"/>
      <c r="I82" s="213"/>
      <c r="J82" s="213"/>
      <c r="K82" s="213"/>
      <c r="L82" s="213"/>
      <c r="M82" s="213"/>
      <c r="N82" s="213"/>
      <c r="O82" s="213"/>
      <c r="P82" s="213"/>
      <c r="Q82" s="213"/>
      <c r="R82" s="213"/>
      <c r="S82" s="213"/>
      <c r="T82" s="213"/>
    </row>
    <row r="83" spans="1:20" x14ac:dyDescent="0.2">
      <c r="A83" s="5"/>
      <c r="B83" s="5"/>
      <c r="C83" s="5"/>
      <c r="D83" s="5"/>
      <c r="E83" s="5"/>
      <c r="F83" s="5"/>
      <c r="G83" s="5"/>
      <c r="H83" s="5"/>
      <c r="I83" s="213"/>
      <c r="J83" s="213"/>
      <c r="K83" s="213"/>
      <c r="L83" s="213"/>
      <c r="M83" s="213"/>
      <c r="N83" s="213"/>
      <c r="O83" s="213"/>
      <c r="P83" s="213"/>
      <c r="Q83" s="213"/>
      <c r="R83" s="213"/>
      <c r="S83" s="213"/>
      <c r="T83" s="213"/>
    </row>
    <row r="84" spans="1:20" x14ac:dyDescent="0.2">
      <c r="A84" s="5"/>
      <c r="B84" s="5"/>
      <c r="C84" s="5"/>
      <c r="D84" s="5"/>
      <c r="E84" s="5"/>
      <c r="F84" s="5"/>
      <c r="G84" s="5"/>
      <c r="H84" s="5"/>
      <c r="I84" s="213"/>
      <c r="J84" s="213"/>
      <c r="K84" s="213"/>
      <c r="L84" s="213"/>
      <c r="M84" s="213"/>
      <c r="N84" s="213"/>
      <c r="O84" s="213"/>
      <c r="P84" s="213"/>
      <c r="Q84" s="213"/>
      <c r="R84" s="213"/>
      <c r="S84" s="213"/>
      <c r="T84" s="213"/>
    </row>
    <row r="85" spans="1:20" x14ac:dyDescent="0.2">
      <c r="A85" s="5"/>
      <c r="B85" s="5"/>
      <c r="C85" s="5"/>
      <c r="D85" s="5"/>
      <c r="E85" s="5"/>
      <c r="F85" s="5"/>
      <c r="G85" s="5"/>
      <c r="H85" s="5"/>
      <c r="I85" s="213"/>
      <c r="J85" s="213"/>
      <c r="K85" s="213"/>
      <c r="L85" s="213"/>
      <c r="M85" s="213"/>
      <c r="N85" s="213"/>
      <c r="O85" s="213"/>
      <c r="P85" s="213"/>
      <c r="Q85" s="213"/>
      <c r="R85" s="213"/>
      <c r="S85" s="213"/>
      <c r="T85" s="213"/>
    </row>
    <row r="86" spans="1:20" x14ac:dyDescent="0.2">
      <c r="A86" s="5"/>
      <c r="B86" s="5"/>
      <c r="C86" s="5"/>
      <c r="D86" s="5"/>
      <c r="E86" s="5"/>
      <c r="F86" s="5"/>
      <c r="G86" s="5"/>
      <c r="H86" s="5"/>
      <c r="I86" s="213"/>
      <c r="J86" s="213"/>
      <c r="K86" s="213"/>
      <c r="L86" s="213"/>
      <c r="M86" s="213"/>
      <c r="N86" s="213"/>
      <c r="O86" s="213"/>
      <c r="P86" s="213"/>
      <c r="Q86" s="213"/>
      <c r="R86" s="213"/>
      <c r="S86" s="213"/>
      <c r="T86" s="213"/>
    </row>
    <row r="87" spans="1:20" x14ac:dyDescent="0.2">
      <c r="A87" s="5"/>
      <c r="B87" s="5"/>
      <c r="C87" s="5"/>
      <c r="D87" s="5"/>
      <c r="E87" s="5"/>
      <c r="F87" s="5"/>
      <c r="G87" s="5"/>
      <c r="H87" s="5"/>
      <c r="I87" s="213"/>
      <c r="J87" s="213"/>
      <c r="K87" s="213"/>
      <c r="L87" s="213"/>
      <c r="M87" s="213"/>
      <c r="N87" s="213"/>
      <c r="O87" s="213"/>
      <c r="P87" s="213"/>
      <c r="Q87" s="213"/>
      <c r="R87" s="213"/>
      <c r="S87" s="213"/>
      <c r="T87" s="213"/>
    </row>
    <row r="88" spans="1:20" x14ac:dyDescent="0.2">
      <c r="A88" s="5"/>
      <c r="B88" s="5"/>
      <c r="C88" s="5"/>
      <c r="D88" s="5"/>
      <c r="E88" s="5"/>
      <c r="F88" s="5"/>
      <c r="G88" s="5"/>
      <c r="H88" s="5"/>
      <c r="I88" s="213"/>
      <c r="J88" s="213"/>
      <c r="K88" s="213"/>
      <c r="L88" s="213"/>
      <c r="M88" s="213"/>
      <c r="N88" s="213"/>
      <c r="O88" s="213"/>
      <c r="P88" s="213"/>
      <c r="Q88" s="213"/>
      <c r="R88" s="213"/>
      <c r="S88" s="213"/>
      <c r="T88" s="213"/>
    </row>
    <row r="89" spans="1:20" x14ac:dyDescent="0.2">
      <c r="A89" s="5"/>
      <c r="B89" s="5"/>
      <c r="C89" s="5"/>
      <c r="D89" s="5"/>
      <c r="E89" s="5"/>
      <c r="F89" s="5"/>
      <c r="G89" s="5"/>
      <c r="H89" s="5"/>
      <c r="I89" s="213"/>
      <c r="J89" s="213"/>
      <c r="K89" s="213"/>
      <c r="L89" s="213"/>
      <c r="M89" s="213"/>
      <c r="N89" s="213"/>
      <c r="O89" s="213"/>
      <c r="P89" s="213"/>
      <c r="Q89" s="213"/>
      <c r="R89" s="213"/>
      <c r="S89" s="213"/>
      <c r="T89" s="213"/>
    </row>
    <row r="90" spans="1:20" x14ac:dyDescent="0.2">
      <c r="A90" s="5"/>
      <c r="B90" s="5"/>
      <c r="C90" s="5"/>
      <c r="D90" s="5"/>
      <c r="E90" s="5"/>
      <c r="F90" s="5"/>
      <c r="G90" s="5"/>
      <c r="H90" s="5"/>
      <c r="I90" s="213"/>
      <c r="J90" s="213"/>
      <c r="K90" s="213"/>
      <c r="L90" s="213"/>
      <c r="M90" s="213"/>
      <c r="N90" s="213"/>
      <c r="O90" s="213"/>
      <c r="P90" s="213"/>
      <c r="Q90" s="213"/>
      <c r="R90" s="213"/>
      <c r="S90" s="213"/>
      <c r="T90" s="213"/>
    </row>
    <row r="91" spans="1:20" x14ac:dyDescent="0.2">
      <c r="A91" s="5"/>
      <c r="B91" s="5"/>
      <c r="C91" s="5"/>
      <c r="D91" s="5"/>
      <c r="E91" s="5"/>
      <c r="F91" s="5"/>
      <c r="G91" s="5"/>
      <c r="H91" s="5"/>
      <c r="I91" s="213"/>
      <c r="J91" s="213"/>
      <c r="K91" s="213"/>
      <c r="L91" s="213"/>
      <c r="M91" s="213"/>
      <c r="N91" s="213"/>
      <c r="O91" s="213"/>
      <c r="P91" s="213"/>
      <c r="Q91" s="213"/>
      <c r="R91" s="213"/>
      <c r="S91" s="213"/>
      <c r="T91" s="213"/>
    </row>
    <row r="92" spans="1:20" x14ac:dyDescent="0.2">
      <c r="A92" s="5"/>
      <c r="B92" s="5"/>
      <c r="C92" s="5"/>
      <c r="D92" s="5"/>
      <c r="E92" s="5"/>
      <c r="F92" s="5"/>
      <c r="G92" s="5"/>
      <c r="H92" s="5"/>
      <c r="I92" s="213"/>
      <c r="J92" s="213"/>
      <c r="K92" s="213"/>
      <c r="L92" s="213"/>
      <c r="M92" s="213"/>
      <c r="N92" s="213"/>
      <c r="O92" s="213"/>
      <c r="P92" s="213"/>
      <c r="Q92" s="213"/>
      <c r="R92" s="213"/>
      <c r="S92" s="213"/>
      <c r="T92" s="213"/>
    </row>
    <row r="93" spans="1:20" x14ac:dyDescent="0.2">
      <c r="A93" s="5"/>
      <c r="B93" s="5"/>
      <c r="C93" s="5"/>
      <c r="D93" s="5"/>
      <c r="E93" s="5"/>
      <c r="F93" s="5"/>
      <c r="G93" s="5"/>
      <c r="H93" s="5"/>
      <c r="I93" s="213"/>
      <c r="J93" s="213"/>
      <c r="K93" s="213"/>
      <c r="L93" s="213"/>
      <c r="M93" s="213"/>
      <c r="N93" s="213"/>
      <c r="O93" s="213"/>
      <c r="P93" s="213"/>
      <c r="Q93" s="213"/>
      <c r="R93" s="213"/>
      <c r="S93" s="213"/>
      <c r="T93" s="213"/>
    </row>
    <row r="94" spans="1:20" x14ac:dyDescent="0.2">
      <c r="A94" s="5"/>
      <c r="B94" s="5"/>
      <c r="C94" s="5"/>
      <c r="D94" s="5"/>
      <c r="E94" s="5"/>
      <c r="F94" s="5"/>
      <c r="G94" s="5"/>
      <c r="H94" s="5"/>
      <c r="I94" s="213"/>
      <c r="J94" s="213"/>
      <c r="K94" s="213"/>
      <c r="L94" s="213"/>
      <c r="M94" s="213"/>
      <c r="N94" s="213"/>
      <c r="O94" s="213"/>
      <c r="P94" s="213"/>
      <c r="Q94" s="213"/>
      <c r="R94" s="213"/>
      <c r="S94" s="213"/>
      <c r="T94" s="213"/>
    </row>
    <row r="95" spans="1:20" x14ac:dyDescent="0.2">
      <c r="A95" s="5"/>
      <c r="B95" s="5"/>
      <c r="C95" s="5"/>
      <c r="D95" s="5"/>
      <c r="E95" s="5"/>
      <c r="F95" s="5"/>
      <c r="G95" s="5"/>
      <c r="H95" s="5"/>
      <c r="I95" s="213"/>
      <c r="J95" s="213"/>
      <c r="K95" s="213"/>
      <c r="L95" s="213"/>
      <c r="M95" s="213"/>
      <c r="N95" s="213"/>
      <c r="O95" s="213"/>
      <c r="P95" s="213"/>
      <c r="Q95" s="213"/>
      <c r="R95" s="213"/>
      <c r="S95" s="213"/>
      <c r="T95" s="213"/>
    </row>
    <row r="96" spans="1:20" x14ac:dyDescent="0.2">
      <c r="A96" s="5"/>
      <c r="B96" s="5"/>
      <c r="C96" s="5"/>
      <c r="D96" s="5"/>
      <c r="E96" s="5"/>
      <c r="F96" s="5"/>
      <c r="G96" s="5"/>
      <c r="H96" s="5"/>
      <c r="I96" s="213"/>
      <c r="J96" s="213"/>
      <c r="K96" s="213"/>
      <c r="L96" s="213"/>
      <c r="M96" s="213"/>
      <c r="N96" s="213"/>
      <c r="O96" s="213"/>
      <c r="P96" s="213"/>
      <c r="Q96" s="213"/>
      <c r="R96" s="213"/>
      <c r="S96" s="213"/>
      <c r="T96" s="213"/>
    </row>
    <row r="97" spans="1:20" x14ac:dyDescent="0.2">
      <c r="A97" s="5"/>
      <c r="B97" s="5"/>
      <c r="C97" s="5"/>
      <c r="D97" s="5"/>
      <c r="E97" s="5"/>
      <c r="F97" s="5"/>
      <c r="G97" s="5"/>
      <c r="H97" s="5"/>
      <c r="I97" s="213"/>
      <c r="J97" s="213"/>
      <c r="K97" s="213"/>
      <c r="L97" s="213"/>
      <c r="M97" s="213"/>
      <c r="N97" s="213"/>
      <c r="O97" s="213"/>
      <c r="P97" s="213"/>
      <c r="Q97" s="213"/>
      <c r="R97" s="213"/>
      <c r="S97" s="213"/>
      <c r="T97" s="213"/>
    </row>
    <row r="98" spans="1:20" x14ac:dyDescent="0.2">
      <c r="A98" s="5"/>
      <c r="B98" s="5"/>
      <c r="C98" s="5"/>
      <c r="D98" s="5"/>
      <c r="E98" s="5"/>
      <c r="F98" s="5"/>
      <c r="G98" s="5"/>
      <c r="H98" s="5"/>
      <c r="I98" s="213"/>
      <c r="J98" s="213"/>
      <c r="K98" s="213"/>
      <c r="L98" s="213"/>
      <c r="M98" s="213"/>
      <c r="N98" s="213"/>
      <c r="O98" s="213"/>
      <c r="P98" s="213"/>
      <c r="Q98" s="213"/>
      <c r="R98" s="213"/>
      <c r="S98" s="213"/>
      <c r="T98" s="213"/>
    </row>
    <row r="99" spans="1:20" x14ac:dyDescent="0.2">
      <c r="A99" s="5"/>
      <c r="B99" s="5"/>
      <c r="C99" s="5"/>
      <c r="D99" s="5"/>
      <c r="E99" s="5"/>
      <c r="F99" s="5"/>
      <c r="G99" s="5"/>
      <c r="H99" s="5"/>
      <c r="I99" s="213"/>
      <c r="J99" s="213"/>
      <c r="K99" s="213"/>
      <c r="L99" s="213"/>
      <c r="M99" s="213"/>
      <c r="N99" s="213"/>
      <c r="O99" s="213"/>
      <c r="P99" s="213"/>
      <c r="Q99" s="213"/>
      <c r="R99" s="213"/>
      <c r="S99" s="213"/>
      <c r="T99" s="213"/>
    </row>
    <row r="100" spans="1:20" x14ac:dyDescent="0.2">
      <c r="A100" s="5"/>
      <c r="B100" s="5"/>
      <c r="C100" s="5"/>
      <c r="D100" s="5"/>
      <c r="E100" s="5"/>
      <c r="F100" s="5"/>
      <c r="G100" s="5"/>
      <c r="H100" s="5"/>
      <c r="I100" s="213"/>
      <c r="J100" s="213"/>
      <c r="K100" s="213"/>
      <c r="L100" s="213"/>
      <c r="M100" s="213"/>
      <c r="N100" s="213"/>
      <c r="O100" s="213"/>
      <c r="P100" s="213"/>
      <c r="Q100" s="213"/>
      <c r="R100" s="213"/>
      <c r="S100" s="213"/>
      <c r="T100" s="213"/>
    </row>
    <row r="101" spans="1:20" x14ac:dyDescent="0.2">
      <c r="A101" s="5"/>
      <c r="B101" s="5"/>
      <c r="C101" s="5"/>
      <c r="D101" s="5"/>
      <c r="E101" s="5"/>
      <c r="F101" s="5"/>
      <c r="G101" s="5"/>
      <c r="H101" s="5"/>
      <c r="I101" s="213"/>
      <c r="J101" s="213"/>
      <c r="K101" s="213"/>
      <c r="L101" s="213"/>
      <c r="M101" s="213"/>
      <c r="N101" s="213"/>
      <c r="O101" s="213"/>
      <c r="P101" s="213"/>
      <c r="Q101" s="213"/>
      <c r="R101" s="213"/>
      <c r="S101" s="213"/>
      <c r="T101" s="213"/>
    </row>
    <row r="102" spans="1:20" x14ac:dyDescent="0.2">
      <c r="A102" s="5"/>
      <c r="B102" s="5"/>
      <c r="C102" s="5"/>
      <c r="D102" s="5"/>
      <c r="E102" s="5"/>
      <c r="F102" s="5"/>
      <c r="G102" s="5"/>
      <c r="H102" s="5"/>
      <c r="I102" s="213"/>
      <c r="J102" s="213"/>
      <c r="K102" s="213"/>
      <c r="L102" s="213"/>
      <c r="M102" s="213"/>
      <c r="N102" s="213"/>
      <c r="O102" s="213"/>
      <c r="P102" s="213"/>
      <c r="Q102" s="213"/>
      <c r="R102" s="213"/>
      <c r="S102" s="213"/>
      <c r="T102" s="213"/>
    </row>
    <row r="103" spans="1:20" x14ac:dyDescent="0.2">
      <c r="A103" s="5"/>
      <c r="B103" s="5"/>
      <c r="C103" s="5"/>
      <c r="D103" s="5"/>
      <c r="E103" s="5"/>
      <c r="F103" s="5"/>
      <c r="G103" s="5"/>
      <c r="H103" s="5"/>
      <c r="I103" s="213"/>
      <c r="J103" s="213"/>
      <c r="K103" s="213"/>
      <c r="L103" s="213"/>
      <c r="M103" s="213"/>
      <c r="N103" s="213"/>
      <c r="O103" s="213"/>
      <c r="P103" s="213"/>
      <c r="Q103" s="213"/>
      <c r="R103" s="213"/>
      <c r="S103" s="213"/>
      <c r="T103" s="213"/>
    </row>
    <row r="104" spans="1:20" x14ac:dyDescent="0.2">
      <c r="A104" s="5"/>
      <c r="B104" s="5"/>
      <c r="C104" s="5"/>
      <c r="D104" s="5"/>
      <c r="E104" s="5"/>
      <c r="F104" s="5"/>
      <c r="G104" s="5"/>
      <c r="H104" s="5"/>
      <c r="I104" s="213"/>
      <c r="J104" s="213"/>
      <c r="K104" s="213"/>
      <c r="L104" s="213"/>
      <c r="M104" s="213"/>
      <c r="N104" s="213"/>
      <c r="O104" s="213"/>
      <c r="P104" s="213"/>
      <c r="Q104" s="213"/>
      <c r="R104" s="213"/>
      <c r="S104" s="213"/>
      <c r="T104" s="213"/>
    </row>
    <row r="105" spans="1:20" x14ac:dyDescent="0.2">
      <c r="A105" s="5"/>
      <c r="B105" s="5"/>
      <c r="C105" s="5"/>
      <c r="D105" s="5"/>
      <c r="E105" s="5"/>
      <c r="F105" s="5"/>
      <c r="G105" s="5"/>
      <c r="H105" s="5"/>
      <c r="I105" s="213"/>
      <c r="J105" s="213"/>
      <c r="K105" s="213"/>
      <c r="L105" s="213"/>
      <c r="M105" s="213"/>
      <c r="N105" s="213"/>
      <c r="O105" s="213"/>
      <c r="P105" s="213"/>
      <c r="Q105" s="213"/>
      <c r="R105" s="213"/>
      <c r="S105" s="213"/>
      <c r="T105" s="213"/>
    </row>
    <row r="106" spans="1:20" x14ac:dyDescent="0.2">
      <c r="A106" s="5"/>
      <c r="B106" s="5"/>
      <c r="C106" s="5"/>
      <c r="D106" s="5"/>
      <c r="E106" s="5"/>
      <c r="F106" s="5"/>
      <c r="G106" s="5"/>
      <c r="H106" s="5"/>
      <c r="I106" s="213"/>
      <c r="J106" s="213"/>
      <c r="K106" s="213"/>
      <c r="L106" s="213"/>
      <c r="M106" s="213"/>
      <c r="N106" s="213"/>
      <c r="O106" s="213"/>
      <c r="P106" s="213"/>
      <c r="Q106" s="213"/>
      <c r="R106" s="213"/>
      <c r="S106" s="213"/>
      <c r="T106" s="213"/>
    </row>
    <row r="107" spans="1:20" x14ac:dyDescent="0.2">
      <c r="A107" s="5"/>
      <c r="B107" s="5"/>
      <c r="C107" s="5"/>
      <c r="D107" s="5"/>
      <c r="E107" s="5"/>
      <c r="F107" s="5"/>
      <c r="G107" s="5"/>
      <c r="H107" s="5"/>
      <c r="I107" s="213"/>
      <c r="J107" s="213"/>
      <c r="K107" s="213"/>
      <c r="L107" s="213"/>
      <c r="M107" s="213"/>
      <c r="N107" s="213"/>
      <c r="O107" s="213"/>
      <c r="P107" s="213"/>
      <c r="Q107" s="213"/>
      <c r="R107" s="213"/>
      <c r="S107" s="213"/>
      <c r="T107" s="213"/>
    </row>
    <row r="108" spans="1:20" x14ac:dyDescent="0.2">
      <c r="A108" s="5"/>
      <c r="B108" s="5"/>
      <c r="C108" s="5"/>
      <c r="D108" s="5"/>
      <c r="E108" s="5"/>
      <c r="F108" s="5"/>
      <c r="G108" s="5"/>
      <c r="H108" s="5"/>
      <c r="I108" s="213"/>
      <c r="J108" s="213"/>
      <c r="K108" s="213"/>
      <c r="L108" s="213"/>
      <c r="M108" s="213"/>
      <c r="N108" s="213"/>
      <c r="O108" s="213"/>
      <c r="P108" s="213"/>
      <c r="Q108" s="213"/>
      <c r="R108" s="213"/>
      <c r="S108" s="213"/>
      <c r="T108" s="213"/>
    </row>
    <row r="109" spans="1:20" x14ac:dyDescent="0.2">
      <c r="A109" s="5"/>
      <c r="B109" s="5"/>
      <c r="C109" s="5"/>
      <c r="D109" s="5"/>
      <c r="E109" s="5"/>
      <c r="F109" s="5"/>
      <c r="G109" s="5"/>
      <c r="H109" s="5"/>
      <c r="I109" s="213"/>
      <c r="J109" s="213"/>
      <c r="K109" s="213"/>
      <c r="L109" s="213"/>
      <c r="M109" s="213"/>
      <c r="N109" s="213"/>
      <c r="O109" s="213"/>
      <c r="P109" s="213"/>
      <c r="Q109" s="213"/>
      <c r="R109" s="213"/>
      <c r="S109" s="213"/>
      <c r="T109" s="213"/>
    </row>
    <row r="110" spans="1:20" x14ac:dyDescent="0.2">
      <c r="A110" s="5"/>
      <c r="B110" s="5"/>
      <c r="C110" s="5"/>
      <c r="D110" s="5"/>
      <c r="E110" s="5"/>
      <c r="F110" s="5"/>
      <c r="G110" s="5"/>
      <c r="H110" s="5"/>
      <c r="I110" s="213"/>
      <c r="J110" s="213"/>
      <c r="K110" s="213"/>
      <c r="L110" s="213"/>
      <c r="M110" s="213"/>
      <c r="N110" s="213"/>
      <c r="O110" s="213"/>
      <c r="P110" s="213"/>
      <c r="Q110" s="213"/>
      <c r="R110" s="213"/>
      <c r="S110" s="213"/>
      <c r="T110" s="213"/>
    </row>
    <row r="111" spans="1:20" x14ac:dyDescent="0.2">
      <c r="A111" s="5"/>
      <c r="B111" s="5"/>
      <c r="C111" s="5"/>
      <c r="D111" s="5"/>
      <c r="E111" s="5"/>
      <c r="F111" s="5"/>
      <c r="G111" s="5"/>
      <c r="H111" s="5"/>
      <c r="I111" s="213"/>
      <c r="J111" s="213"/>
      <c r="K111" s="213"/>
      <c r="L111" s="213"/>
      <c r="M111" s="213"/>
      <c r="N111" s="213"/>
      <c r="O111" s="213"/>
      <c r="P111" s="213"/>
      <c r="Q111" s="213"/>
      <c r="R111" s="213"/>
      <c r="S111" s="213"/>
      <c r="T111" s="213"/>
    </row>
    <row r="112" spans="1:20" x14ac:dyDescent="0.2">
      <c r="A112" s="5"/>
      <c r="B112" s="5"/>
      <c r="C112" s="5"/>
      <c r="D112" s="5"/>
      <c r="E112" s="5"/>
      <c r="F112" s="5"/>
      <c r="G112" s="5"/>
      <c r="H112" s="5"/>
      <c r="I112" s="213"/>
      <c r="J112" s="213"/>
      <c r="K112" s="213"/>
      <c r="L112" s="213"/>
      <c r="M112" s="213"/>
      <c r="N112" s="213"/>
      <c r="O112" s="213"/>
      <c r="P112" s="213"/>
      <c r="Q112" s="213"/>
      <c r="R112" s="213"/>
      <c r="S112" s="213"/>
      <c r="T112" s="213"/>
    </row>
    <row r="113" spans="1:20" x14ac:dyDescent="0.2">
      <c r="A113" s="5"/>
      <c r="B113" s="5"/>
      <c r="C113" s="5"/>
      <c r="D113" s="5"/>
      <c r="E113" s="5"/>
      <c r="F113" s="5"/>
      <c r="G113" s="5"/>
      <c r="H113" s="5"/>
      <c r="I113" s="213"/>
      <c r="J113" s="213"/>
      <c r="K113" s="213"/>
      <c r="L113" s="213"/>
      <c r="M113" s="213"/>
      <c r="N113" s="213"/>
      <c r="O113" s="213"/>
      <c r="P113" s="213"/>
      <c r="Q113" s="213"/>
      <c r="R113" s="213"/>
      <c r="S113" s="213"/>
      <c r="T113" s="213"/>
    </row>
    <row r="114" spans="1:20" x14ac:dyDescent="0.2">
      <c r="A114" s="5"/>
      <c r="B114" s="5"/>
      <c r="C114" s="5"/>
      <c r="D114" s="5"/>
      <c r="E114" s="5"/>
      <c r="F114" s="5"/>
      <c r="G114" s="5"/>
      <c r="H114" s="5"/>
      <c r="I114" s="213"/>
      <c r="J114" s="213"/>
      <c r="K114" s="213"/>
      <c r="L114" s="213"/>
      <c r="M114" s="213"/>
      <c r="N114" s="213"/>
      <c r="O114" s="213"/>
      <c r="P114" s="213"/>
      <c r="Q114" s="213"/>
      <c r="R114" s="213"/>
      <c r="S114" s="213"/>
      <c r="T114" s="213"/>
    </row>
    <row r="115" spans="1:20" x14ac:dyDescent="0.2">
      <c r="A115" s="5"/>
      <c r="B115" s="5"/>
      <c r="C115" s="5"/>
      <c r="D115" s="5"/>
      <c r="E115" s="5"/>
      <c r="F115" s="5"/>
      <c r="G115" s="5"/>
      <c r="H115" s="5"/>
      <c r="I115" s="213"/>
      <c r="J115" s="213"/>
      <c r="K115" s="213"/>
      <c r="L115" s="213"/>
      <c r="M115" s="213"/>
      <c r="N115" s="213"/>
      <c r="O115" s="213"/>
      <c r="P115" s="213"/>
      <c r="Q115" s="213"/>
      <c r="R115" s="213"/>
      <c r="S115" s="213"/>
      <c r="T115" s="213"/>
    </row>
    <row r="116" spans="1:20" x14ac:dyDescent="0.2">
      <c r="A116" s="5"/>
      <c r="B116" s="5"/>
      <c r="C116" s="5"/>
      <c r="D116" s="5"/>
      <c r="E116" s="5"/>
      <c r="F116" s="5"/>
      <c r="G116" s="5"/>
      <c r="H116" s="5"/>
      <c r="I116" s="213"/>
      <c r="J116" s="213"/>
      <c r="K116" s="213"/>
      <c r="L116" s="213"/>
      <c r="M116" s="213"/>
      <c r="N116" s="213"/>
      <c r="O116" s="213"/>
      <c r="P116" s="213"/>
      <c r="Q116" s="213"/>
      <c r="R116" s="213"/>
      <c r="S116" s="213"/>
      <c r="T116" s="213"/>
    </row>
    <row r="117" spans="1:20" x14ac:dyDescent="0.2">
      <c r="A117" s="5"/>
      <c r="B117" s="5"/>
      <c r="C117" s="5"/>
      <c r="D117" s="5"/>
      <c r="E117" s="5"/>
      <c r="F117" s="5"/>
      <c r="G117" s="5"/>
      <c r="H117" s="5"/>
      <c r="I117" s="213"/>
      <c r="J117" s="213"/>
      <c r="K117" s="213"/>
      <c r="L117" s="213"/>
      <c r="M117" s="213"/>
      <c r="N117" s="213"/>
      <c r="O117" s="213"/>
      <c r="P117" s="213"/>
      <c r="Q117" s="213"/>
      <c r="R117" s="213"/>
      <c r="S117" s="213"/>
      <c r="T117" s="213"/>
    </row>
    <row r="118" spans="1:20" x14ac:dyDescent="0.2">
      <c r="A118" s="5"/>
      <c r="B118" s="5"/>
      <c r="C118" s="5"/>
      <c r="D118" s="5"/>
      <c r="E118" s="5"/>
      <c r="F118" s="5"/>
      <c r="G118" s="5"/>
      <c r="H118" s="5"/>
      <c r="I118" s="213"/>
      <c r="J118" s="213"/>
      <c r="K118" s="213"/>
      <c r="L118" s="213"/>
      <c r="M118" s="213"/>
      <c r="N118" s="213"/>
      <c r="O118" s="213"/>
      <c r="P118" s="213"/>
      <c r="Q118" s="213"/>
      <c r="R118" s="213"/>
      <c r="S118" s="213"/>
      <c r="T118" s="213"/>
    </row>
    <row r="119" spans="1:20" x14ac:dyDescent="0.2">
      <c r="A119" s="5"/>
      <c r="B119" s="5"/>
      <c r="C119" s="5"/>
      <c r="D119" s="5"/>
      <c r="E119" s="5"/>
      <c r="F119" s="5"/>
      <c r="G119" s="5"/>
      <c r="H119" s="5"/>
      <c r="I119" s="213"/>
      <c r="J119" s="213"/>
      <c r="K119" s="213"/>
      <c r="L119" s="213"/>
      <c r="M119" s="213"/>
      <c r="N119" s="213"/>
      <c r="O119" s="213"/>
      <c r="P119" s="213"/>
      <c r="Q119" s="213"/>
      <c r="R119" s="213"/>
      <c r="S119" s="213"/>
      <c r="T119" s="213"/>
    </row>
    <row r="120" spans="1:20" x14ac:dyDescent="0.2">
      <c r="A120" s="5"/>
      <c r="B120" s="5"/>
      <c r="C120" s="5"/>
      <c r="D120" s="5"/>
      <c r="E120" s="5"/>
      <c r="F120" s="5"/>
      <c r="G120" s="5"/>
      <c r="H120" s="5"/>
      <c r="I120" s="213"/>
      <c r="J120" s="213"/>
      <c r="K120" s="213"/>
      <c r="L120" s="213"/>
      <c r="M120" s="213"/>
      <c r="N120" s="213"/>
      <c r="O120" s="213"/>
      <c r="P120" s="213"/>
      <c r="Q120" s="213"/>
      <c r="R120" s="213"/>
      <c r="S120" s="213"/>
      <c r="T120" s="213"/>
    </row>
    <row r="121" spans="1:20" x14ac:dyDescent="0.2">
      <c r="A121" s="5"/>
      <c r="B121" s="5"/>
      <c r="C121" s="5"/>
      <c r="D121" s="5"/>
      <c r="E121" s="5"/>
      <c r="F121" s="5"/>
      <c r="G121" s="5"/>
      <c r="H121" s="5"/>
      <c r="I121" s="213"/>
      <c r="J121" s="213"/>
      <c r="K121" s="213"/>
      <c r="L121" s="213"/>
      <c r="M121" s="213"/>
      <c r="N121" s="213"/>
      <c r="O121" s="213"/>
      <c r="P121" s="213"/>
      <c r="Q121" s="213"/>
      <c r="R121" s="213"/>
      <c r="S121" s="213"/>
      <c r="T121" s="213"/>
    </row>
    <row r="122" spans="1:20" x14ac:dyDescent="0.2">
      <c r="A122" s="5"/>
      <c r="B122" s="5"/>
      <c r="C122" s="5"/>
      <c r="D122" s="5"/>
      <c r="E122" s="5"/>
      <c r="F122" s="5"/>
      <c r="G122" s="5"/>
      <c r="H122" s="5"/>
      <c r="I122" s="213"/>
      <c r="J122" s="213"/>
      <c r="K122" s="213"/>
      <c r="L122" s="213"/>
      <c r="M122" s="213"/>
      <c r="N122" s="213"/>
      <c r="O122" s="213"/>
      <c r="P122" s="213"/>
      <c r="Q122" s="213"/>
      <c r="R122" s="213"/>
      <c r="S122" s="213"/>
      <c r="T122" s="213"/>
    </row>
    <row r="123" spans="1:20" x14ac:dyDescent="0.2">
      <c r="A123" s="5"/>
      <c r="B123" s="5"/>
      <c r="C123" s="5"/>
      <c r="D123" s="5"/>
      <c r="E123" s="5"/>
      <c r="F123" s="5"/>
      <c r="G123" s="5"/>
      <c r="H123" s="5"/>
      <c r="I123" s="213"/>
      <c r="J123" s="213"/>
      <c r="K123" s="213"/>
      <c r="L123" s="213"/>
      <c r="M123" s="213"/>
      <c r="N123" s="213"/>
      <c r="O123" s="213"/>
      <c r="P123" s="213"/>
      <c r="Q123" s="213"/>
      <c r="R123" s="213"/>
      <c r="S123" s="213"/>
      <c r="T123" s="213"/>
    </row>
    <row r="124" spans="1:20" x14ac:dyDescent="0.2">
      <c r="A124" s="5"/>
      <c r="B124" s="5"/>
      <c r="C124" s="5"/>
      <c r="D124" s="5"/>
      <c r="E124" s="5"/>
      <c r="F124" s="5"/>
      <c r="G124" s="5"/>
      <c r="H124" s="5"/>
      <c r="I124" s="213"/>
      <c r="J124" s="213"/>
      <c r="K124" s="213"/>
      <c r="L124" s="213"/>
      <c r="M124" s="213"/>
      <c r="N124" s="213"/>
      <c r="O124" s="213"/>
      <c r="P124" s="213"/>
      <c r="Q124" s="213"/>
      <c r="R124" s="213"/>
      <c r="S124" s="213"/>
      <c r="T124" s="213"/>
    </row>
    <row r="125" spans="1:20" x14ac:dyDescent="0.2">
      <c r="A125" s="5"/>
      <c r="B125" s="5"/>
      <c r="C125" s="5"/>
      <c r="D125" s="5"/>
      <c r="E125" s="5"/>
      <c r="F125" s="5"/>
      <c r="G125" s="5"/>
      <c r="H125" s="5"/>
      <c r="I125" s="213"/>
      <c r="J125" s="213"/>
      <c r="K125" s="213"/>
      <c r="L125" s="213"/>
      <c r="M125" s="213"/>
      <c r="N125" s="213"/>
      <c r="O125" s="213"/>
      <c r="P125" s="213"/>
      <c r="Q125" s="213"/>
      <c r="R125" s="213"/>
      <c r="S125" s="213"/>
      <c r="T125" s="213"/>
    </row>
    <row r="126" spans="1:20" x14ac:dyDescent="0.2">
      <c r="A126" s="5"/>
      <c r="B126" s="5"/>
      <c r="C126" s="5"/>
      <c r="D126" s="5"/>
      <c r="E126" s="5"/>
      <c r="F126" s="5"/>
      <c r="G126" s="5"/>
      <c r="H126" s="5"/>
      <c r="I126" s="213"/>
      <c r="J126" s="213"/>
      <c r="K126" s="213"/>
      <c r="L126" s="213"/>
      <c r="M126" s="213"/>
      <c r="N126" s="213"/>
      <c r="O126" s="213"/>
      <c r="P126" s="213"/>
      <c r="Q126" s="213"/>
      <c r="R126" s="213"/>
      <c r="S126" s="213"/>
      <c r="T126" s="213"/>
    </row>
    <row r="127" spans="1:20" x14ac:dyDescent="0.2">
      <c r="A127" s="5"/>
      <c r="B127" s="5"/>
      <c r="C127" s="5"/>
      <c r="D127" s="5"/>
      <c r="E127" s="5"/>
      <c r="F127" s="5"/>
      <c r="G127" s="5"/>
      <c r="H127" s="5"/>
      <c r="I127" s="213"/>
      <c r="J127" s="213"/>
      <c r="K127" s="213"/>
      <c r="L127" s="213"/>
      <c r="M127" s="213"/>
      <c r="N127" s="213"/>
      <c r="O127" s="213"/>
      <c r="P127" s="213"/>
      <c r="Q127" s="213"/>
      <c r="R127" s="213"/>
      <c r="S127" s="213"/>
      <c r="T127" s="213"/>
    </row>
    <row r="128" spans="1:20" x14ac:dyDescent="0.2">
      <c r="A128" s="5"/>
      <c r="B128" s="5"/>
      <c r="C128" s="5"/>
      <c r="D128" s="5"/>
      <c r="E128" s="5"/>
      <c r="F128" s="5"/>
      <c r="G128" s="5"/>
      <c r="H128" s="5"/>
      <c r="I128" s="213"/>
      <c r="J128" s="213"/>
      <c r="K128" s="213"/>
      <c r="L128" s="213"/>
      <c r="M128" s="213"/>
      <c r="N128" s="213"/>
      <c r="O128" s="213"/>
      <c r="P128" s="213"/>
      <c r="Q128" s="213"/>
      <c r="R128" s="213"/>
      <c r="S128" s="213"/>
      <c r="T128" s="213"/>
    </row>
    <row r="129" spans="1:20" x14ac:dyDescent="0.2">
      <c r="A129" s="5"/>
      <c r="B129" s="5"/>
      <c r="C129" s="5"/>
      <c r="D129" s="5"/>
      <c r="E129" s="5"/>
      <c r="F129" s="5"/>
      <c r="G129" s="5"/>
      <c r="H129" s="5"/>
      <c r="I129" s="213"/>
      <c r="J129" s="213"/>
      <c r="K129" s="213"/>
      <c r="L129" s="213"/>
      <c r="M129" s="213"/>
      <c r="N129" s="213"/>
      <c r="O129" s="213"/>
      <c r="P129" s="213"/>
      <c r="Q129" s="213"/>
      <c r="R129" s="213"/>
      <c r="S129" s="213"/>
      <c r="T129" s="213"/>
    </row>
    <row r="130" spans="1:20" x14ac:dyDescent="0.2">
      <c r="A130" s="5"/>
      <c r="B130" s="5"/>
      <c r="C130" s="5"/>
      <c r="D130" s="5"/>
      <c r="E130" s="5"/>
      <c r="F130" s="5"/>
      <c r="G130" s="5"/>
      <c r="H130" s="5"/>
      <c r="I130" s="213"/>
      <c r="J130" s="213"/>
      <c r="K130" s="213"/>
      <c r="L130" s="213"/>
      <c r="M130" s="213"/>
      <c r="N130" s="213"/>
      <c r="O130" s="213"/>
      <c r="P130" s="213"/>
      <c r="Q130" s="213"/>
      <c r="R130" s="213"/>
      <c r="S130" s="213"/>
      <c r="T130" s="213"/>
    </row>
    <row r="131" spans="1:20" x14ac:dyDescent="0.2">
      <c r="A131" s="5"/>
      <c r="B131" s="5"/>
      <c r="C131" s="5"/>
      <c r="D131" s="5"/>
      <c r="E131" s="5"/>
      <c r="F131" s="5"/>
      <c r="G131" s="5"/>
      <c r="H131" s="5"/>
      <c r="I131" s="213"/>
      <c r="J131" s="213"/>
      <c r="K131" s="213"/>
      <c r="L131" s="213"/>
      <c r="M131" s="213"/>
      <c r="N131" s="213"/>
      <c r="O131" s="213"/>
      <c r="P131" s="213"/>
      <c r="Q131" s="213"/>
      <c r="R131" s="213"/>
      <c r="S131" s="213"/>
      <c r="T131" s="213"/>
    </row>
    <row r="132" spans="1:20" x14ac:dyDescent="0.2">
      <c r="A132" s="5"/>
      <c r="B132" s="5"/>
      <c r="C132" s="5"/>
      <c r="D132" s="5"/>
      <c r="E132" s="5"/>
      <c r="F132" s="5"/>
      <c r="G132" s="5"/>
      <c r="H132" s="5"/>
      <c r="I132" s="213"/>
      <c r="J132" s="213"/>
      <c r="K132" s="213"/>
      <c r="L132" s="213"/>
      <c r="M132" s="213"/>
      <c r="N132" s="213"/>
      <c r="O132" s="213"/>
      <c r="P132" s="213"/>
      <c r="Q132" s="213"/>
      <c r="R132" s="213"/>
      <c r="S132" s="213"/>
      <c r="T132" s="213"/>
    </row>
    <row r="133" spans="1:20" x14ac:dyDescent="0.2">
      <c r="A133" s="5"/>
      <c r="B133" s="5"/>
      <c r="C133" s="5"/>
      <c r="D133" s="5"/>
      <c r="E133" s="5"/>
      <c r="F133" s="5"/>
      <c r="G133" s="5"/>
      <c r="H133" s="5"/>
      <c r="I133" s="213"/>
      <c r="J133" s="213"/>
      <c r="K133" s="213"/>
      <c r="L133" s="213"/>
      <c r="M133" s="213"/>
      <c r="N133" s="213"/>
      <c r="O133" s="213"/>
      <c r="P133" s="213"/>
      <c r="Q133" s="213"/>
      <c r="R133" s="213"/>
      <c r="S133" s="213"/>
      <c r="T133" s="213"/>
    </row>
    <row r="134" spans="1:20" x14ac:dyDescent="0.2">
      <c r="A134" s="5"/>
      <c r="B134" s="5"/>
      <c r="C134" s="5"/>
      <c r="D134" s="5"/>
      <c r="E134" s="5"/>
      <c r="F134" s="5"/>
      <c r="G134" s="5"/>
      <c r="H134" s="5"/>
      <c r="I134" s="213"/>
      <c r="J134" s="213"/>
      <c r="K134" s="213"/>
      <c r="L134" s="213"/>
      <c r="M134" s="213"/>
      <c r="N134" s="213"/>
      <c r="O134" s="213"/>
      <c r="P134" s="213"/>
      <c r="Q134" s="213"/>
      <c r="R134" s="213"/>
      <c r="S134" s="213"/>
      <c r="T134" s="213"/>
    </row>
    <row r="135" spans="1:20" x14ac:dyDescent="0.2">
      <c r="A135" s="5"/>
      <c r="B135" s="5"/>
      <c r="C135" s="5"/>
      <c r="D135" s="5"/>
      <c r="E135" s="5"/>
      <c r="F135" s="5"/>
      <c r="G135" s="5"/>
      <c r="H135" s="5"/>
      <c r="I135" s="213"/>
      <c r="J135" s="213"/>
      <c r="K135" s="213"/>
      <c r="L135" s="213"/>
      <c r="M135" s="213"/>
      <c r="N135" s="213"/>
      <c r="O135" s="213"/>
      <c r="P135" s="213"/>
      <c r="Q135" s="213"/>
      <c r="R135" s="213"/>
      <c r="S135" s="213"/>
      <c r="T135" s="213"/>
    </row>
    <row r="136" spans="1:20" x14ac:dyDescent="0.2">
      <c r="A136" s="5"/>
      <c r="B136" s="5"/>
      <c r="C136" s="5"/>
      <c r="D136" s="5"/>
      <c r="E136" s="5"/>
      <c r="F136" s="5"/>
      <c r="G136" s="5"/>
      <c r="H136" s="5"/>
      <c r="I136" s="213"/>
      <c r="J136" s="213"/>
      <c r="K136" s="213"/>
      <c r="L136" s="213"/>
      <c r="M136" s="213"/>
      <c r="N136" s="213"/>
      <c r="O136" s="213"/>
      <c r="P136" s="213"/>
      <c r="Q136" s="213"/>
      <c r="R136" s="213"/>
      <c r="S136" s="213"/>
      <c r="T136" s="213"/>
    </row>
    <row r="137" spans="1:20" x14ac:dyDescent="0.2">
      <c r="A137" s="5"/>
      <c r="B137" s="5"/>
      <c r="C137" s="5"/>
      <c r="D137" s="5"/>
      <c r="E137" s="5"/>
      <c r="F137" s="5"/>
      <c r="G137" s="5"/>
      <c r="H137" s="5"/>
      <c r="I137" s="213"/>
      <c r="J137" s="213"/>
      <c r="K137" s="213"/>
      <c r="L137" s="213"/>
      <c r="M137" s="213"/>
      <c r="N137" s="213"/>
      <c r="O137" s="213"/>
      <c r="P137" s="213"/>
      <c r="Q137" s="213"/>
      <c r="R137" s="213"/>
      <c r="S137" s="213"/>
      <c r="T137" s="213"/>
    </row>
    <row r="138" spans="1:20" x14ac:dyDescent="0.2">
      <c r="A138" s="5"/>
      <c r="B138" s="5"/>
      <c r="C138" s="5"/>
      <c r="D138" s="5"/>
      <c r="E138" s="5"/>
      <c r="F138" s="5"/>
      <c r="G138" s="5"/>
      <c r="H138" s="5"/>
      <c r="I138" s="213"/>
      <c r="J138" s="213"/>
      <c r="K138" s="213"/>
      <c r="L138" s="213"/>
      <c r="M138" s="213"/>
      <c r="N138" s="213"/>
      <c r="O138" s="213"/>
      <c r="P138" s="213"/>
      <c r="Q138" s="213"/>
      <c r="R138" s="213"/>
      <c r="S138" s="213"/>
      <c r="T138" s="213"/>
    </row>
    <row r="139" spans="1:20" x14ac:dyDescent="0.2">
      <c r="A139" s="5"/>
      <c r="B139" s="5"/>
      <c r="C139" s="5"/>
      <c r="D139" s="5"/>
      <c r="E139" s="5"/>
      <c r="F139" s="5"/>
      <c r="G139" s="5"/>
      <c r="H139" s="5"/>
      <c r="I139" s="213"/>
      <c r="J139" s="213"/>
      <c r="K139" s="213"/>
      <c r="L139" s="213"/>
      <c r="M139" s="213"/>
      <c r="N139" s="213"/>
      <c r="O139" s="213"/>
      <c r="P139" s="213"/>
      <c r="Q139" s="213"/>
      <c r="R139" s="213"/>
      <c r="S139" s="213"/>
      <c r="T139" s="213"/>
    </row>
    <row r="140" spans="1:20" x14ac:dyDescent="0.2">
      <c r="A140" s="5"/>
      <c r="B140" s="5"/>
      <c r="C140" s="5"/>
      <c r="D140" s="5"/>
      <c r="E140" s="5"/>
      <c r="F140" s="5"/>
      <c r="G140" s="5"/>
      <c r="H140" s="5"/>
      <c r="I140" s="213"/>
      <c r="J140" s="213"/>
      <c r="K140" s="213"/>
      <c r="L140" s="213"/>
      <c r="M140" s="213"/>
      <c r="N140" s="213"/>
      <c r="O140" s="213"/>
      <c r="P140" s="213"/>
      <c r="Q140" s="213"/>
      <c r="R140" s="213"/>
      <c r="S140" s="213"/>
      <c r="T140" s="213"/>
    </row>
    <row r="141" spans="1:20" x14ac:dyDescent="0.2">
      <c r="A141" s="5"/>
      <c r="B141" s="5"/>
      <c r="C141" s="5"/>
      <c r="D141" s="5"/>
      <c r="E141" s="5"/>
      <c r="F141" s="5"/>
      <c r="G141" s="5"/>
      <c r="H141" s="5"/>
      <c r="I141" s="213"/>
      <c r="J141" s="213"/>
      <c r="K141" s="213"/>
      <c r="L141" s="213"/>
      <c r="M141" s="213"/>
      <c r="N141" s="213"/>
      <c r="O141" s="213"/>
      <c r="P141" s="213"/>
      <c r="Q141" s="213"/>
      <c r="R141" s="213"/>
      <c r="S141" s="213"/>
      <c r="T141" s="213"/>
    </row>
    <row r="142" spans="1:20" x14ac:dyDescent="0.2">
      <c r="A142" s="5"/>
      <c r="B142" s="5"/>
      <c r="C142" s="5"/>
      <c r="D142" s="5"/>
      <c r="E142" s="5"/>
      <c r="F142" s="5"/>
      <c r="G142" s="5"/>
      <c r="H142" s="5"/>
      <c r="I142" s="213"/>
      <c r="J142" s="213"/>
      <c r="K142" s="213"/>
      <c r="L142" s="213"/>
      <c r="M142" s="213"/>
      <c r="N142" s="213"/>
      <c r="O142" s="213"/>
      <c r="P142" s="213"/>
      <c r="Q142" s="213"/>
      <c r="R142" s="213"/>
      <c r="S142" s="213"/>
      <c r="T142" s="213"/>
    </row>
    <row r="143" spans="1:20" x14ac:dyDescent="0.2">
      <c r="A143" s="5"/>
      <c r="B143" s="5"/>
      <c r="C143" s="5"/>
      <c r="D143" s="5"/>
      <c r="E143" s="5"/>
      <c r="F143" s="5"/>
      <c r="G143" s="5"/>
      <c r="H143" s="5"/>
      <c r="I143" s="213"/>
      <c r="J143" s="213"/>
      <c r="K143" s="213"/>
      <c r="L143" s="213"/>
      <c r="M143" s="213"/>
      <c r="N143" s="213"/>
      <c r="O143" s="213"/>
      <c r="P143" s="213"/>
      <c r="Q143" s="213"/>
      <c r="R143" s="213"/>
      <c r="S143" s="213"/>
      <c r="T143" s="213"/>
    </row>
    <row r="144" spans="1:20" x14ac:dyDescent="0.2">
      <c r="A144" s="5"/>
      <c r="B144" s="5"/>
      <c r="C144" s="5"/>
      <c r="D144" s="5"/>
      <c r="E144" s="5"/>
      <c r="F144" s="5"/>
      <c r="G144" s="5"/>
      <c r="H144" s="5"/>
      <c r="I144" s="213"/>
      <c r="J144" s="213"/>
      <c r="K144" s="213"/>
      <c r="L144" s="213"/>
      <c r="M144" s="213"/>
      <c r="N144" s="213"/>
      <c r="O144" s="213"/>
      <c r="P144" s="213"/>
      <c r="Q144" s="213"/>
      <c r="R144" s="213"/>
      <c r="S144" s="213"/>
      <c r="T144" s="213"/>
    </row>
    <row r="145" spans="1:20" x14ac:dyDescent="0.2">
      <c r="A145" s="5"/>
      <c r="B145" s="5"/>
      <c r="C145" s="5"/>
      <c r="D145" s="5"/>
      <c r="E145" s="5"/>
      <c r="F145" s="5"/>
      <c r="G145" s="5"/>
      <c r="H145" s="5"/>
      <c r="I145" s="213"/>
      <c r="J145" s="213"/>
      <c r="K145" s="213"/>
      <c r="L145" s="213"/>
      <c r="M145" s="213"/>
      <c r="N145" s="213"/>
      <c r="O145" s="213"/>
      <c r="P145" s="213"/>
      <c r="Q145" s="213"/>
      <c r="R145" s="213"/>
      <c r="S145" s="213"/>
      <c r="T145" s="213"/>
    </row>
    <row r="146" spans="1:20" x14ac:dyDescent="0.2">
      <c r="A146" s="5"/>
      <c r="B146" s="5"/>
      <c r="C146" s="5"/>
      <c r="D146" s="5"/>
      <c r="E146" s="5"/>
      <c r="F146" s="5"/>
      <c r="G146" s="5"/>
      <c r="H146" s="5"/>
      <c r="I146" s="213"/>
      <c r="J146" s="213"/>
      <c r="K146" s="213"/>
      <c r="L146" s="213"/>
      <c r="M146" s="213"/>
      <c r="N146" s="213"/>
      <c r="O146" s="213"/>
      <c r="P146" s="213"/>
      <c r="Q146" s="213"/>
      <c r="R146" s="213"/>
      <c r="S146" s="213"/>
      <c r="T146" s="213"/>
    </row>
    <row r="147" spans="1:20" x14ac:dyDescent="0.2">
      <c r="A147" s="5"/>
      <c r="B147" s="5"/>
      <c r="C147" s="5"/>
      <c r="D147" s="5"/>
      <c r="E147" s="5"/>
      <c r="F147" s="5"/>
      <c r="G147" s="5"/>
      <c r="H147" s="5"/>
      <c r="I147" s="213"/>
      <c r="J147" s="213"/>
      <c r="K147" s="213"/>
      <c r="L147" s="213"/>
      <c r="M147" s="213"/>
      <c r="N147" s="213"/>
      <c r="O147" s="213"/>
      <c r="P147" s="213"/>
      <c r="Q147" s="213"/>
      <c r="R147" s="213"/>
      <c r="S147" s="213"/>
      <c r="T147" s="213"/>
    </row>
    <row r="148" spans="1:20" x14ac:dyDescent="0.2">
      <c r="A148" s="5"/>
      <c r="B148" s="5"/>
      <c r="C148" s="5"/>
      <c r="D148" s="5"/>
      <c r="E148" s="5"/>
      <c r="F148" s="5"/>
      <c r="G148" s="5"/>
      <c r="H148" s="5"/>
      <c r="I148" s="213"/>
      <c r="J148" s="213"/>
      <c r="K148" s="213"/>
      <c r="L148" s="213"/>
      <c r="M148" s="213"/>
      <c r="N148" s="213"/>
      <c r="O148" s="213"/>
      <c r="P148" s="213"/>
      <c r="Q148" s="213"/>
      <c r="R148" s="213"/>
      <c r="S148" s="213"/>
      <c r="T148" s="213"/>
    </row>
    <row r="149" spans="1:20" x14ac:dyDescent="0.2">
      <c r="A149" s="5"/>
      <c r="B149" s="5"/>
      <c r="C149" s="5"/>
      <c r="D149" s="5"/>
      <c r="E149" s="5"/>
      <c r="F149" s="5"/>
      <c r="G149" s="5"/>
      <c r="H149" s="5"/>
      <c r="I149" s="213"/>
      <c r="J149" s="213"/>
      <c r="K149" s="213"/>
      <c r="L149" s="213"/>
      <c r="M149" s="213"/>
      <c r="N149" s="213"/>
      <c r="O149" s="213"/>
      <c r="P149" s="213"/>
      <c r="Q149" s="213"/>
      <c r="R149" s="213"/>
      <c r="S149" s="213"/>
      <c r="T149" s="213"/>
    </row>
    <row r="150" spans="1:20" x14ac:dyDescent="0.2">
      <c r="A150" s="5"/>
      <c r="B150" s="5"/>
      <c r="C150" s="5"/>
      <c r="D150" s="5"/>
      <c r="E150" s="5"/>
      <c r="F150" s="5"/>
      <c r="G150" s="5"/>
      <c r="H150" s="5"/>
      <c r="I150" s="213"/>
      <c r="J150" s="213"/>
      <c r="K150" s="213"/>
      <c r="L150" s="213"/>
      <c r="M150" s="213"/>
      <c r="N150" s="213"/>
      <c r="O150" s="213"/>
      <c r="P150" s="213"/>
      <c r="Q150" s="213"/>
      <c r="R150" s="213"/>
      <c r="S150" s="213"/>
      <c r="T150" s="213"/>
    </row>
    <row r="151" spans="1:20" x14ac:dyDescent="0.2">
      <c r="A151" s="5"/>
      <c r="B151" s="5"/>
      <c r="C151" s="5"/>
      <c r="D151" s="5"/>
      <c r="E151" s="5"/>
      <c r="F151" s="5"/>
      <c r="G151" s="5"/>
      <c r="H151" s="5"/>
      <c r="I151" s="213"/>
      <c r="J151" s="213"/>
      <c r="K151" s="213"/>
      <c r="L151" s="213"/>
      <c r="M151" s="213"/>
      <c r="N151" s="213"/>
      <c r="O151" s="213"/>
      <c r="P151" s="213"/>
      <c r="Q151" s="213"/>
      <c r="R151" s="213"/>
      <c r="S151" s="213"/>
      <c r="T151" s="213"/>
    </row>
    <row r="152" spans="1:20" x14ac:dyDescent="0.2">
      <c r="A152" s="5"/>
      <c r="B152" s="5"/>
      <c r="C152" s="5"/>
      <c r="D152" s="5"/>
      <c r="E152" s="5"/>
      <c r="F152" s="5"/>
      <c r="G152" s="5"/>
      <c r="H152" s="5"/>
      <c r="I152" s="213"/>
      <c r="J152" s="213"/>
      <c r="K152" s="213"/>
      <c r="L152" s="213"/>
      <c r="M152" s="213"/>
      <c r="N152" s="213"/>
      <c r="O152" s="213"/>
      <c r="P152" s="213"/>
      <c r="Q152" s="213"/>
      <c r="R152" s="213"/>
      <c r="S152" s="213"/>
      <c r="T152" s="213"/>
    </row>
    <row r="153" spans="1:20" x14ac:dyDescent="0.2">
      <c r="A153" s="5"/>
      <c r="B153" s="5"/>
      <c r="C153" s="5"/>
      <c r="D153" s="5"/>
      <c r="E153" s="5"/>
      <c r="F153" s="5"/>
      <c r="G153" s="5"/>
      <c r="H153" s="5"/>
      <c r="I153" s="213"/>
      <c r="J153" s="213"/>
      <c r="K153" s="213"/>
      <c r="L153" s="213"/>
      <c r="M153" s="213"/>
      <c r="N153" s="213"/>
      <c r="O153" s="213"/>
      <c r="P153" s="213"/>
      <c r="Q153" s="213"/>
      <c r="R153" s="213"/>
      <c r="S153" s="213"/>
      <c r="T153" s="213"/>
    </row>
    <row r="154" spans="1:20" x14ac:dyDescent="0.2">
      <c r="A154" s="5"/>
      <c r="B154" s="5"/>
      <c r="C154" s="5"/>
      <c r="D154" s="5"/>
      <c r="E154" s="5"/>
      <c r="F154" s="5"/>
      <c r="G154" s="5"/>
      <c r="H154" s="5"/>
      <c r="I154" s="213"/>
      <c r="J154" s="213"/>
      <c r="K154" s="213"/>
      <c r="L154" s="213"/>
      <c r="M154" s="213"/>
      <c r="N154" s="213"/>
      <c r="O154" s="213"/>
      <c r="P154" s="213"/>
      <c r="Q154" s="213"/>
      <c r="R154" s="213"/>
      <c r="S154" s="213"/>
      <c r="T154" s="213"/>
    </row>
    <row r="155" spans="1:20" x14ac:dyDescent="0.2">
      <c r="A155" s="5"/>
      <c r="B155" s="5"/>
      <c r="C155" s="5"/>
      <c r="D155" s="5"/>
      <c r="E155" s="5"/>
      <c r="F155" s="5"/>
      <c r="G155" s="5"/>
      <c r="H155" s="5"/>
      <c r="I155" s="213"/>
      <c r="J155" s="213"/>
      <c r="K155" s="213"/>
      <c r="L155" s="213"/>
      <c r="M155" s="213"/>
      <c r="N155" s="213"/>
      <c r="O155" s="213"/>
      <c r="P155" s="213"/>
      <c r="Q155" s="213"/>
      <c r="R155" s="213"/>
      <c r="S155" s="213"/>
      <c r="T155" s="213"/>
    </row>
    <row r="156" spans="1:20" x14ac:dyDescent="0.2">
      <c r="A156" s="5"/>
      <c r="B156" s="5"/>
      <c r="C156" s="5"/>
      <c r="D156" s="5"/>
      <c r="E156" s="5"/>
      <c r="F156" s="5"/>
      <c r="G156" s="5"/>
      <c r="H156" s="5"/>
      <c r="I156" s="213"/>
      <c r="J156" s="213"/>
      <c r="K156" s="213"/>
      <c r="L156" s="213"/>
      <c r="M156" s="213"/>
      <c r="N156" s="213"/>
      <c r="O156" s="213"/>
      <c r="P156" s="213"/>
      <c r="Q156" s="213"/>
      <c r="R156" s="213"/>
      <c r="S156" s="213"/>
      <c r="T156" s="213"/>
    </row>
    <row r="157" spans="1:20" x14ac:dyDescent="0.2">
      <c r="A157" s="5"/>
      <c r="B157" s="5"/>
      <c r="C157" s="5"/>
      <c r="D157" s="5"/>
      <c r="E157" s="5"/>
      <c r="F157" s="5"/>
      <c r="G157" s="5"/>
      <c r="H157" s="5"/>
      <c r="I157" s="213"/>
      <c r="J157" s="213"/>
      <c r="K157" s="213"/>
      <c r="L157" s="213"/>
      <c r="M157" s="213"/>
      <c r="N157" s="213"/>
      <c r="O157" s="213"/>
      <c r="P157" s="213"/>
      <c r="Q157" s="213"/>
      <c r="R157" s="213"/>
      <c r="S157" s="213"/>
      <c r="T157" s="213"/>
    </row>
    <row r="158" spans="1:20" x14ac:dyDescent="0.2">
      <c r="A158" s="5"/>
      <c r="B158" s="5"/>
      <c r="C158" s="5"/>
      <c r="D158" s="5"/>
      <c r="E158" s="5"/>
      <c r="F158" s="5"/>
      <c r="G158" s="5"/>
      <c r="H158" s="5"/>
      <c r="I158" s="213"/>
      <c r="J158" s="213"/>
      <c r="K158" s="213"/>
      <c r="L158" s="213"/>
      <c r="M158" s="213"/>
      <c r="N158" s="213"/>
      <c r="O158" s="213"/>
      <c r="P158" s="213"/>
      <c r="Q158" s="213"/>
      <c r="R158" s="213"/>
      <c r="S158" s="213"/>
      <c r="T158" s="213"/>
    </row>
    <row r="159" spans="1:20" x14ac:dyDescent="0.2">
      <c r="A159" s="5"/>
      <c r="B159" s="5"/>
      <c r="C159" s="5"/>
      <c r="D159" s="5"/>
      <c r="E159" s="5"/>
      <c r="F159" s="5"/>
      <c r="G159" s="5"/>
      <c r="H159" s="5"/>
      <c r="I159" s="213"/>
      <c r="J159" s="213"/>
      <c r="K159" s="213"/>
      <c r="L159" s="213"/>
      <c r="M159" s="213"/>
      <c r="N159" s="213"/>
      <c r="O159" s="213"/>
      <c r="P159" s="213"/>
      <c r="Q159" s="213"/>
      <c r="R159" s="213"/>
      <c r="S159" s="213"/>
      <c r="T159" s="213"/>
    </row>
    <row r="160" spans="1:20" x14ac:dyDescent="0.2">
      <c r="A160" s="5"/>
      <c r="B160" s="5"/>
      <c r="C160" s="5"/>
      <c r="D160" s="5"/>
      <c r="E160" s="5"/>
      <c r="F160" s="5"/>
      <c r="G160" s="5"/>
      <c r="H160" s="5"/>
      <c r="I160" s="213"/>
      <c r="J160" s="213"/>
      <c r="K160" s="213"/>
      <c r="L160" s="213"/>
      <c r="M160" s="213"/>
      <c r="N160" s="213"/>
      <c r="O160" s="213"/>
      <c r="P160" s="213"/>
      <c r="Q160" s="213"/>
      <c r="R160" s="213"/>
      <c r="S160" s="213"/>
      <c r="T160" s="213"/>
    </row>
    <row r="161" spans="1:20" x14ac:dyDescent="0.2">
      <c r="A161" s="5"/>
      <c r="B161" s="5"/>
      <c r="C161" s="5"/>
      <c r="D161" s="5"/>
      <c r="E161" s="5"/>
      <c r="F161" s="5"/>
      <c r="G161" s="5"/>
      <c r="H161" s="5"/>
      <c r="I161" s="213"/>
      <c r="J161" s="213"/>
      <c r="K161" s="213"/>
      <c r="L161" s="213"/>
      <c r="M161" s="213"/>
      <c r="N161" s="213"/>
      <c r="O161" s="213"/>
      <c r="P161" s="213"/>
      <c r="Q161" s="213"/>
      <c r="R161" s="213"/>
      <c r="S161" s="213"/>
      <c r="T161" s="213"/>
    </row>
    <row r="162" spans="1:20" x14ac:dyDescent="0.2">
      <c r="A162" s="5"/>
      <c r="B162" s="5"/>
      <c r="C162" s="5"/>
      <c r="D162" s="5"/>
      <c r="E162" s="5"/>
      <c r="F162" s="5"/>
      <c r="G162" s="5"/>
      <c r="H162" s="5"/>
      <c r="I162" s="213"/>
      <c r="J162" s="213"/>
      <c r="K162" s="213"/>
      <c r="L162" s="213"/>
      <c r="M162" s="213"/>
      <c r="N162" s="213"/>
      <c r="O162" s="213"/>
      <c r="P162" s="213"/>
      <c r="Q162" s="213"/>
      <c r="R162" s="213"/>
      <c r="S162" s="213"/>
      <c r="T162" s="213"/>
    </row>
    <row r="163" spans="1:20" x14ac:dyDescent="0.2">
      <c r="A163" s="5"/>
      <c r="B163" s="5"/>
      <c r="C163" s="5"/>
      <c r="D163" s="5"/>
      <c r="E163" s="5"/>
      <c r="F163" s="5"/>
      <c r="G163" s="5"/>
      <c r="H163" s="5"/>
      <c r="I163" s="213"/>
      <c r="J163" s="213"/>
      <c r="K163" s="213"/>
      <c r="L163" s="213"/>
      <c r="M163" s="213"/>
      <c r="N163" s="213"/>
      <c r="O163" s="213"/>
      <c r="P163" s="213"/>
      <c r="Q163" s="213"/>
      <c r="R163" s="213"/>
      <c r="S163" s="213"/>
      <c r="T163" s="213"/>
    </row>
    <row r="164" spans="1:20" x14ac:dyDescent="0.2">
      <c r="A164" s="5"/>
      <c r="B164" s="5"/>
      <c r="C164" s="5"/>
      <c r="D164" s="5"/>
      <c r="E164" s="5"/>
      <c r="F164" s="5"/>
      <c r="G164" s="5"/>
      <c r="H164" s="5"/>
      <c r="I164" s="213"/>
      <c r="J164" s="213"/>
      <c r="K164" s="213"/>
      <c r="L164" s="213"/>
      <c r="M164" s="213"/>
      <c r="N164" s="213"/>
      <c r="O164" s="213"/>
      <c r="P164" s="213"/>
      <c r="Q164" s="213"/>
      <c r="R164" s="213"/>
      <c r="S164" s="213"/>
      <c r="T164" s="213"/>
    </row>
    <row r="165" spans="1:20" x14ac:dyDescent="0.2">
      <c r="A165" s="5"/>
      <c r="B165" s="5"/>
      <c r="C165" s="5"/>
      <c r="D165" s="5"/>
      <c r="E165" s="5"/>
      <c r="F165" s="5"/>
      <c r="G165" s="5"/>
      <c r="H165" s="5"/>
      <c r="I165" s="213"/>
      <c r="J165" s="213"/>
      <c r="K165" s="213"/>
      <c r="L165" s="213"/>
      <c r="M165" s="213"/>
      <c r="N165" s="213"/>
      <c r="O165" s="213"/>
      <c r="P165" s="213"/>
      <c r="Q165" s="213"/>
      <c r="R165" s="213"/>
      <c r="S165" s="213"/>
      <c r="T165" s="213"/>
    </row>
    <row r="166" spans="1:20" x14ac:dyDescent="0.2">
      <c r="A166" s="5"/>
      <c r="B166" s="5"/>
      <c r="C166" s="5"/>
      <c r="D166" s="5"/>
      <c r="E166" s="5"/>
      <c r="F166" s="5"/>
      <c r="G166" s="5"/>
      <c r="H166" s="5"/>
      <c r="I166" s="213"/>
      <c r="J166" s="213"/>
      <c r="K166" s="213"/>
      <c r="L166" s="213"/>
      <c r="M166" s="213"/>
      <c r="N166" s="213"/>
      <c r="O166" s="213"/>
      <c r="P166" s="213"/>
      <c r="Q166" s="213"/>
      <c r="R166" s="213"/>
      <c r="S166" s="213"/>
      <c r="T166" s="213"/>
    </row>
    <row r="167" spans="1:20" x14ac:dyDescent="0.2">
      <c r="A167" s="5"/>
      <c r="B167" s="5"/>
      <c r="C167" s="5"/>
      <c r="D167" s="5"/>
      <c r="E167" s="5"/>
      <c r="F167" s="5"/>
      <c r="G167" s="5"/>
      <c r="H167" s="5"/>
      <c r="I167" s="213"/>
      <c r="J167" s="213"/>
      <c r="K167" s="213"/>
      <c r="L167" s="213"/>
      <c r="M167" s="213"/>
      <c r="N167" s="213"/>
      <c r="O167" s="213"/>
      <c r="P167" s="213"/>
      <c r="Q167" s="213"/>
      <c r="R167" s="213"/>
      <c r="S167" s="213"/>
      <c r="T167" s="213"/>
    </row>
    <row r="168" spans="1:20" x14ac:dyDescent="0.2">
      <c r="A168" s="5"/>
      <c r="B168" s="5"/>
      <c r="C168" s="5"/>
      <c r="D168" s="5"/>
      <c r="E168" s="5"/>
      <c r="F168" s="5"/>
      <c r="G168" s="5"/>
      <c r="H168" s="5"/>
      <c r="I168" s="213"/>
      <c r="J168" s="213"/>
      <c r="K168" s="213"/>
      <c r="L168" s="213"/>
      <c r="M168" s="213"/>
      <c r="N168" s="213"/>
      <c r="O168" s="213"/>
      <c r="P168" s="213"/>
      <c r="Q168" s="213"/>
      <c r="R168" s="213"/>
      <c r="S168" s="213"/>
      <c r="T168" s="213"/>
    </row>
    <row r="169" spans="1:20" x14ac:dyDescent="0.2">
      <c r="A169" s="5"/>
      <c r="B169" s="5"/>
      <c r="C169" s="5"/>
      <c r="D169" s="5"/>
      <c r="E169" s="5"/>
      <c r="F169" s="5"/>
      <c r="G169" s="5"/>
      <c r="H169" s="5"/>
      <c r="I169" s="213"/>
      <c r="J169" s="213"/>
      <c r="K169" s="213"/>
      <c r="L169" s="213"/>
      <c r="M169" s="213"/>
      <c r="N169" s="213"/>
      <c r="O169" s="213"/>
      <c r="P169" s="213"/>
      <c r="Q169" s="213"/>
      <c r="R169" s="213"/>
      <c r="S169" s="213"/>
      <c r="T169" s="213"/>
    </row>
    <row r="170" spans="1:20" x14ac:dyDescent="0.2">
      <c r="A170" s="5"/>
      <c r="B170" s="5"/>
      <c r="C170" s="5"/>
      <c r="D170" s="5"/>
      <c r="E170" s="5"/>
      <c r="F170" s="5"/>
      <c r="G170" s="5"/>
      <c r="H170" s="5"/>
      <c r="I170" s="213"/>
      <c r="J170" s="213"/>
      <c r="K170" s="213"/>
      <c r="L170" s="213"/>
      <c r="M170" s="213"/>
      <c r="N170" s="213"/>
      <c r="O170" s="213"/>
      <c r="P170" s="213"/>
      <c r="Q170" s="213"/>
      <c r="R170" s="213"/>
      <c r="S170" s="213"/>
      <c r="T170" s="213"/>
    </row>
    <row r="171" spans="1:20" x14ac:dyDescent="0.2">
      <c r="A171" s="5"/>
      <c r="B171" s="5"/>
      <c r="C171" s="5"/>
      <c r="D171" s="5"/>
      <c r="E171" s="5"/>
      <c r="F171" s="5"/>
      <c r="G171" s="5"/>
      <c r="H171" s="5"/>
      <c r="I171" s="213"/>
      <c r="J171" s="213"/>
      <c r="K171" s="213"/>
      <c r="L171" s="213"/>
      <c r="M171" s="213"/>
      <c r="N171" s="213"/>
      <c r="O171" s="213"/>
      <c r="P171" s="213"/>
      <c r="Q171" s="213"/>
      <c r="R171" s="213"/>
      <c r="S171" s="213"/>
      <c r="T171" s="213"/>
    </row>
    <row r="172" spans="1:20" x14ac:dyDescent="0.2">
      <c r="A172" s="5"/>
      <c r="B172" s="5"/>
      <c r="C172" s="5"/>
      <c r="D172" s="5"/>
      <c r="E172" s="5"/>
      <c r="F172" s="5"/>
      <c r="G172" s="5"/>
      <c r="H172" s="5"/>
      <c r="I172" s="213"/>
      <c r="J172" s="213"/>
      <c r="K172" s="213"/>
      <c r="L172" s="213"/>
      <c r="M172" s="213"/>
      <c r="N172" s="213"/>
      <c r="O172" s="213"/>
      <c r="P172" s="213"/>
      <c r="Q172" s="213"/>
      <c r="R172" s="213"/>
      <c r="S172" s="213"/>
      <c r="T172" s="213"/>
    </row>
    <row r="173" spans="1:20" x14ac:dyDescent="0.2">
      <c r="A173" s="5"/>
      <c r="B173" s="5"/>
      <c r="C173" s="5"/>
      <c r="D173" s="5"/>
      <c r="E173" s="5"/>
      <c r="F173" s="5"/>
      <c r="G173" s="5"/>
      <c r="H173" s="5"/>
      <c r="I173" s="213"/>
      <c r="J173" s="213"/>
      <c r="K173" s="213"/>
      <c r="L173" s="213"/>
      <c r="M173" s="213"/>
      <c r="N173" s="213"/>
      <c r="O173" s="213"/>
      <c r="P173" s="213"/>
      <c r="Q173" s="213"/>
      <c r="R173" s="213"/>
      <c r="S173" s="213"/>
      <c r="T173" s="213"/>
    </row>
    <row r="174" spans="1:20" x14ac:dyDescent="0.2">
      <c r="A174" s="5"/>
      <c r="B174" s="5"/>
      <c r="C174" s="5"/>
      <c r="D174" s="5"/>
      <c r="E174" s="5"/>
      <c r="F174" s="5"/>
      <c r="G174" s="5"/>
      <c r="H174" s="5"/>
      <c r="I174" s="213"/>
      <c r="J174" s="213"/>
      <c r="K174" s="213"/>
      <c r="L174" s="213"/>
      <c r="M174" s="213"/>
      <c r="N174" s="213"/>
      <c r="O174" s="213"/>
      <c r="P174" s="213"/>
      <c r="Q174" s="213"/>
      <c r="R174" s="213"/>
      <c r="S174" s="213"/>
      <c r="T174" s="213"/>
    </row>
    <row r="175" spans="1:20" x14ac:dyDescent="0.2">
      <c r="A175" s="5"/>
      <c r="B175" s="5"/>
      <c r="C175" s="5"/>
      <c r="D175" s="5"/>
      <c r="E175" s="5"/>
      <c r="F175" s="5"/>
      <c r="G175" s="5"/>
      <c r="H175" s="5"/>
      <c r="I175" s="213"/>
      <c r="J175" s="213"/>
      <c r="K175" s="213"/>
      <c r="L175" s="213"/>
      <c r="M175" s="213"/>
      <c r="N175" s="213"/>
      <c r="O175" s="213"/>
      <c r="P175" s="213"/>
      <c r="Q175" s="213"/>
      <c r="R175" s="213"/>
      <c r="S175" s="213"/>
      <c r="T175" s="213"/>
    </row>
    <row r="176" spans="1:20" x14ac:dyDescent="0.2">
      <c r="A176" s="5"/>
      <c r="B176" s="5"/>
      <c r="C176" s="5"/>
      <c r="D176" s="5"/>
      <c r="E176" s="5"/>
      <c r="F176" s="5"/>
      <c r="G176" s="5"/>
      <c r="H176" s="5"/>
      <c r="I176" s="213"/>
      <c r="J176" s="213"/>
      <c r="K176" s="213"/>
      <c r="L176" s="213"/>
      <c r="M176" s="213"/>
      <c r="N176" s="213"/>
      <c r="O176" s="213"/>
      <c r="P176" s="213"/>
      <c r="Q176" s="213"/>
      <c r="R176" s="213"/>
      <c r="S176" s="213"/>
      <c r="T176" s="213"/>
    </row>
    <row r="177" spans="1:20" x14ac:dyDescent="0.2">
      <c r="A177" s="5"/>
      <c r="B177" s="5"/>
      <c r="C177" s="5"/>
      <c r="D177" s="5"/>
      <c r="E177" s="5"/>
      <c r="F177" s="5"/>
      <c r="G177" s="5"/>
      <c r="H177" s="5"/>
      <c r="I177" s="213"/>
      <c r="J177" s="213"/>
      <c r="K177" s="213"/>
      <c r="L177" s="213"/>
      <c r="M177" s="213"/>
      <c r="N177" s="213"/>
      <c r="O177" s="213"/>
      <c r="P177" s="213"/>
      <c r="Q177" s="213"/>
      <c r="R177" s="213"/>
      <c r="S177" s="213"/>
      <c r="T177" s="213"/>
    </row>
    <row r="178" spans="1:20" x14ac:dyDescent="0.2">
      <c r="A178" s="5"/>
      <c r="B178" s="5"/>
      <c r="C178" s="5"/>
      <c r="D178" s="5"/>
      <c r="E178" s="5"/>
      <c r="F178" s="5"/>
      <c r="G178" s="5"/>
      <c r="H178" s="5"/>
      <c r="I178" s="213"/>
      <c r="J178" s="213"/>
      <c r="K178" s="213"/>
      <c r="L178" s="213"/>
      <c r="M178" s="213"/>
      <c r="N178" s="213"/>
      <c r="O178" s="213"/>
      <c r="P178" s="213"/>
      <c r="Q178" s="213"/>
      <c r="R178" s="213"/>
      <c r="S178" s="213"/>
      <c r="T178" s="213"/>
    </row>
    <row r="179" spans="1:20" x14ac:dyDescent="0.2">
      <c r="A179" s="5"/>
      <c r="B179" s="5"/>
      <c r="C179" s="5"/>
      <c r="D179" s="5"/>
      <c r="E179" s="5"/>
      <c r="F179" s="5"/>
      <c r="G179" s="5"/>
      <c r="H179" s="5"/>
      <c r="I179" s="213"/>
      <c r="J179" s="213"/>
      <c r="K179" s="213"/>
      <c r="L179" s="213"/>
      <c r="M179" s="213"/>
      <c r="N179" s="213"/>
      <c r="O179" s="213"/>
      <c r="P179" s="213"/>
      <c r="Q179" s="213"/>
      <c r="R179" s="213"/>
      <c r="S179" s="213"/>
      <c r="T179" s="213"/>
    </row>
    <row r="180" spans="1:20" x14ac:dyDescent="0.2">
      <c r="A180" s="5"/>
      <c r="B180" s="5"/>
      <c r="C180" s="5"/>
      <c r="D180" s="5"/>
      <c r="E180" s="5"/>
      <c r="F180" s="5"/>
      <c r="G180" s="5"/>
      <c r="H180" s="5"/>
      <c r="I180" s="213"/>
      <c r="J180" s="213"/>
      <c r="K180" s="213"/>
      <c r="L180" s="213"/>
      <c r="M180" s="213"/>
      <c r="N180" s="213"/>
      <c r="O180" s="213"/>
      <c r="P180" s="213"/>
      <c r="Q180" s="213"/>
      <c r="R180" s="213"/>
      <c r="S180" s="213"/>
      <c r="T180" s="213"/>
    </row>
    <row r="181" spans="1:20" x14ac:dyDescent="0.2">
      <c r="A181" s="5"/>
      <c r="B181" s="5"/>
      <c r="C181" s="5"/>
      <c r="D181" s="5"/>
      <c r="E181" s="5"/>
      <c r="F181" s="5"/>
      <c r="G181" s="5"/>
      <c r="H181" s="5"/>
      <c r="I181" s="213"/>
      <c r="J181" s="213"/>
      <c r="K181" s="213"/>
      <c r="L181" s="213"/>
      <c r="M181" s="213"/>
      <c r="N181" s="213"/>
      <c r="O181" s="213"/>
      <c r="P181" s="213"/>
      <c r="Q181" s="213"/>
      <c r="R181" s="213"/>
      <c r="S181" s="213"/>
      <c r="T181" s="213"/>
    </row>
    <row r="182" spans="1:20" x14ac:dyDescent="0.2">
      <c r="A182" s="5"/>
      <c r="B182" s="5"/>
      <c r="C182" s="5"/>
      <c r="D182" s="5"/>
      <c r="E182" s="5"/>
      <c r="F182" s="5"/>
      <c r="G182" s="5"/>
      <c r="H182" s="5"/>
      <c r="I182" s="213"/>
      <c r="J182" s="213"/>
      <c r="K182" s="213"/>
      <c r="L182" s="213"/>
      <c r="M182" s="213"/>
      <c r="N182" s="213"/>
      <c r="O182" s="213"/>
      <c r="P182" s="213"/>
      <c r="Q182" s="213"/>
      <c r="R182" s="213"/>
      <c r="S182" s="213"/>
      <c r="T182" s="213"/>
    </row>
    <row r="183" spans="1:20" x14ac:dyDescent="0.2">
      <c r="A183" s="5"/>
      <c r="B183" s="5"/>
      <c r="C183" s="5"/>
      <c r="D183" s="5"/>
      <c r="E183" s="5"/>
      <c r="F183" s="5"/>
      <c r="G183" s="5"/>
      <c r="H183" s="5"/>
      <c r="I183" s="213"/>
      <c r="J183" s="213"/>
      <c r="K183" s="213"/>
      <c r="L183" s="213"/>
      <c r="M183" s="213"/>
      <c r="N183" s="213"/>
      <c r="O183" s="213"/>
      <c r="P183" s="213"/>
      <c r="Q183" s="213"/>
      <c r="R183" s="213"/>
      <c r="S183" s="213"/>
      <c r="T183" s="213"/>
    </row>
    <row r="184" spans="1:20" x14ac:dyDescent="0.2">
      <c r="A184" s="5"/>
      <c r="B184" s="5"/>
      <c r="C184" s="5"/>
      <c r="D184" s="5"/>
      <c r="E184" s="5"/>
      <c r="F184" s="5"/>
      <c r="G184" s="5"/>
      <c r="H184" s="5"/>
      <c r="I184" s="213"/>
      <c r="J184" s="213"/>
      <c r="K184" s="213"/>
      <c r="L184" s="213"/>
      <c r="M184" s="213"/>
      <c r="N184" s="213"/>
      <c r="O184" s="213"/>
      <c r="P184" s="213"/>
      <c r="Q184" s="213"/>
      <c r="R184" s="213"/>
      <c r="S184" s="213"/>
      <c r="T184" s="213"/>
    </row>
    <row r="185" spans="1:20" x14ac:dyDescent="0.2">
      <c r="A185" s="5"/>
      <c r="B185" s="5"/>
      <c r="C185" s="5"/>
      <c r="D185" s="5"/>
      <c r="E185" s="5"/>
      <c r="F185" s="5"/>
      <c r="G185" s="5"/>
      <c r="H185" s="5"/>
      <c r="I185" s="213"/>
      <c r="J185" s="213"/>
      <c r="K185" s="213"/>
      <c r="L185" s="213"/>
      <c r="M185" s="213"/>
      <c r="N185" s="213"/>
      <c r="O185" s="213"/>
      <c r="P185" s="213"/>
      <c r="Q185" s="213"/>
      <c r="R185" s="213"/>
      <c r="S185" s="213"/>
      <c r="T185" s="213"/>
    </row>
    <row r="186" spans="1:20" x14ac:dyDescent="0.2">
      <c r="A186" s="5"/>
      <c r="B186" s="5"/>
      <c r="C186" s="5"/>
      <c r="D186" s="5"/>
      <c r="E186" s="5"/>
      <c r="F186" s="5"/>
      <c r="G186" s="5"/>
      <c r="H186" s="5"/>
      <c r="I186" s="213"/>
      <c r="J186" s="213"/>
      <c r="K186" s="213"/>
      <c r="L186" s="213"/>
      <c r="M186" s="213"/>
      <c r="N186" s="213"/>
      <c r="O186" s="213"/>
      <c r="P186" s="213"/>
      <c r="Q186" s="213"/>
      <c r="R186" s="213"/>
      <c r="S186" s="213"/>
      <c r="T186" s="213"/>
    </row>
    <row r="187" spans="1:20" x14ac:dyDescent="0.2">
      <c r="A187" s="5"/>
      <c r="B187" s="5"/>
      <c r="C187" s="5"/>
      <c r="D187" s="5"/>
      <c r="E187" s="5"/>
      <c r="F187" s="5"/>
      <c r="G187" s="5"/>
      <c r="H187" s="5"/>
      <c r="I187" s="213"/>
      <c r="J187" s="213"/>
      <c r="K187" s="213"/>
      <c r="L187" s="213"/>
      <c r="M187" s="213"/>
      <c r="N187" s="213"/>
      <c r="O187" s="213"/>
      <c r="P187" s="213"/>
      <c r="Q187" s="213"/>
      <c r="R187" s="213"/>
      <c r="S187" s="213"/>
      <c r="T187" s="213"/>
    </row>
    <row r="188" spans="1:20" x14ac:dyDescent="0.2">
      <c r="A188" s="5"/>
      <c r="B188" s="5"/>
      <c r="C188" s="5"/>
      <c r="D188" s="5"/>
      <c r="E188" s="5"/>
      <c r="F188" s="5"/>
      <c r="G188" s="5"/>
      <c r="H188" s="5"/>
      <c r="I188" s="213"/>
      <c r="J188" s="213"/>
      <c r="K188" s="213"/>
      <c r="L188" s="213"/>
      <c r="M188" s="213"/>
      <c r="N188" s="213"/>
      <c r="O188" s="213"/>
      <c r="P188" s="213"/>
      <c r="Q188" s="213"/>
      <c r="R188" s="213"/>
      <c r="S188" s="213"/>
      <c r="T188" s="213"/>
    </row>
    <row r="189" spans="1:20" x14ac:dyDescent="0.2">
      <c r="A189" s="5"/>
      <c r="B189" s="5"/>
      <c r="C189" s="5"/>
      <c r="D189" s="5"/>
      <c r="E189" s="5"/>
      <c r="F189" s="5"/>
      <c r="G189" s="5"/>
      <c r="H189" s="5"/>
      <c r="I189" s="213"/>
      <c r="J189" s="213"/>
      <c r="K189" s="213"/>
      <c r="L189" s="213"/>
      <c r="M189" s="213"/>
      <c r="N189" s="213"/>
      <c r="O189" s="213"/>
      <c r="P189" s="213"/>
      <c r="Q189" s="213"/>
      <c r="R189" s="213"/>
      <c r="S189" s="213"/>
      <c r="T189" s="213"/>
    </row>
    <row r="190" spans="1:20" x14ac:dyDescent="0.2">
      <c r="A190" s="5"/>
      <c r="B190" s="5"/>
      <c r="C190" s="5"/>
      <c r="D190" s="5"/>
      <c r="E190" s="5"/>
      <c r="F190" s="5"/>
      <c r="G190" s="5"/>
      <c r="H190" s="5"/>
      <c r="I190" s="213"/>
      <c r="J190" s="213"/>
      <c r="K190" s="213"/>
      <c r="L190" s="213"/>
      <c r="M190" s="213"/>
      <c r="N190" s="213"/>
      <c r="O190" s="213"/>
      <c r="P190" s="213"/>
      <c r="Q190" s="213"/>
      <c r="R190" s="213"/>
      <c r="S190" s="213"/>
      <c r="T190" s="213"/>
    </row>
    <row r="191" spans="1:20" x14ac:dyDescent="0.2">
      <c r="A191" s="5"/>
      <c r="B191" s="5"/>
      <c r="C191" s="5"/>
      <c r="D191" s="5"/>
      <c r="E191" s="5"/>
      <c r="F191" s="5"/>
      <c r="G191" s="5"/>
      <c r="H191" s="5"/>
      <c r="I191" s="213"/>
      <c r="J191" s="213"/>
      <c r="K191" s="213"/>
      <c r="L191" s="213"/>
      <c r="M191" s="213"/>
      <c r="N191" s="213"/>
      <c r="O191" s="213"/>
      <c r="P191" s="213"/>
      <c r="Q191" s="213"/>
      <c r="R191" s="213"/>
      <c r="S191" s="213"/>
      <c r="T191" s="213"/>
    </row>
    <row r="192" spans="1:20" x14ac:dyDescent="0.2">
      <c r="A192" s="5"/>
      <c r="B192" s="5"/>
      <c r="C192" s="5"/>
      <c r="D192" s="5"/>
      <c r="E192" s="5"/>
      <c r="F192" s="5"/>
      <c r="G192" s="5"/>
      <c r="H192" s="5"/>
      <c r="I192" s="213"/>
      <c r="J192" s="213"/>
      <c r="K192" s="213"/>
      <c r="L192" s="213"/>
      <c r="M192" s="213"/>
      <c r="N192" s="213"/>
      <c r="O192" s="213"/>
      <c r="P192" s="213"/>
      <c r="Q192" s="213"/>
      <c r="R192" s="213"/>
      <c r="S192" s="213"/>
      <c r="T192" s="213"/>
    </row>
    <row r="193" spans="1:20" x14ac:dyDescent="0.2">
      <c r="A193" s="5"/>
      <c r="B193" s="5"/>
      <c r="C193" s="5"/>
      <c r="D193" s="5"/>
      <c r="E193" s="5"/>
      <c r="F193" s="5"/>
      <c r="G193" s="5"/>
      <c r="H193" s="5"/>
      <c r="I193" s="213"/>
      <c r="J193" s="213"/>
      <c r="K193" s="213"/>
      <c r="L193" s="213"/>
      <c r="M193" s="213"/>
      <c r="N193" s="213"/>
      <c r="O193" s="213"/>
      <c r="P193" s="213"/>
      <c r="Q193" s="213"/>
      <c r="R193" s="213"/>
      <c r="S193" s="213"/>
      <c r="T193" s="213"/>
    </row>
    <row r="194" spans="1:20" x14ac:dyDescent="0.2">
      <c r="A194" s="5"/>
      <c r="B194" s="5"/>
      <c r="C194" s="5"/>
      <c r="D194" s="5"/>
      <c r="E194" s="5"/>
      <c r="F194" s="5"/>
      <c r="G194" s="5"/>
      <c r="H194" s="5"/>
      <c r="I194" s="213"/>
      <c r="J194" s="213"/>
      <c r="K194" s="213"/>
      <c r="L194" s="213"/>
      <c r="M194" s="213"/>
      <c r="N194" s="213"/>
      <c r="O194" s="213"/>
      <c r="P194" s="213"/>
      <c r="Q194" s="213"/>
      <c r="R194" s="213"/>
      <c r="S194" s="213"/>
      <c r="T194" s="213"/>
    </row>
    <row r="195" spans="1:20" x14ac:dyDescent="0.2">
      <c r="A195" s="5"/>
      <c r="B195" s="5"/>
      <c r="C195" s="5"/>
      <c r="D195" s="5"/>
      <c r="E195" s="5"/>
      <c r="F195" s="5"/>
      <c r="G195" s="5"/>
      <c r="H195" s="5"/>
      <c r="I195" s="213"/>
      <c r="J195" s="213"/>
      <c r="K195" s="213"/>
      <c r="L195" s="213"/>
      <c r="M195" s="213"/>
      <c r="N195" s="213"/>
      <c r="O195" s="213"/>
      <c r="P195" s="213"/>
      <c r="Q195" s="213"/>
      <c r="R195" s="213"/>
      <c r="S195" s="213"/>
      <c r="T195" s="213"/>
    </row>
    <row r="196" spans="1:20" x14ac:dyDescent="0.2">
      <c r="A196" s="5"/>
      <c r="B196" s="5"/>
      <c r="C196" s="5"/>
      <c r="D196" s="5"/>
      <c r="E196" s="5"/>
      <c r="F196" s="5"/>
      <c r="G196" s="5"/>
      <c r="H196" s="5"/>
      <c r="I196" s="213"/>
      <c r="J196" s="213"/>
      <c r="K196" s="213"/>
      <c r="L196" s="213"/>
      <c r="M196" s="213"/>
      <c r="N196" s="213"/>
      <c r="O196" s="213"/>
      <c r="P196" s="213"/>
      <c r="Q196" s="213"/>
      <c r="R196" s="213"/>
      <c r="S196" s="213"/>
      <c r="T196" s="213"/>
    </row>
    <row r="197" spans="1:20" x14ac:dyDescent="0.2">
      <c r="A197" s="5"/>
      <c r="B197" s="5"/>
      <c r="C197" s="5"/>
      <c r="D197" s="5"/>
      <c r="E197" s="5"/>
      <c r="F197" s="5"/>
      <c r="G197" s="5"/>
      <c r="H197" s="5"/>
      <c r="I197" s="213"/>
      <c r="J197" s="213"/>
      <c r="K197" s="213"/>
      <c r="L197" s="213"/>
      <c r="M197" s="213"/>
      <c r="N197" s="213"/>
      <c r="O197" s="213"/>
      <c r="P197" s="213"/>
      <c r="Q197" s="213"/>
      <c r="R197" s="213"/>
      <c r="S197" s="213"/>
      <c r="T197" s="213"/>
    </row>
    <row r="198" spans="1:20" x14ac:dyDescent="0.2">
      <c r="A198" s="5"/>
      <c r="B198" s="5"/>
      <c r="C198" s="5"/>
      <c r="D198" s="5"/>
      <c r="E198" s="5"/>
      <c r="F198" s="5"/>
      <c r="G198" s="5"/>
      <c r="H198" s="5"/>
      <c r="I198" s="213"/>
      <c r="J198" s="213"/>
      <c r="K198" s="213"/>
      <c r="L198" s="213"/>
      <c r="M198" s="213"/>
      <c r="N198" s="213"/>
      <c r="O198" s="213"/>
      <c r="P198" s="213"/>
      <c r="Q198" s="213"/>
      <c r="R198" s="213"/>
      <c r="S198" s="213"/>
      <c r="T198" s="213"/>
    </row>
    <row r="199" spans="1:20" x14ac:dyDescent="0.2">
      <c r="A199" s="5"/>
      <c r="B199" s="5"/>
      <c r="C199" s="5"/>
      <c r="D199" s="5"/>
      <c r="E199" s="5"/>
      <c r="F199" s="5"/>
      <c r="G199" s="5"/>
      <c r="H199" s="5"/>
      <c r="I199" s="213"/>
      <c r="J199" s="213"/>
      <c r="K199" s="213"/>
      <c r="L199" s="213"/>
      <c r="M199" s="213"/>
      <c r="N199" s="213"/>
      <c r="O199" s="213"/>
      <c r="P199" s="213"/>
      <c r="Q199" s="213"/>
      <c r="R199" s="213"/>
      <c r="S199" s="213"/>
      <c r="T199" s="213"/>
    </row>
    <row r="200" spans="1:20" x14ac:dyDescent="0.2">
      <c r="A200" s="234"/>
      <c r="B200" s="234"/>
      <c r="C200" s="234"/>
      <c r="D200" s="234"/>
      <c r="E200" s="234"/>
      <c r="F200" s="234"/>
      <c r="G200" s="234"/>
      <c r="H200" s="234"/>
      <c r="I200" s="236"/>
      <c r="J200" s="236"/>
      <c r="K200" s="236"/>
      <c r="L200" s="236"/>
      <c r="M200" s="236"/>
      <c r="N200" s="236"/>
      <c r="O200" s="236"/>
      <c r="P200" s="236"/>
      <c r="Q200" s="236"/>
      <c r="R200" s="236"/>
      <c r="S200" s="236"/>
      <c r="T200" s="236"/>
    </row>
    <row r="201" spans="1:20" x14ac:dyDescent="0.2">
      <c r="A201" s="5"/>
      <c r="B201" s="5"/>
      <c r="C201" s="5"/>
      <c r="D201" s="5"/>
      <c r="E201" s="5"/>
      <c r="F201" s="5"/>
      <c r="G201" s="5"/>
      <c r="H201" s="5"/>
      <c r="I201" s="103"/>
      <c r="J201" s="103"/>
      <c r="K201" s="103"/>
      <c r="L201" s="103"/>
      <c r="M201" s="103"/>
      <c r="N201" s="103"/>
      <c r="O201" s="103"/>
      <c r="P201" s="103"/>
      <c r="Q201" s="103"/>
      <c r="R201" s="103"/>
      <c r="S201" s="103"/>
      <c r="T201" s="103"/>
    </row>
    <row r="202" spans="1:20" x14ac:dyDescent="0.2">
      <c r="A202" s="5"/>
      <c r="B202" s="5"/>
      <c r="C202" s="5"/>
      <c r="D202" s="5"/>
      <c r="E202" s="5"/>
      <c r="F202" s="5"/>
      <c r="G202" s="5"/>
      <c r="H202" s="5"/>
      <c r="I202" s="103"/>
      <c r="J202" s="103"/>
      <c r="K202" s="103"/>
      <c r="L202" s="103"/>
      <c r="M202" s="103"/>
      <c r="N202" s="103"/>
      <c r="O202" s="103"/>
      <c r="P202" s="103"/>
      <c r="Q202" s="103"/>
      <c r="R202" s="103"/>
      <c r="S202" s="103"/>
      <c r="T202" s="103"/>
    </row>
    <row r="203" spans="1:20" x14ac:dyDescent="0.2">
      <c r="A203" s="5"/>
      <c r="B203" s="5"/>
      <c r="C203" s="5"/>
      <c r="D203" s="5"/>
      <c r="E203" s="5"/>
      <c r="F203" s="5"/>
      <c r="G203" s="5"/>
      <c r="H203" s="5"/>
      <c r="I203" s="103"/>
      <c r="J203" s="103"/>
      <c r="K203" s="103"/>
      <c r="L203" s="103"/>
      <c r="M203" s="103"/>
      <c r="N203" s="103"/>
      <c r="O203" s="103"/>
      <c r="P203" s="103"/>
      <c r="Q203" s="103"/>
      <c r="R203" s="103"/>
      <c r="S203" s="103"/>
      <c r="T203" s="103"/>
    </row>
    <row r="204" spans="1:20" x14ac:dyDescent="0.2">
      <c r="A204" s="5"/>
      <c r="B204" s="5"/>
      <c r="C204" s="5"/>
      <c r="D204" s="5"/>
      <c r="E204" s="5"/>
      <c r="F204" s="5"/>
      <c r="G204" s="5"/>
      <c r="H204" s="5"/>
      <c r="I204" s="103"/>
      <c r="J204" s="103"/>
      <c r="K204" s="103"/>
      <c r="L204" s="103"/>
      <c r="M204" s="103"/>
      <c r="N204" s="103"/>
      <c r="O204" s="103"/>
      <c r="P204" s="103"/>
      <c r="Q204" s="103"/>
      <c r="R204" s="103"/>
      <c r="S204" s="103"/>
      <c r="T204" s="103"/>
    </row>
    <row r="205" spans="1:20" x14ac:dyDescent="0.2">
      <c r="A205" s="5"/>
      <c r="B205" s="5"/>
      <c r="C205" s="5"/>
      <c r="D205" s="5"/>
      <c r="E205" s="5"/>
      <c r="F205" s="5"/>
      <c r="G205" s="5"/>
      <c r="H205" s="5"/>
      <c r="I205" s="103"/>
      <c r="J205" s="103"/>
      <c r="K205" s="103"/>
      <c r="L205" s="103"/>
      <c r="M205" s="103"/>
      <c r="N205" s="103"/>
      <c r="O205" s="103"/>
      <c r="P205" s="103"/>
      <c r="Q205" s="103"/>
      <c r="R205" s="103"/>
      <c r="S205" s="103"/>
      <c r="T205" s="103"/>
    </row>
    <row r="206" spans="1:20" x14ac:dyDescent="0.2">
      <c r="A206" s="5"/>
      <c r="B206" s="5"/>
      <c r="C206" s="5"/>
      <c r="D206" s="5"/>
      <c r="E206" s="5"/>
      <c r="F206" s="5"/>
      <c r="G206" s="5"/>
      <c r="H206" s="5"/>
      <c r="I206" s="103"/>
      <c r="J206" s="103"/>
      <c r="K206" s="103"/>
      <c r="L206" s="103"/>
      <c r="M206" s="103"/>
      <c r="N206" s="103"/>
      <c r="O206" s="103"/>
      <c r="P206" s="103"/>
      <c r="Q206" s="103"/>
      <c r="R206" s="103"/>
      <c r="S206" s="103"/>
      <c r="T206" s="103"/>
    </row>
    <row r="207" spans="1:20" x14ac:dyDescent="0.2">
      <c r="A207" s="5"/>
      <c r="B207" s="5"/>
      <c r="C207" s="5"/>
      <c r="D207" s="5"/>
      <c r="E207" s="5"/>
      <c r="F207" s="5"/>
      <c r="G207" s="5"/>
      <c r="H207" s="5"/>
      <c r="I207" s="103"/>
      <c r="J207" s="103"/>
      <c r="K207" s="103"/>
      <c r="L207" s="103"/>
      <c r="M207" s="103"/>
      <c r="N207" s="103"/>
      <c r="O207" s="103"/>
      <c r="P207" s="103"/>
      <c r="Q207" s="103"/>
      <c r="R207" s="103"/>
      <c r="S207" s="103"/>
      <c r="T207" s="103"/>
    </row>
    <row r="208" spans="1:20" x14ac:dyDescent="0.2">
      <c r="A208" s="5"/>
      <c r="B208" s="5"/>
      <c r="C208" s="5"/>
      <c r="D208" s="5"/>
      <c r="E208" s="5"/>
      <c r="F208" s="5"/>
      <c r="G208" s="5"/>
      <c r="H208" s="5"/>
      <c r="I208" s="103"/>
      <c r="J208" s="103"/>
      <c r="K208" s="103"/>
      <c r="L208" s="103"/>
      <c r="M208" s="103"/>
      <c r="N208" s="103"/>
      <c r="O208" s="103"/>
      <c r="P208" s="103"/>
      <c r="Q208" s="103"/>
      <c r="R208" s="103"/>
      <c r="S208" s="103"/>
      <c r="T208" s="103"/>
    </row>
    <row r="209" spans="1:20" x14ac:dyDescent="0.2">
      <c r="A209" s="5"/>
      <c r="B209" s="5"/>
      <c r="C209" s="5"/>
      <c r="D209" s="5"/>
      <c r="E209" s="5"/>
      <c r="F209" s="5"/>
      <c r="G209" s="5"/>
      <c r="H209" s="5"/>
      <c r="I209" s="103"/>
      <c r="J209" s="103"/>
      <c r="K209" s="103"/>
      <c r="L209" s="103"/>
      <c r="M209" s="103"/>
      <c r="N209" s="103"/>
      <c r="O209" s="103"/>
      <c r="P209" s="103"/>
      <c r="Q209" s="103"/>
      <c r="R209" s="103"/>
      <c r="S209" s="103"/>
      <c r="T209" s="103"/>
    </row>
  </sheetData>
  <mergeCells count="9">
    <mergeCell ref="A8:H8"/>
    <mergeCell ref="A1:I1"/>
    <mergeCell ref="A2:I2"/>
    <mergeCell ref="I8:T8"/>
    <mergeCell ref="I4:J4"/>
    <mergeCell ref="A4:G4"/>
    <mergeCell ref="A5:C5"/>
    <mergeCell ref="D5:E5"/>
    <mergeCell ref="A7:T7"/>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Sheet11.subscribeToExecutions">
                <anchor moveWithCells="1">
                  <from>
                    <xdr:col>0</xdr:col>
                    <xdr:colOff>133350</xdr:colOff>
                    <xdr:row>1</xdr:row>
                    <xdr:rowOff>85725</xdr:rowOff>
                  </from>
                  <to>
                    <xdr:col>2</xdr:col>
                    <xdr:colOff>495300</xdr:colOff>
                    <xdr:row>1</xdr:row>
                    <xdr:rowOff>285750</xdr:rowOff>
                  </to>
                </anchor>
              </controlPr>
            </control>
          </mc:Choice>
        </mc:AlternateContent>
        <mc:AlternateContent xmlns:mc="http://schemas.openxmlformats.org/markup-compatibility/2006">
          <mc:Choice Requires="x14">
            <control shapeId="25602" r:id="rId5" name="Button 2">
              <controlPr defaultSize="0" print="0" autoFill="0" autoPict="0" macro="[0]!Sheet11.onShowError">
                <anchor moveWithCells="1">
                  <from>
                    <xdr:col>7</xdr:col>
                    <xdr:colOff>600075</xdr:colOff>
                    <xdr:row>1</xdr:row>
                    <xdr:rowOff>85725</xdr:rowOff>
                  </from>
                  <to>
                    <xdr:col>8</xdr:col>
                    <xdr:colOff>819150</xdr:colOff>
                    <xdr:row>1</xdr:row>
                    <xdr:rowOff>285750</xdr:rowOff>
                  </to>
                </anchor>
              </controlPr>
            </control>
          </mc:Choice>
        </mc:AlternateContent>
        <mc:AlternateContent xmlns:mc="http://schemas.openxmlformats.org/markup-compatibility/2006">
          <mc:Choice Requires="x14">
            <control shapeId="25603" r:id="rId6" name="Button 3">
              <controlPr defaultSize="0" print="0" autoFill="0" autoPict="0" macro="[0]!Sheet11.cancelExecutionsSubscription">
                <anchor moveWithCells="1">
                  <from>
                    <xdr:col>3</xdr:col>
                    <xdr:colOff>28575</xdr:colOff>
                    <xdr:row>1</xdr:row>
                    <xdr:rowOff>85725</xdr:rowOff>
                  </from>
                  <to>
                    <xdr:col>5</xdr:col>
                    <xdr:colOff>800100</xdr:colOff>
                    <xdr:row>1</xdr:row>
                    <xdr:rowOff>285750</xdr:rowOff>
                  </to>
                </anchor>
              </controlPr>
            </control>
          </mc:Choice>
        </mc:AlternateContent>
        <mc:AlternateContent xmlns:mc="http://schemas.openxmlformats.org/markup-compatibility/2006">
          <mc:Choice Requires="x14">
            <control shapeId="25604" r:id="rId7" name="Button 4">
              <controlPr defaultSize="0" print="0" autoFill="0" autoPict="0" macro="[0]!Sheet11.clearExecutions">
                <anchor moveWithCells="1">
                  <from>
                    <xdr:col>6</xdr:col>
                    <xdr:colOff>0</xdr:colOff>
                    <xdr:row>1</xdr:row>
                    <xdr:rowOff>85725</xdr:rowOff>
                  </from>
                  <to>
                    <xdr:col>7</xdr:col>
                    <xdr:colOff>390525</xdr:colOff>
                    <xdr:row>1</xdr:row>
                    <xdr:rowOff>285750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BL207"/>
  <sheetViews>
    <sheetView zoomScale="80" workbookViewId="0">
      <selection activeCell="C7" sqref="C7"/>
    </sheetView>
  </sheetViews>
  <sheetFormatPr defaultRowHeight="12.75" x14ac:dyDescent="0.2"/>
  <cols>
    <col min="2" max="2" width="7.7109375" customWidth="1"/>
    <col min="3" max="3" width="16.28515625" customWidth="1"/>
    <col min="5" max="5" width="8" customWidth="1"/>
    <col min="8" max="8" width="33.42578125" bestFit="1" customWidth="1"/>
    <col min="9" max="9" width="25.42578125" customWidth="1"/>
    <col min="10" max="10" width="18.7109375" bestFit="1" customWidth="1"/>
    <col min="11" max="11" width="9.42578125" customWidth="1"/>
    <col min="13" max="13" width="7.5703125" customWidth="1"/>
    <col min="15" max="15" width="10" customWidth="1"/>
    <col min="16" max="16" width="11.28515625" customWidth="1"/>
    <col min="17" max="17" width="10.28515625" bestFit="1" customWidth="1"/>
    <col min="18" max="18" width="25.28515625" bestFit="1" customWidth="1"/>
    <col min="19" max="19" width="10.7109375" customWidth="1"/>
    <col min="20" max="20" width="20" customWidth="1"/>
  </cols>
  <sheetData>
    <row r="1" spans="1:64" x14ac:dyDescent="0.2">
      <c r="A1" s="421" t="s">
        <v>329</v>
      </c>
      <c r="B1" s="276"/>
      <c r="C1" s="276"/>
      <c r="D1" s="276"/>
      <c r="E1" s="276"/>
      <c r="F1" s="276"/>
      <c r="G1" s="276"/>
      <c r="H1" s="276"/>
      <c r="I1" s="276"/>
      <c r="J1" s="276"/>
      <c r="K1" s="276"/>
      <c r="L1" s="276"/>
      <c r="M1" s="276"/>
      <c r="N1" s="276"/>
      <c r="O1" s="276"/>
      <c r="P1" s="276"/>
      <c r="Q1" s="276"/>
      <c r="R1" s="277"/>
    </row>
    <row r="2" spans="1:64" s="7" customFormat="1" x14ac:dyDescent="0.2">
      <c r="A2" s="47"/>
      <c r="B2" s="47"/>
      <c r="C2" s="47"/>
      <c r="D2" s="47"/>
      <c r="E2" s="47"/>
      <c r="F2" s="47"/>
      <c r="G2" s="47"/>
      <c r="H2" s="47"/>
      <c r="I2" s="47"/>
      <c r="J2" s="47"/>
      <c r="L2" s="47"/>
      <c r="M2" s="47"/>
      <c r="N2" s="47"/>
      <c r="O2" s="47"/>
      <c r="P2" s="47"/>
      <c r="Q2" s="47"/>
      <c r="R2" s="47"/>
      <c r="S2" s="47"/>
    </row>
    <row r="3" spans="1:64" s="7" customFormat="1" x14ac:dyDescent="0.2">
      <c r="A3" s="266" t="s">
        <v>330</v>
      </c>
      <c r="B3" s="424"/>
      <c r="C3" s="424"/>
      <c r="D3" s="424"/>
      <c r="E3" s="424"/>
      <c r="F3" s="424"/>
      <c r="G3" s="424"/>
      <c r="H3" s="267"/>
      <c r="I3" s="267"/>
      <c r="J3" s="268"/>
      <c r="L3" s="47"/>
      <c r="M3" s="47"/>
      <c r="N3" s="47"/>
      <c r="O3" s="47"/>
      <c r="P3" s="47"/>
      <c r="Q3" s="47"/>
      <c r="R3" s="47"/>
      <c r="S3" s="47"/>
    </row>
    <row r="4" spans="1:64" s="7" customFormat="1" x14ac:dyDescent="0.2">
      <c r="A4" s="71" t="s">
        <v>21</v>
      </c>
      <c r="B4" s="279">
        <v>1</v>
      </c>
      <c r="C4" s="279"/>
      <c r="D4" s="33"/>
      <c r="E4" s="33" t="s">
        <v>62</v>
      </c>
      <c r="F4" s="423"/>
      <c r="G4" s="322"/>
      <c r="H4" s="322"/>
      <c r="I4" s="425"/>
      <c r="J4" s="357"/>
      <c r="O4" s="47"/>
      <c r="P4" s="47"/>
      <c r="Q4" s="47"/>
      <c r="R4" s="47"/>
      <c r="S4" s="47"/>
    </row>
    <row r="5" spans="1:64" s="7" customFormat="1" x14ac:dyDescent="0.2">
      <c r="A5" s="47"/>
      <c r="B5" s="47"/>
      <c r="C5" s="47"/>
      <c r="D5" s="47"/>
      <c r="E5" s="47"/>
      <c r="F5" s="47"/>
      <c r="G5" s="47"/>
      <c r="H5" s="47"/>
      <c r="I5" s="47"/>
      <c r="J5" s="47"/>
      <c r="L5" s="47"/>
      <c r="M5" s="47"/>
      <c r="N5" s="47"/>
      <c r="O5" s="47"/>
      <c r="P5" s="47"/>
      <c r="Q5" s="47"/>
      <c r="R5" s="47"/>
      <c r="S5" s="47"/>
    </row>
    <row r="6" spans="1:64" x14ac:dyDescent="0.2">
      <c r="A6" s="329" t="s">
        <v>27</v>
      </c>
      <c r="B6" s="330"/>
      <c r="C6" s="330"/>
      <c r="D6" s="330"/>
      <c r="E6" s="330"/>
      <c r="F6" s="330"/>
      <c r="G6" s="422"/>
      <c r="H6" s="330" t="s">
        <v>322</v>
      </c>
      <c r="I6" s="356"/>
      <c r="J6" s="356"/>
      <c r="K6" s="356"/>
      <c r="L6" s="356"/>
      <c r="M6" s="356"/>
      <c r="N6" s="356"/>
      <c r="O6" s="356"/>
      <c r="P6" s="356"/>
      <c r="Q6" s="356"/>
      <c r="R6" s="357"/>
    </row>
    <row r="7" spans="1:64" x14ac:dyDescent="0.2">
      <c r="A7" s="46" t="s">
        <v>9</v>
      </c>
      <c r="B7" s="46" t="s">
        <v>21</v>
      </c>
      <c r="C7" s="46" t="s">
        <v>497</v>
      </c>
      <c r="D7" s="46" t="s">
        <v>10</v>
      </c>
      <c r="E7" s="46" t="s">
        <v>23</v>
      </c>
      <c r="F7" s="46" t="s">
        <v>12</v>
      </c>
      <c r="G7" s="46" t="s">
        <v>40</v>
      </c>
      <c r="H7" s="46" t="s">
        <v>99</v>
      </c>
      <c r="I7" s="46" t="s">
        <v>100</v>
      </c>
      <c r="J7" s="55" t="s">
        <v>101</v>
      </c>
      <c r="K7" s="55" t="s">
        <v>72</v>
      </c>
      <c r="L7" s="145" t="s">
        <v>12</v>
      </c>
      <c r="M7" s="56" t="s">
        <v>102</v>
      </c>
      <c r="N7" s="145" t="s">
        <v>14</v>
      </c>
      <c r="O7" s="145" t="s">
        <v>34</v>
      </c>
      <c r="P7" s="55" t="s">
        <v>324</v>
      </c>
      <c r="Q7" s="146" t="s">
        <v>323</v>
      </c>
      <c r="R7" s="146" t="s">
        <v>73</v>
      </c>
      <c r="T7" s="148" t="s">
        <v>333</v>
      </c>
      <c r="AR7">
        <v>3</v>
      </c>
      <c r="AS7">
        <v>1</v>
      </c>
      <c r="AT7" t="s">
        <v>306</v>
      </c>
      <c r="AU7">
        <v>534</v>
      </c>
      <c r="AV7">
        <v>0</v>
      </c>
      <c r="AX7">
        <v>0</v>
      </c>
      <c r="AY7">
        <v>0</v>
      </c>
      <c r="AZ7">
        <v>0</v>
      </c>
      <c r="BB7">
        <v>0</v>
      </c>
      <c r="BL7">
        <v>0</v>
      </c>
    </row>
    <row r="8" spans="1:64" x14ac:dyDescent="0.2">
      <c r="A8" s="5"/>
      <c r="B8" s="5"/>
      <c r="C8" s="5"/>
      <c r="D8" s="5"/>
      <c r="E8" s="5"/>
      <c r="F8" s="5"/>
      <c r="G8" s="5"/>
      <c r="H8" s="103"/>
      <c r="I8" s="103"/>
      <c r="J8" s="103"/>
      <c r="K8" s="103"/>
      <c r="L8" s="103"/>
      <c r="M8" s="103"/>
      <c r="N8" s="103"/>
      <c r="O8" s="103"/>
      <c r="P8" s="103"/>
      <c r="Q8" s="103"/>
      <c r="R8" s="103"/>
      <c r="T8" s="148" t="s">
        <v>331</v>
      </c>
      <c r="AR8">
        <v>3</v>
      </c>
      <c r="AS8">
        <v>1</v>
      </c>
      <c r="AT8" t="s">
        <v>306</v>
      </c>
      <c r="AU8">
        <v>534</v>
      </c>
      <c r="AV8">
        <v>0</v>
      </c>
      <c r="AX8">
        <v>0</v>
      </c>
      <c r="AY8">
        <v>0</v>
      </c>
      <c r="AZ8">
        <v>0</v>
      </c>
      <c r="BB8">
        <v>0</v>
      </c>
      <c r="BL8">
        <v>0</v>
      </c>
    </row>
    <row r="9" spans="1:64" x14ac:dyDescent="0.2">
      <c r="A9" s="5"/>
      <c r="B9" s="5"/>
      <c r="C9" s="5"/>
      <c r="D9" s="5"/>
      <c r="E9" s="5"/>
      <c r="F9" s="5"/>
      <c r="G9" s="5"/>
      <c r="H9" s="103"/>
      <c r="I9" s="103"/>
      <c r="J9" s="103"/>
      <c r="K9" s="103"/>
      <c r="L9" s="103"/>
      <c r="M9" s="103"/>
      <c r="N9" s="103"/>
      <c r="O9" s="103"/>
      <c r="P9" s="103"/>
      <c r="Q9" s="103"/>
      <c r="R9" s="103"/>
      <c r="T9" s="148" t="s">
        <v>73</v>
      </c>
      <c r="AR9">
        <v>3</v>
      </c>
      <c r="AS9">
        <v>1</v>
      </c>
      <c r="AT9" t="s">
        <v>306</v>
      </c>
      <c r="AU9">
        <v>534</v>
      </c>
      <c r="AV9">
        <v>0</v>
      </c>
      <c r="AX9">
        <v>0</v>
      </c>
      <c r="AY9">
        <v>0</v>
      </c>
      <c r="AZ9">
        <v>0</v>
      </c>
      <c r="BB9">
        <v>0</v>
      </c>
      <c r="BL9">
        <v>0</v>
      </c>
    </row>
    <row r="10" spans="1:64" x14ac:dyDescent="0.2">
      <c r="A10" s="5"/>
      <c r="B10" s="5"/>
      <c r="C10" s="5"/>
      <c r="D10" s="5"/>
      <c r="E10" s="5"/>
      <c r="F10" s="5"/>
      <c r="G10" s="5"/>
      <c r="H10" s="103"/>
      <c r="I10" s="103"/>
      <c r="J10" s="103"/>
      <c r="K10" s="103"/>
      <c r="L10" s="103"/>
      <c r="M10" s="103"/>
      <c r="N10" s="103"/>
      <c r="O10" s="103"/>
      <c r="P10" s="103"/>
      <c r="Q10" s="103"/>
      <c r="R10" s="103"/>
      <c r="T10" s="148" t="s">
        <v>332</v>
      </c>
    </row>
    <row r="11" spans="1:64" x14ac:dyDescent="0.2">
      <c r="A11" s="5"/>
      <c r="B11" s="5"/>
      <c r="C11" s="5"/>
      <c r="D11" s="5"/>
      <c r="E11" s="5"/>
      <c r="F11" s="5"/>
      <c r="G11" s="5"/>
      <c r="H11" s="103"/>
      <c r="I11" s="103"/>
      <c r="J11" s="103"/>
      <c r="K11" s="103"/>
      <c r="L11" s="103"/>
      <c r="M11" s="103"/>
      <c r="N11" s="103"/>
      <c r="O11" s="103"/>
      <c r="P11" s="103"/>
      <c r="Q11" s="103"/>
      <c r="R11" s="103"/>
      <c r="T11" s="148" t="s">
        <v>334</v>
      </c>
    </row>
    <row r="12" spans="1:64" x14ac:dyDescent="0.2">
      <c r="A12" s="5"/>
      <c r="B12" s="5"/>
      <c r="C12" s="5"/>
      <c r="D12" s="5"/>
      <c r="E12" s="5"/>
      <c r="F12" s="5"/>
      <c r="G12" s="5"/>
      <c r="H12" s="103"/>
      <c r="I12" s="103"/>
      <c r="J12" s="103"/>
      <c r="K12" s="103"/>
      <c r="L12" s="103"/>
      <c r="M12" s="103"/>
      <c r="N12" s="103"/>
      <c r="O12" s="103"/>
      <c r="P12" s="103"/>
      <c r="Q12" s="103"/>
      <c r="R12" s="103"/>
    </row>
    <row r="13" spans="1:64" x14ac:dyDescent="0.2">
      <c r="A13" s="5"/>
      <c r="B13" s="5"/>
      <c r="C13" s="5"/>
      <c r="D13" s="5"/>
      <c r="E13" s="5"/>
      <c r="F13" s="5"/>
      <c r="G13" s="5"/>
      <c r="H13" s="103"/>
      <c r="I13" s="103"/>
      <c r="J13" s="103"/>
      <c r="K13" s="103"/>
      <c r="L13" s="103"/>
      <c r="M13" s="103"/>
      <c r="N13" s="103"/>
      <c r="O13" s="103"/>
      <c r="P13" s="103"/>
      <c r="Q13" s="103"/>
      <c r="R13" s="103"/>
    </row>
    <row r="14" spans="1:64" x14ac:dyDescent="0.2">
      <c r="A14" s="5"/>
      <c r="B14" s="5"/>
      <c r="C14" s="5"/>
      <c r="D14" s="5"/>
      <c r="E14" s="5"/>
      <c r="F14" s="5"/>
      <c r="G14" s="5"/>
      <c r="H14" s="103"/>
      <c r="I14" s="103"/>
      <c r="J14" s="103"/>
      <c r="K14" s="103"/>
      <c r="L14" s="103"/>
      <c r="M14" s="103"/>
      <c r="N14" s="103"/>
      <c r="O14" s="103"/>
      <c r="P14" s="103"/>
      <c r="Q14" s="103"/>
      <c r="R14" s="103"/>
    </row>
    <row r="15" spans="1:64" x14ac:dyDescent="0.2">
      <c r="A15" s="5"/>
      <c r="B15" s="5"/>
      <c r="C15" s="5"/>
      <c r="D15" s="5"/>
      <c r="E15" s="5"/>
      <c r="F15" s="5"/>
      <c r="G15" s="5"/>
      <c r="H15" s="103"/>
      <c r="I15" s="103"/>
      <c r="J15" s="103"/>
      <c r="K15" s="103"/>
      <c r="L15" s="103"/>
      <c r="M15" s="103"/>
      <c r="N15" s="103"/>
      <c r="O15" s="103"/>
      <c r="P15" s="103"/>
      <c r="Q15" s="103"/>
      <c r="R15" s="103"/>
    </row>
    <row r="16" spans="1:64" x14ac:dyDescent="0.2">
      <c r="A16" s="5"/>
      <c r="B16" s="5"/>
      <c r="C16" s="5"/>
      <c r="D16" s="5"/>
      <c r="E16" s="5"/>
      <c r="F16" s="5"/>
      <c r="G16" s="5"/>
      <c r="H16" s="103"/>
      <c r="I16" s="103"/>
      <c r="J16" s="103"/>
      <c r="K16" s="103"/>
      <c r="L16" s="103"/>
      <c r="M16" s="103"/>
      <c r="N16" s="103"/>
      <c r="O16" s="103"/>
      <c r="P16" s="103"/>
      <c r="Q16" s="103"/>
      <c r="R16" s="103"/>
    </row>
    <row r="17" spans="1:18" x14ac:dyDescent="0.2">
      <c r="A17" s="5"/>
      <c r="B17" s="5"/>
      <c r="C17" s="5"/>
      <c r="D17" s="5"/>
      <c r="E17" s="5"/>
      <c r="F17" s="5"/>
      <c r="G17" s="5"/>
      <c r="H17" s="103"/>
      <c r="I17" s="103"/>
      <c r="J17" s="103"/>
      <c r="K17" s="103"/>
      <c r="L17" s="103"/>
      <c r="M17" s="103"/>
      <c r="N17" s="103"/>
      <c r="O17" s="103"/>
      <c r="P17" s="103"/>
      <c r="Q17" s="103"/>
      <c r="R17" s="103"/>
    </row>
    <row r="18" spans="1:18" x14ac:dyDescent="0.2">
      <c r="A18" s="5"/>
      <c r="B18" s="5"/>
      <c r="C18" s="5"/>
      <c r="D18" s="5"/>
      <c r="E18" s="5"/>
      <c r="F18" s="5"/>
      <c r="G18" s="5"/>
      <c r="H18" s="103"/>
      <c r="I18" s="103"/>
      <c r="J18" s="103"/>
      <c r="K18" s="103"/>
      <c r="L18" s="103"/>
      <c r="M18" s="103"/>
      <c r="N18" s="103"/>
      <c r="O18" s="103"/>
      <c r="P18" s="103"/>
      <c r="Q18" s="103"/>
      <c r="R18" s="103"/>
    </row>
    <row r="19" spans="1:18" x14ac:dyDescent="0.2">
      <c r="A19" s="5"/>
      <c r="B19" s="5"/>
      <c r="C19" s="5"/>
      <c r="D19" s="5"/>
      <c r="E19" s="5"/>
      <c r="F19" s="5"/>
      <c r="G19" s="5"/>
      <c r="H19" s="103"/>
      <c r="I19" s="103"/>
      <c r="J19" s="103"/>
      <c r="K19" s="103"/>
      <c r="L19" s="103"/>
      <c r="M19" s="103"/>
      <c r="N19" s="103"/>
      <c r="O19" s="103"/>
      <c r="P19" s="103"/>
      <c r="Q19" s="103"/>
      <c r="R19" s="103"/>
    </row>
    <row r="20" spans="1:18" x14ac:dyDescent="0.2">
      <c r="A20" s="5"/>
      <c r="B20" s="5"/>
      <c r="C20" s="5"/>
      <c r="D20" s="5"/>
      <c r="E20" s="5"/>
      <c r="F20" s="5"/>
      <c r="G20" s="5"/>
      <c r="H20" s="103"/>
      <c r="I20" s="103"/>
      <c r="J20" s="103"/>
      <c r="K20" s="103"/>
      <c r="L20" s="103"/>
      <c r="M20" s="103"/>
      <c r="N20" s="103"/>
      <c r="O20" s="103"/>
      <c r="P20" s="103"/>
      <c r="Q20" s="103"/>
      <c r="R20" s="103"/>
    </row>
    <row r="21" spans="1:18" x14ac:dyDescent="0.2">
      <c r="A21" s="5"/>
      <c r="B21" s="5"/>
      <c r="C21" s="5"/>
      <c r="D21" s="5"/>
      <c r="E21" s="5"/>
      <c r="F21" s="5"/>
      <c r="G21" s="5"/>
      <c r="H21" s="103"/>
      <c r="I21" s="103"/>
      <c r="J21" s="103"/>
      <c r="K21" s="103"/>
      <c r="L21" s="103"/>
      <c r="M21" s="103"/>
      <c r="N21" s="103"/>
      <c r="O21" s="103"/>
      <c r="P21" s="103"/>
      <c r="Q21" s="103"/>
      <c r="R21" s="103"/>
    </row>
    <row r="22" spans="1:18" x14ac:dyDescent="0.2">
      <c r="A22" s="5"/>
      <c r="B22" s="5"/>
      <c r="C22" s="5"/>
      <c r="D22" s="5"/>
      <c r="E22" s="5"/>
      <c r="F22" s="5"/>
      <c r="G22" s="5"/>
      <c r="H22" s="103"/>
      <c r="I22" s="103"/>
      <c r="J22" s="103"/>
      <c r="K22" s="103"/>
      <c r="L22" s="103"/>
      <c r="M22" s="103"/>
      <c r="N22" s="103"/>
      <c r="O22" s="103"/>
      <c r="P22" s="103"/>
      <c r="Q22" s="103"/>
      <c r="R22" s="103"/>
    </row>
    <row r="23" spans="1:18" x14ac:dyDescent="0.2">
      <c r="A23" s="5"/>
      <c r="B23" s="5"/>
      <c r="C23" s="5"/>
      <c r="D23" s="5"/>
      <c r="E23" s="5"/>
      <c r="F23" s="5"/>
      <c r="G23" s="5"/>
      <c r="H23" s="103"/>
      <c r="I23" s="103"/>
      <c r="J23" s="103"/>
      <c r="K23" s="103"/>
      <c r="L23" s="103"/>
      <c r="M23" s="103"/>
      <c r="N23" s="103"/>
      <c r="O23" s="103"/>
      <c r="P23" s="103"/>
      <c r="Q23" s="103"/>
      <c r="R23" s="103"/>
    </row>
    <row r="24" spans="1:18" x14ac:dyDescent="0.2">
      <c r="A24" s="5"/>
      <c r="B24" s="5"/>
      <c r="C24" s="5"/>
      <c r="D24" s="5"/>
      <c r="E24" s="5"/>
      <c r="F24" s="5"/>
      <c r="G24" s="5"/>
      <c r="H24" s="103"/>
      <c r="I24" s="103"/>
      <c r="J24" s="103"/>
      <c r="K24" s="103"/>
      <c r="L24" s="103"/>
      <c r="M24" s="103"/>
      <c r="N24" s="103"/>
      <c r="O24" s="103"/>
      <c r="P24" s="103"/>
      <c r="Q24" s="103"/>
      <c r="R24" s="103"/>
    </row>
    <row r="25" spans="1:18" x14ac:dyDescent="0.2">
      <c r="A25" s="5"/>
      <c r="B25" s="5"/>
      <c r="C25" s="5"/>
      <c r="D25" s="5"/>
      <c r="E25" s="5"/>
      <c r="F25" s="5"/>
      <c r="G25" s="5"/>
      <c r="H25" s="103"/>
      <c r="I25" s="103"/>
      <c r="J25" s="103"/>
      <c r="K25" s="103"/>
      <c r="L25" s="103"/>
      <c r="M25" s="103"/>
      <c r="N25" s="103"/>
      <c r="O25" s="103"/>
      <c r="P25" s="103"/>
      <c r="Q25" s="103"/>
      <c r="R25" s="103"/>
    </row>
    <row r="26" spans="1:18" x14ac:dyDescent="0.2">
      <c r="A26" s="5"/>
      <c r="B26" s="5"/>
      <c r="C26" s="5"/>
      <c r="D26" s="5"/>
      <c r="E26" s="5"/>
      <c r="F26" s="5"/>
      <c r="G26" s="5"/>
      <c r="H26" s="103"/>
      <c r="I26" s="103"/>
      <c r="J26" s="103"/>
      <c r="K26" s="103"/>
      <c r="L26" s="103"/>
      <c r="M26" s="103"/>
      <c r="N26" s="103"/>
      <c r="O26" s="103"/>
      <c r="P26" s="103"/>
      <c r="Q26" s="103"/>
      <c r="R26" s="103"/>
    </row>
    <row r="27" spans="1:18" x14ac:dyDescent="0.2">
      <c r="A27" s="5"/>
      <c r="B27" s="5"/>
      <c r="C27" s="5"/>
      <c r="D27" s="5"/>
      <c r="E27" s="5"/>
      <c r="F27" s="5"/>
      <c r="G27" s="5"/>
      <c r="H27" s="103"/>
      <c r="I27" s="103"/>
      <c r="J27" s="103"/>
      <c r="K27" s="103"/>
      <c r="L27" s="103"/>
      <c r="M27" s="103"/>
      <c r="N27" s="103"/>
      <c r="O27" s="103"/>
      <c r="P27" s="103"/>
      <c r="Q27" s="103"/>
      <c r="R27" s="103"/>
    </row>
    <row r="28" spans="1:18" x14ac:dyDescent="0.2">
      <c r="A28" s="5"/>
      <c r="B28" s="5"/>
      <c r="C28" s="5"/>
      <c r="D28" s="5"/>
      <c r="E28" s="5"/>
      <c r="F28" s="5"/>
      <c r="G28" s="5"/>
      <c r="H28" s="103"/>
      <c r="I28" s="103"/>
      <c r="J28" s="103"/>
      <c r="K28" s="103"/>
      <c r="L28" s="103"/>
      <c r="M28" s="103"/>
      <c r="N28" s="103"/>
      <c r="O28" s="103"/>
      <c r="P28" s="103"/>
      <c r="Q28" s="103"/>
      <c r="R28" s="103"/>
    </row>
    <row r="29" spans="1:18" x14ac:dyDescent="0.2">
      <c r="A29" s="5"/>
      <c r="B29" s="5"/>
      <c r="C29" s="5"/>
      <c r="D29" s="5"/>
      <c r="E29" s="5"/>
      <c r="F29" s="5"/>
      <c r="G29" s="5"/>
      <c r="H29" s="103"/>
      <c r="I29" s="103"/>
      <c r="J29" s="103"/>
      <c r="K29" s="103"/>
      <c r="L29" s="103"/>
      <c r="M29" s="103"/>
      <c r="N29" s="103"/>
      <c r="O29" s="103"/>
      <c r="P29" s="103"/>
      <c r="Q29" s="103"/>
      <c r="R29" s="103"/>
    </row>
    <row r="30" spans="1:18" x14ac:dyDescent="0.2">
      <c r="A30" s="5"/>
      <c r="B30" s="5"/>
      <c r="C30" s="5"/>
      <c r="D30" s="5"/>
      <c r="E30" s="5"/>
      <c r="F30" s="5"/>
      <c r="G30" s="5"/>
      <c r="H30" s="103"/>
      <c r="I30" s="103"/>
      <c r="J30" s="103"/>
      <c r="K30" s="103"/>
      <c r="L30" s="103"/>
      <c r="M30" s="103"/>
      <c r="N30" s="103"/>
      <c r="O30" s="103"/>
      <c r="P30" s="103"/>
      <c r="Q30" s="103"/>
      <c r="R30" s="103"/>
    </row>
    <row r="31" spans="1:18" x14ac:dyDescent="0.2">
      <c r="A31" s="5"/>
      <c r="B31" s="5"/>
      <c r="C31" s="5"/>
      <c r="D31" s="5"/>
      <c r="E31" s="5"/>
      <c r="F31" s="5"/>
      <c r="G31" s="5"/>
      <c r="H31" s="103"/>
      <c r="I31" s="103"/>
      <c r="J31" s="103"/>
      <c r="K31" s="103"/>
      <c r="L31" s="103"/>
      <c r="M31" s="103"/>
      <c r="N31" s="103"/>
      <c r="O31" s="103"/>
      <c r="P31" s="103"/>
      <c r="Q31" s="103"/>
      <c r="R31" s="103"/>
    </row>
    <row r="32" spans="1:18" x14ac:dyDescent="0.2">
      <c r="A32" s="5"/>
      <c r="B32" s="5"/>
      <c r="C32" s="5"/>
      <c r="D32" s="5"/>
      <c r="E32" s="5"/>
      <c r="F32" s="5"/>
      <c r="G32" s="5"/>
      <c r="H32" s="103"/>
      <c r="I32" s="103"/>
      <c r="J32" s="103"/>
      <c r="K32" s="103"/>
      <c r="L32" s="103"/>
      <c r="M32" s="103"/>
      <c r="N32" s="103"/>
      <c r="O32" s="103"/>
      <c r="P32" s="103"/>
      <c r="Q32" s="103"/>
      <c r="R32" s="103"/>
    </row>
    <row r="33" spans="1:18" x14ac:dyDescent="0.2">
      <c r="A33" s="5"/>
      <c r="B33" s="5"/>
      <c r="C33" s="5"/>
      <c r="D33" s="5"/>
      <c r="E33" s="5"/>
      <c r="F33" s="5"/>
      <c r="G33" s="5"/>
      <c r="H33" s="103"/>
      <c r="I33" s="103"/>
      <c r="J33" s="103"/>
      <c r="K33" s="103"/>
      <c r="L33" s="103"/>
      <c r="M33" s="103"/>
      <c r="N33" s="103"/>
      <c r="O33" s="103"/>
      <c r="P33" s="103"/>
      <c r="Q33" s="103"/>
      <c r="R33" s="103"/>
    </row>
    <row r="34" spans="1:18" x14ac:dyDescent="0.2">
      <c r="A34" s="5"/>
      <c r="B34" s="5"/>
      <c r="C34" s="5"/>
      <c r="D34" s="5"/>
      <c r="E34" s="5"/>
      <c r="F34" s="5"/>
      <c r="G34" s="5"/>
      <c r="H34" s="103"/>
      <c r="I34" s="103"/>
      <c r="J34" s="103"/>
      <c r="K34" s="103"/>
      <c r="L34" s="103"/>
      <c r="M34" s="103"/>
      <c r="N34" s="103"/>
      <c r="O34" s="103"/>
      <c r="P34" s="103"/>
      <c r="Q34" s="103"/>
      <c r="R34" s="103"/>
    </row>
    <row r="35" spans="1:18" x14ac:dyDescent="0.2">
      <c r="A35" s="5"/>
      <c r="B35" s="5"/>
      <c r="C35" s="5"/>
      <c r="D35" s="5"/>
      <c r="E35" s="5"/>
      <c r="F35" s="5"/>
      <c r="G35" s="5"/>
      <c r="H35" s="103"/>
      <c r="I35" s="103"/>
      <c r="J35" s="103"/>
      <c r="K35" s="103"/>
      <c r="L35" s="103"/>
      <c r="M35" s="103"/>
      <c r="N35" s="103"/>
      <c r="O35" s="103"/>
      <c r="P35" s="103"/>
      <c r="Q35" s="103"/>
      <c r="R35" s="103"/>
    </row>
    <row r="36" spans="1:18" x14ac:dyDescent="0.2">
      <c r="A36" s="5"/>
      <c r="B36" s="5"/>
      <c r="C36" s="5"/>
      <c r="D36" s="5"/>
      <c r="E36" s="5"/>
      <c r="F36" s="5"/>
      <c r="G36" s="5"/>
      <c r="H36" s="103"/>
      <c r="I36" s="103"/>
      <c r="J36" s="103"/>
      <c r="K36" s="103"/>
      <c r="L36" s="103"/>
      <c r="M36" s="103"/>
      <c r="N36" s="103"/>
      <c r="O36" s="103"/>
      <c r="P36" s="103"/>
      <c r="Q36" s="103"/>
      <c r="R36" s="103"/>
    </row>
    <row r="37" spans="1:18" x14ac:dyDescent="0.2">
      <c r="A37" s="5"/>
      <c r="B37" s="5"/>
      <c r="C37" s="5"/>
      <c r="D37" s="5"/>
      <c r="E37" s="5"/>
      <c r="F37" s="5"/>
      <c r="G37" s="5"/>
      <c r="H37" s="103"/>
      <c r="I37" s="103"/>
      <c r="J37" s="103"/>
      <c r="K37" s="103"/>
      <c r="L37" s="103"/>
      <c r="M37" s="103"/>
      <c r="N37" s="103"/>
      <c r="O37" s="103"/>
      <c r="P37" s="103"/>
      <c r="Q37" s="103"/>
      <c r="R37" s="103"/>
    </row>
    <row r="38" spans="1:18" x14ac:dyDescent="0.2">
      <c r="A38" s="5"/>
      <c r="B38" s="5"/>
      <c r="C38" s="5"/>
      <c r="D38" s="5"/>
      <c r="E38" s="5"/>
      <c r="F38" s="5"/>
      <c r="G38" s="5"/>
      <c r="H38" s="103"/>
      <c r="I38" s="103"/>
      <c r="J38" s="103"/>
      <c r="K38" s="103"/>
      <c r="L38" s="103"/>
      <c r="M38" s="103"/>
      <c r="N38" s="103"/>
      <c r="O38" s="103"/>
      <c r="P38" s="103"/>
      <c r="Q38" s="103"/>
      <c r="R38" s="103"/>
    </row>
    <row r="39" spans="1:18" x14ac:dyDescent="0.2">
      <c r="A39" s="5"/>
      <c r="B39" s="5"/>
      <c r="C39" s="5"/>
      <c r="D39" s="5"/>
      <c r="E39" s="5"/>
      <c r="F39" s="5"/>
      <c r="G39" s="5"/>
      <c r="H39" s="103"/>
      <c r="I39" s="103"/>
      <c r="J39" s="103"/>
      <c r="K39" s="103"/>
      <c r="L39" s="103"/>
      <c r="M39" s="103"/>
      <c r="N39" s="103"/>
      <c r="O39" s="103"/>
      <c r="P39" s="103"/>
      <c r="Q39" s="103"/>
      <c r="R39" s="103"/>
    </row>
    <row r="40" spans="1:18" x14ac:dyDescent="0.2">
      <c r="A40" s="5"/>
      <c r="B40" s="5"/>
      <c r="C40" s="5"/>
      <c r="D40" s="5"/>
      <c r="E40" s="5"/>
      <c r="F40" s="5"/>
      <c r="G40" s="5"/>
      <c r="H40" s="103"/>
      <c r="I40" s="103"/>
      <c r="J40" s="103"/>
      <c r="K40" s="103"/>
      <c r="L40" s="103"/>
      <c r="M40" s="103"/>
      <c r="N40" s="103"/>
      <c r="O40" s="103"/>
      <c r="P40" s="103"/>
      <c r="Q40" s="103"/>
      <c r="R40" s="103"/>
    </row>
    <row r="41" spans="1:18" x14ac:dyDescent="0.2">
      <c r="A41" s="5"/>
      <c r="B41" s="5"/>
      <c r="C41" s="5"/>
      <c r="D41" s="5"/>
      <c r="E41" s="5"/>
      <c r="F41" s="5"/>
      <c r="G41" s="5"/>
      <c r="H41" s="103"/>
      <c r="I41" s="103"/>
      <c r="J41" s="103"/>
      <c r="K41" s="103"/>
      <c r="L41" s="103"/>
      <c r="M41" s="103"/>
      <c r="N41" s="103"/>
      <c r="O41" s="103"/>
      <c r="P41" s="103"/>
      <c r="Q41" s="103"/>
      <c r="R41" s="103"/>
    </row>
    <row r="42" spans="1:18" x14ac:dyDescent="0.2">
      <c r="A42" s="5"/>
      <c r="B42" s="5"/>
      <c r="C42" s="5"/>
      <c r="D42" s="5"/>
      <c r="E42" s="5"/>
      <c r="F42" s="5"/>
      <c r="G42" s="5"/>
      <c r="H42" s="103"/>
      <c r="I42" s="103"/>
      <c r="J42" s="103"/>
      <c r="K42" s="103"/>
      <c r="L42" s="103"/>
      <c r="M42" s="103"/>
      <c r="N42" s="103"/>
      <c r="O42" s="103"/>
      <c r="P42" s="103"/>
      <c r="Q42" s="103"/>
      <c r="R42" s="103"/>
    </row>
    <row r="43" spans="1:18" x14ac:dyDescent="0.2">
      <c r="A43" s="5"/>
      <c r="B43" s="5"/>
      <c r="C43" s="5"/>
      <c r="D43" s="5"/>
      <c r="E43" s="5"/>
      <c r="F43" s="5"/>
      <c r="G43" s="5"/>
      <c r="H43" s="103"/>
      <c r="I43" s="103"/>
      <c r="J43" s="103"/>
      <c r="K43" s="103"/>
      <c r="L43" s="103"/>
      <c r="M43" s="103"/>
      <c r="N43" s="103"/>
      <c r="O43" s="103"/>
      <c r="P43" s="103"/>
      <c r="Q43" s="103"/>
      <c r="R43" s="103"/>
    </row>
    <row r="44" spans="1:18" x14ac:dyDescent="0.2">
      <c r="A44" s="5"/>
      <c r="B44" s="5"/>
      <c r="C44" s="5"/>
      <c r="D44" s="5"/>
      <c r="E44" s="5"/>
      <c r="F44" s="5"/>
      <c r="G44" s="5"/>
      <c r="H44" s="103"/>
      <c r="I44" s="103"/>
      <c r="J44" s="103"/>
      <c r="K44" s="103"/>
      <c r="L44" s="103"/>
      <c r="M44" s="103"/>
      <c r="N44" s="103"/>
      <c r="O44" s="103"/>
      <c r="P44" s="103"/>
      <c r="Q44" s="103"/>
      <c r="R44" s="103"/>
    </row>
    <row r="45" spans="1:18" x14ac:dyDescent="0.2">
      <c r="A45" s="5"/>
      <c r="B45" s="5"/>
      <c r="C45" s="5"/>
      <c r="D45" s="5"/>
      <c r="E45" s="5"/>
      <c r="F45" s="5"/>
      <c r="G45" s="5"/>
      <c r="H45" s="103"/>
      <c r="I45" s="103"/>
      <c r="J45" s="103"/>
      <c r="K45" s="103"/>
      <c r="L45" s="103"/>
      <c r="M45" s="103"/>
      <c r="N45" s="103"/>
      <c r="O45" s="103"/>
      <c r="P45" s="103"/>
      <c r="Q45" s="103"/>
      <c r="R45" s="103"/>
    </row>
    <row r="46" spans="1:18" x14ac:dyDescent="0.2">
      <c r="A46" s="5"/>
      <c r="B46" s="5"/>
      <c r="C46" s="5"/>
      <c r="D46" s="5"/>
      <c r="E46" s="5"/>
      <c r="F46" s="5"/>
      <c r="G46" s="5"/>
      <c r="H46" s="103"/>
      <c r="I46" s="103"/>
      <c r="J46" s="103"/>
      <c r="K46" s="103"/>
      <c r="L46" s="103"/>
      <c r="M46" s="103"/>
      <c r="N46" s="103"/>
      <c r="O46" s="103"/>
      <c r="P46" s="103"/>
      <c r="Q46" s="103"/>
      <c r="R46" s="103"/>
    </row>
    <row r="47" spans="1:18" x14ac:dyDescent="0.2">
      <c r="A47" s="5"/>
      <c r="B47" s="5"/>
      <c r="C47" s="5"/>
      <c r="D47" s="5"/>
      <c r="E47" s="5"/>
      <c r="F47" s="5"/>
      <c r="G47" s="5"/>
      <c r="H47" s="103"/>
      <c r="I47" s="103"/>
      <c r="J47" s="103"/>
      <c r="K47" s="103"/>
      <c r="L47" s="103"/>
      <c r="M47" s="103"/>
      <c r="N47" s="103"/>
      <c r="O47" s="103"/>
      <c r="P47" s="103"/>
      <c r="Q47" s="103"/>
      <c r="R47" s="103"/>
    </row>
    <row r="48" spans="1:18" x14ac:dyDescent="0.2">
      <c r="A48" s="5"/>
      <c r="B48" s="5"/>
      <c r="C48" s="5"/>
      <c r="D48" s="5"/>
      <c r="E48" s="5"/>
      <c r="F48" s="5"/>
      <c r="G48" s="5"/>
      <c r="H48" s="103"/>
      <c r="I48" s="103"/>
      <c r="J48" s="103"/>
      <c r="K48" s="103"/>
      <c r="L48" s="103"/>
      <c r="M48" s="103"/>
      <c r="N48" s="103"/>
      <c r="O48" s="103"/>
      <c r="P48" s="103"/>
      <c r="Q48" s="103"/>
      <c r="R48" s="103"/>
    </row>
    <row r="49" spans="1:18" x14ac:dyDescent="0.2">
      <c r="A49" s="5"/>
      <c r="B49" s="5"/>
      <c r="C49" s="5"/>
      <c r="D49" s="5"/>
      <c r="E49" s="5"/>
      <c r="F49" s="5"/>
      <c r="G49" s="5"/>
      <c r="H49" s="103"/>
      <c r="I49" s="103"/>
      <c r="J49" s="103"/>
      <c r="K49" s="103"/>
      <c r="L49" s="103"/>
      <c r="M49" s="103"/>
      <c r="N49" s="103"/>
      <c r="O49" s="103"/>
      <c r="P49" s="103"/>
      <c r="Q49" s="103"/>
      <c r="R49" s="103"/>
    </row>
    <row r="50" spans="1:18" x14ac:dyDescent="0.2">
      <c r="A50" s="5"/>
      <c r="B50" s="5"/>
      <c r="C50" s="5"/>
      <c r="D50" s="5"/>
      <c r="E50" s="5"/>
      <c r="F50" s="5"/>
      <c r="G50" s="5"/>
      <c r="H50" s="103"/>
      <c r="I50" s="103"/>
      <c r="J50" s="103"/>
      <c r="K50" s="103"/>
      <c r="L50" s="103"/>
      <c r="M50" s="103"/>
      <c r="N50" s="103"/>
      <c r="O50" s="103"/>
      <c r="P50" s="103"/>
      <c r="Q50" s="103"/>
      <c r="R50" s="103"/>
    </row>
    <row r="51" spans="1:18" x14ac:dyDescent="0.2">
      <c r="A51" s="5"/>
      <c r="B51" s="5"/>
      <c r="C51" s="5"/>
      <c r="D51" s="5"/>
      <c r="E51" s="5"/>
      <c r="F51" s="5"/>
      <c r="G51" s="5"/>
      <c r="H51" s="103"/>
      <c r="I51" s="103"/>
      <c r="J51" s="103"/>
      <c r="K51" s="103"/>
      <c r="L51" s="103"/>
      <c r="M51" s="103"/>
      <c r="N51" s="103"/>
      <c r="O51" s="103"/>
      <c r="P51" s="103"/>
      <c r="Q51" s="103"/>
      <c r="R51" s="103"/>
    </row>
    <row r="52" spans="1:18" x14ac:dyDescent="0.2">
      <c r="A52" s="5"/>
      <c r="B52" s="5"/>
      <c r="C52" s="5"/>
      <c r="D52" s="5"/>
      <c r="E52" s="5"/>
      <c r="F52" s="5"/>
      <c r="G52" s="5"/>
      <c r="H52" s="103"/>
      <c r="I52" s="103"/>
      <c r="J52" s="103"/>
      <c r="K52" s="103"/>
      <c r="L52" s="103"/>
      <c r="M52" s="103"/>
      <c r="N52" s="103"/>
      <c r="O52" s="103"/>
      <c r="P52" s="103"/>
      <c r="Q52" s="103"/>
      <c r="R52" s="103"/>
    </row>
    <row r="53" spans="1:18" x14ac:dyDescent="0.2">
      <c r="A53" s="5"/>
      <c r="B53" s="5"/>
      <c r="C53" s="5"/>
      <c r="D53" s="5"/>
      <c r="E53" s="5"/>
      <c r="F53" s="5"/>
      <c r="G53" s="5"/>
      <c r="H53" s="103"/>
      <c r="I53" s="103"/>
      <c r="J53" s="103"/>
      <c r="K53" s="103"/>
      <c r="L53" s="103"/>
      <c r="M53" s="103"/>
      <c r="N53" s="103"/>
      <c r="O53" s="103"/>
      <c r="P53" s="103"/>
      <c r="Q53" s="103"/>
      <c r="R53" s="103"/>
    </row>
    <row r="54" spans="1:18" x14ac:dyDescent="0.2">
      <c r="A54" s="5"/>
      <c r="B54" s="5"/>
      <c r="C54" s="5"/>
      <c r="D54" s="5"/>
      <c r="E54" s="5"/>
      <c r="F54" s="5"/>
      <c r="G54" s="5"/>
      <c r="H54" s="103"/>
      <c r="I54" s="103"/>
      <c r="J54" s="103"/>
      <c r="K54" s="103"/>
      <c r="L54" s="103"/>
      <c r="M54" s="103"/>
      <c r="N54" s="103"/>
      <c r="O54" s="103"/>
      <c r="P54" s="103"/>
      <c r="Q54" s="103"/>
      <c r="R54" s="103"/>
    </row>
    <row r="55" spans="1:18" x14ac:dyDescent="0.2">
      <c r="A55" s="5"/>
      <c r="B55" s="5"/>
      <c r="C55" s="5"/>
      <c r="D55" s="5"/>
      <c r="E55" s="5"/>
      <c r="F55" s="5"/>
      <c r="G55" s="5"/>
      <c r="H55" s="103"/>
      <c r="I55" s="103"/>
      <c r="J55" s="103"/>
      <c r="K55" s="103"/>
      <c r="L55" s="103"/>
      <c r="M55" s="103"/>
      <c r="N55" s="103"/>
      <c r="O55" s="103"/>
      <c r="P55" s="103"/>
      <c r="Q55" s="103"/>
      <c r="R55" s="103"/>
    </row>
    <row r="56" spans="1:18" x14ac:dyDescent="0.2">
      <c r="A56" s="5"/>
      <c r="B56" s="5"/>
      <c r="C56" s="5"/>
      <c r="D56" s="5"/>
      <c r="E56" s="5"/>
      <c r="F56" s="5"/>
      <c r="G56" s="5"/>
      <c r="H56" s="103"/>
      <c r="I56" s="103"/>
      <c r="J56" s="103"/>
      <c r="K56" s="103"/>
      <c r="L56" s="103"/>
      <c r="M56" s="103"/>
      <c r="N56" s="103"/>
      <c r="O56" s="103"/>
      <c r="P56" s="103"/>
      <c r="Q56" s="103"/>
      <c r="R56" s="103"/>
    </row>
    <row r="57" spans="1:18" x14ac:dyDescent="0.2">
      <c r="A57" s="5"/>
      <c r="B57" s="5"/>
      <c r="C57" s="5"/>
      <c r="D57" s="5"/>
      <c r="E57" s="5"/>
      <c r="F57" s="5"/>
      <c r="G57" s="5"/>
      <c r="H57" s="103"/>
      <c r="I57" s="103"/>
      <c r="J57" s="103"/>
      <c r="K57" s="103"/>
      <c r="L57" s="103"/>
      <c r="M57" s="103"/>
      <c r="N57" s="103"/>
      <c r="O57" s="103"/>
      <c r="P57" s="103"/>
      <c r="Q57" s="103"/>
      <c r="R57" s="103"/>
    </row>
    <row r="58" spans="1:18" x14ac:dyDescent="0.2">
      <c r="A58" s="5"/>
      <c r="B58" s="5"/>
      <c r="C58" s="5"/>
      <c r="D58" s="5"/>
      <c r="E58" s="5"/>
      <c r="F58" s="5"/>
      <c r="G58" s="5"/>
      <c r="H58" s="103"/>
      <c r="I58" s="103"/>
      <c r="J58" s="103"/>
      <c r="K58" s="103"/>
      <c r="L58" s="103"/>
      <c r="M58" s="103"/>
      <c r="N58" s="103"/>
      <c r="O58" s="103"/>
      <c r="P58" s="103"/>
      <c r="Q58" s="103"/>
      <c r="R58" s="103"/>
    </row>
    <row r="59" spans="1:18" x14ac:dyDescent="0.2">
      <c r="A59" s="5"/>
      <c r="B59" s="5"/>
      <c r="C59" s="5"/>
      <c r="D59" s="5"/>
      <c r="E59" s="5"/>
      <c r="F59" s="5"/>
      <c r="G59" s="5"/>
      <c r="H59" s="103"/>
      <c r="I59" s="103"/>
      <c r="J59" s="103"/>
      <c r="K59" s="103"/>
      <c r="L59" s="103"/>
      <c r="M59" s="103"/>
      <c r="N59" s="103"/>
      <c r="O59" s="103"/>
      <c r="P59" s="103"/>
      <c r="Q59" s="103"/>
      <c r="R59" s="103"/>
    </row>
    <row r="60" spans="1:18" x14ac:dyDescent="0.2">
      <c r="A60" s="5"/>
      <c r="B60" s="5"/>
      <c r="C60" s="5"/>
      <c r="D60" s="5"/>
      <c r="E60" s="5"/>
      <c r="F60" s="5"/>
      <c r="G60" s="5"/>
      <c r="H60" s="103"/>
      <c r="I60" s="103"/>
      <c r="J60" s="103"/>
      <c r="K60" s="103"/>
      <c r="L60" s="103"/>
      <c r="M60" s="103"/>
      <c r="N60" s="103"/>
      <c r="O60" s="103"/>
      <c r="P60" s="103"/>
      <c r="Q60" s="103"/>
      <c r="R60" s="103"/>
    </row>
    <row r="61" spans="1:18" x14ac:dyDescent="0.2">
      <c r="A61" s="5"/>
      <c r="B61" s="5"/>
      <c r="C61" s="5"/>
      <c r="D61" s="5"/>
      <c r="E61" s="5"/>
      <c r="F61" s="5"/>
      <c r="G61" s="5"/>
      <c r="H61" s="103"/>
      <c r="I61" s="103"/>
      <c r="J61" s="103"/>
      <c r="K61" s="103"/>
      <c r="L61" s="103"/>
      <c r="M61" s="103"/>
      <c r="N61" s="103"/>
      <c r="O61" s="103"/>
      <c r="P61" s="103"/>
      <c r="Q61" s="103"/>
      <c r="R61" s="103"/>
    </row>
    <row r="62" spans="1:18" x14ac:dyDescent="0.2">
      <c r="A62" s="5"/>
      <c r="B62" s="5"/>
      <c r="C62" s="5"/>
      <c r="D62" s="5"/>
      <c r="E62" s="5"/>
      <c r="F62" s="5"/>
      <c r="G62" s="5"/>
      <c r="H62" s="103"/>
      <c r="I62" s="103"/>
      <c r="J62" s="103"/>
      <c r="K62" s="103"/>
      <c r="L62" s="103"/>
      <c r="M62" s="103"/>
      <c r="N62" s="103"/>
      <c r="O62" s="103"/>
      <c r="P62" s="103"/>
      <c r="Q62" s="103"/>
      <c r="R62" s="103"/>
    </row>
    <row r="63" spans="1:18" x14ac:dyDescent="0.2">
      <c r="A63" s="5"/>
      <c r="B63" s="5"/>
      <c r="C63" s="5"/>
      <c r="D63" s="5"/>
      <c r="E63" s="5"/>
      <c r="F63" s="5"/>
      <c r="G63" s="5"/>
      <c r="H63" s="103"/>
      <c r="I63" s="103"/>
      <c r="J63" s="103"/>
      <c r="K63" s="103"/>
      <c r="L63" s="103"/>
      <c r="M63" s="103"/>
      <c r="N63" s="103"/>
      <c r="O63" s="103"/>
      <c r="P63" s="103"/>
      <c r="Q63" s="103"/>
      <c r="R63" s="103"/>
    </row>
    <row r="64" spans="1:18" x14ac:dyDescent="0.2">
      <c r="A64" s="5"/>
      <c r="B64" s="5"/>
      <c r="C64" s="5"/>
      <c r="D64" s="5"/>
      <c r="E64" s="5"/>
      <c r="F64" s="5"/>
      <c r="G64" s="5"/>
      <c r="H64" s="103"/>
      <c r="I64" s="103"/>
      <c r="J64" s="103"/>
      <c r="K64" s="103"/>
      <c r="L64" s="103"/>
      <c r="M64" s="103"/>
      <c r="N64" s="103"/>
      <c r="O64" s="103"/>
      <c r="P64" s="103"/>
      <c r="Q64" s="103"/>
      <c r="R64" s="103"/>
    </row>
    <row r="65" spans="1:18" x14ac:dyDescent="0.2">
      <c r="A65" s="5"/>
      <c r="B65" s="5"/>
      <c r="C65" s="5"/>
      <c r="D65" s="5"/>
      <c r="E65" s="5"/>
      <c r="F65" s="5"/>
      <c r="G65" s="5"/>
      <c r="H65" s="103"/>
      <c r="I65" s="103"/>
      <c r="J65" s="103"/>
      <c r="K65" s="103"/>
      <c r="L65" s="103"/>
      <c r="M65" s="103"/>
      <c r="N65" s="103"/>
      <c r="O65" s="103"/>
      <c r="P65" s="103"/>
      <c r="Q65" s="103"/>
      <c r="R65" s="103"/>
    </row>
    <row r="66" spans="1:18" x14ac:dyDescent="0.2">
      <c r="A66" s="5"/>
      <c r="B66" s="5"/>
      <c r="C66" s="5"/>
      <c r="D66" s="5"/>
      <c r="E66" s="5"/>
      <c r="F66" s="5"/>
      <c r="G66" s="5"/>
      <c r="H66" s="103"/>
      <c r="I66" s="103"/>
      <c r="J66" s="103"/>
      <c r="K66" s="103"/>
      <c r="L66" s="103"/>
      <c r="M66" s="103"/>
      <c r="N66" s="103"/>
      <c r="O66" s="103"/>
      <c r="P66" s="103"/>
      <c r="Q66" s="103"/>
      <c r="R66" s="103"/>
    </row>
    <row r="67" spans="1:18" x14ac:dyDescent="0.2">
      <c r="A67" s="5"/>
      <c r="B67" s="5"/>
      <c r="C67" s="5"/>
      <c r="D67" s="5"/>
      <c r="E67" s="5"/>
      <c r="F67" s="5"/>
      <c r="G67" s="5"/>
      <c r="H67" s="103"/>
      <c r="I67" s="103"/>
      <c r="J67" s="103"/>
      <c r="K67" s="103"/>
      <c r="L67" s="103"/>
      <c r="M67" s="103"/>
      <c r="N67" s="103"/>
      <c r="O67" s="103"/>
      <c r="P67" s="103"/>
      <c r="Q67" s="103"/>
      <c r="R67" s="103"/>
    </row>
    <row r="68" spans="1:18" x14ac:dyDescent="0.2">
      <c r="A68" s="5"/>
      <c r="B68" s="5"/>
      <c r="C68" s="5"/>
      <c r="D68" s="5"/>
      <c r="E68" s="5"/>
      <c r="F68" s="5"/>
      <c r="G68" s="5"/>
      <c r="H68" s="103"/>
      <c r="I68" s="103"/>
      <c r="J68" s="103"/>
      <c r="K68" s="103"/>
      <c r="L68" s="103"/>
      <c r="M68" s="103"/>
      <c r="N68" s="103"/>
      <c r="O68" s="103"/>
      <c r="P68" s="103"/>
      <c r="Q68" s="103"/>
      <c r="R68" s="103"/>
    </row>
    <row r="69" spans="1:18" x14ac:dyDescent="0.2">
      <c r="A69" s="5"/>
      <c r="B69" s="5"/>
      <c r="C69" s="5"/>
      <c r="D69" s="5"/>
      <c r="E69" s="5"/>
      <c r="F69" s="5"/>
      <c r="G69" s="5"/>
      <c r="H69" s="103"/>
      <c r="I69" s="103"/>
      <c r="J69" s="103"/>
      <c r="K69" s="103"/>
      <c r="L69" s="103"/>
      <c r="M69" s="103"/>
      <c r="N69" s="103"/>
      <c r="O69" s="103"/>
      <c r="P69" s="103"/>
      <c r="Q69" s="103"/>
      <c r="R69" s="103"/>
    </row>
    <row r="70" spans="1:18" x14ac:dyDescent="0.2">
      <c r="A70" s="5"/>
      <c r="B70" s="5"/>
      <c r="C70" s="5"/>
      <c r="D70" s="5"/>
      <c r="E70" s="5"/>
      <c r="F70" s="5"/>
      <c r="G70" s="5"/>
      <c r="H70" s="103"/>
      <c r="I70" s="103"/>
      <c r="J70" s="103"/>
      <c r="K70" s="103"/>
      <c r="L70" s="103"/>
      <c r="M70" s="103"/>
      <c r="N70" s="103"/>
      <c r="O70" s="103"/>
      <c r="P70" s="103"/>
      <c r="Q70" s="103"/>
      <c r="R70" s="103"/>
    </row>
    <row r="71" spans="1:18" x14ac:dyDescent="0.2">
      <c r="A71" s="5"/>
      <c r="B71" s="5"/>
      <c r="C71" s="5"/>
      <c r="D71" s="5"/>
      <c r="E71" s="5"/>
      <c r="F71" s="5"/>
      <c r="G71" s="5"/>
      <c r="H71" s="103"/>
      <c r="I71" s="103"/>
      <c r="J71" s="103"/>
      <c r="K71" s="103"/>
      <c r="L71" s="103"/>
      <c r="M71" s="103"/>
      <c r="N71" s="103"/>
      <c r="O71" s="103"/>
      <c r="P71" s="103"/>
      <c r="Q71" s="103"/>
      <c r="R71" s="103"/>
    </row>
    <row r="72" spans="1:18" x14ac:dyDescent="0.2">
      <c r="A72" s="5"/>
      <c r="B72" s="5"/>
      <c r="C72" s="5"/>
      <c r="D72" s="5"/>
      <c r="E72" s="5"/>
      <c r="F72" s="5"/>
      <c r="G72" s="5"/>
      <c r="H72" s="103"/>
      <c r="I72" s="103"/>
      <c r="J72" s="103"/>
      <c r="K72" s="103"/>
      <c r="L72" s="103"/>
      <c r="M72" s="103"/>
      <c r="N72" s="103"/>
      <c r="O72" s="103"/>
      <c r="P72" s="103"/>
      <c r="Q72" s="103"/>
      <c r="R72" s="103"/>
    </row>
    <row r="73" spans="1:18" x14ac:dyDescent="0.2">
      <c r="A73" s="5"/>
      <c r="B73" s="5"/>
      <c r="C73" s="5"/>
      <c r="D73" s="5"/>
      <c r="E73" s="5"/>
      <c r="F73" s="5"/>
      <c r="G73" s="5"/>
      <c r="H73" s="103"/>
      <c r="I73" s="103"/>
      <c r="J73" s="103"/>
      <c r="K73" s="103"/>
      <c r="L73" s="103"/>
      <c r="M73" s="103"/>
      <c r="N73" s="103"/>
      <c r="O73" s="103"/>
      <c r="P73" s="103"/>
      <c r="Q73" s="103"/>
      <c r="R73" s="103"/>
    </row>
    <row r="74" spans="1:18" x14ac:dyDescent="0.2">
      <c r="A74" s="5"/>
      <c r="B74" s="5"/>
      <c r="C74" s="5"/>
      <c r="D74" s="5"/>
      <c r="E74" s="5"/>
      <c r="F74" s="5"/>
      <c r="G74" s="5"/>
      <c r="H74" s="103"/>
      <c r="I74" s="103"/>
      <c r="J74" s="103"/>
      <c r="K74" s="103"/>
      <c r="L74" s="103"/>
      <c r="M74" s="103"/>
      <c r="N74" s="103"/>
      <c r="O74" s="103"/>
      <c r="P74" s="103"/>
      <c r="Q74" s="103"/>
      <c r="R74" s="103"/>
    </row>
    <row r="75" spans="1:18" x14ac:dyDescent="0.2">
      <c r="A75" s="5"/>
      <c r="B75" s="5"/>
      <c r="C75" s="5"/>
      <c r="D75" s="5"/>
      <c r="E75" s="5"/>
      <c r="F75" s="5"/>
      <c r="G75" s="5"/>
      <c r="H75" s="103"/>
      <c r="I75" s="103"/>
      <c r="J75" s="103"/>
      <c r="K75" s="103"/>
      <c r="L75" s="103"/>
      <c r="M75" s="103"/>
      <c r="N75" s="103"/>
      <c r="O75" s="103"/>
      <c r="P75" s="103"/>
      <c r="Q75" s="103"/>
      <c r="R75" s="103"/>
    </row>
    <row r="76" spans="1:18" x14ac:dyDescent="0.2">
      <c r="A76" s="5"/>
      <c r="B76" s="5"/>
      <c r="C76" s="5"/>
      <c r="D76" s="5"/>
      <c r="E76" s="5"/>
      <c r="F76" s="5"/>
      <c r="G76" s="5"/>
      <c r="H76" s="103"/>
      <c r="I76" s="103"/>
      <c r="J76" s="103"/>
      <c r="K76" s="103"/>
      <c r="L76" s="103"/>
      <c r="M76" s="103"/>
      <c r="N76" s="103"/>
      <c r="O76" s="103"/>
      <c r="P76" s="103"/>
      <c r="Q76" s="103"/>
      <c r="R76" s="103"/>
    </row>
    <row r="77" spans="1:18" x14ac:dyDescent="0.2">
      <c r="A77" s="5"/>
      <c r="B77" s="5"/>
      <c r="C77" s="5"/>
      <c r="D77" s="5"/>
      <c r="E77" s="5"/>
      <c r="F77" s="5"/>
      <c r="G77" s="5"/>
      <c r="H77" s="103"/>
      <c r="I77" s="103"/>
      <c r="J77" s="103"/>
      <c r="K77" s="103"/>
      <c r="L77" s="103"/>
      <c r="M77" s="103"/>
      <c r="N77" s="103"/>
      <c r="O77" s="103"/>
      <c r="P77" s="103"/>
      <c r="Q77" s="103"/>
      <c r="R77" s="103"/>
    </row>
    <row r="78" spans="1:18" x14ac:dyDescent="0.2">
      <c r="A78" s="5"/>
      <c r="B78" s="5"/>
      <c r="C78" s="5"/>
      <c r="D78" s="5"/>
      <c r="E78" s="5"/>
      <c r="F78" s="5"/>
      <c r="G78" s="5"/>
      <c r="H78" s="103"/>
      <c r="I78" s="103"/>
      <c r="J78" s="103"/>
      <c r="K78" s="103"/>
      <c r="L78" s="103"/>
      <c r="M78" s="103"/>
      <c r="N78" s="103"/>
      <c r="O78" s="103"/>
      <c r="P78" s="103"/>
      <c r="Q78" s="103"/>
      <c r="R78" s="103"/>
    </row>
    <row r="79" spans="1:18" x14ac:dyDescent="0.2">
      <c r="A79" s="5"/>
      <c r="B79" s="5"/>
      <c r="C79" s="5"/>
      <c r="D79" s="5"/>
      <c r="E79" s="5"/>
      <c r="F79" s="5"/>
      <c r="G79" s="5"/>
      <c r="H79" s="103"/>
      <c r="I79" s="103"/>
      <c r="J79" s="103"/>
      <c r="K79" s="103"/>
      <c r="L79" s="103"/>
      <c r="M79" s="103"/>
      <c r="N79" s="103"/>
      <c r="O79" s="103"/>
      <c r="P79" s="103"/>
      <c r="Q79" s="103"/>
      <c r="R79" s="103"/>
    </row>
    <row r="80" spans="1:18" x14ac:dyDescent="0.2">
      <c r="A80" s="5"/>
      <c r="B80" s="5"/>
      <c r="C80" s="5"/>
      <c r="D80" s="5"/>
      <c r="E80" s="5"/>
      <c r="F80" s="5"/>
      <c r="G80" s="5"/>
      <c r="H80" s="103"/>
      <c r="I80" s="103"/>
      <c r="J80" s="103"/>
      <c r="K80" s="103"/>
      <c r="L80" s="103"/>
      <c r="M80" s="103"/>
      <c r="N80" s="103"/>
      <c r="O80" s="103"/>
      <c r="P80" s="103"/>
      <c r="Q80" s="103"/>
      <c r="R80" s="103"/>
    </row>
    <row r="81" spans="1:18" x14ac:dyDescent="0.2">
      <c r="A81" s="5"/>
      <c r="B81" s="5"/>
      <c r="C81" s="5"/>
      <c r="D81" s="5"/>
      <c r="E81" s="5"/>
      <c r="F81" s="5"/>
      <c r="G81" s="5"/>
      <c r="H81" s="103"/>
      <c r="I81" s="103"/>
      <c r="J81" s="103"/>
      <c r="K81" s="103"/>
      <c r="L81" s="103"/>
      <c r="M81" s="103"/>
      <c r="N81" s="103"/>
      <c r="O81" s="103"/>
      <c r="P81" s="103"/>
      <c r="Q81" s="103"/>
      <c r="R81" s="103"/>
    </row>
    <row r="82" spans="1:18" x14ac:dyDescent="0.2">
      <c r="A82" s="5"/>
      <c r="B82" s="5"/>
      <c r="C82" s="5"/>
      <c r="D82" s="5"/>
      <c r="E82" s="5"/>
      <c r="F82" s="5"/>
      <c r="G82" s="5"/>
      <c r="H82" s="103"/>
      <c r="I82" s="103"/>
      <c r="J82" s="103"/>
      <c r="K82" s="103"/>
      <c r="L82" s="103"/>
      <c r="M82" s="103"/>
      <c r="N82" s="103"/>
      <c r="O82" s="103"/>
      <c r="P82" s="103"/>
      <c r="Q82" s="103"/>
      <c r="R82" s="103"/>
    </row>
    <row r="83" spans="1:18" x14ac:dyDescent="0.2">
      <c r="A83" s="5"/>
      <c r="B83" s="5"/>
      <c r="C83" s="5"/>
      <c r="D83" s="5"/>
      <c r="E83" s="5"/>
      <c r="F83" s="5"/>
      <c r="G83" s="5"/>
      <c r="H83" s="103"/>
      <c r="I83" s="103"/>
      <c r="J83" s="103"/>
      <c r="K83" s="103"/>
      <c r="L83" s="103"/>
      <c r="M83" s="103"/>
      <c r="N83" s="103"/>
      <c r="O83" s="103"/>
      <c r="P83" s="103"/>
      <c r="Q83" s="103"/>
      <c r="R83" s="103"/>
    </row>
    <row r="84" spans="1:18" x14ac:dyDescent="0.2">
      <c r="A84" s="5"/>
      <c r="B84" s="5"/>
      <c r="C84" s="5"/>
      <c r="D84" s="5"/>
      <c r="E84" s="5"/>
      <c r="F84" s="5"/>
      <c r="G84" s="5"/>
      <c r="H84" s="103"/>
      <c r="I84" s="103"/>
      <c r="J84" s="103"/>
      <c r="K84" s="103"/>
      <c r="L84" s="103"/>
      <c r="M84" s="103"/>
      <c r="N84" s="103"/>
      <c r="O84" s="103"/>
      <c r="P84" s="103"/>
      <c r="Q84" s="103"/>
      <c r="R84" s="103"/>
    </row>
    <row r="85" spans="1:18" x14ac:dyDescent="0.2">
      <c r="A85" s="5"/>
      <c r="B85" s="5"/>
      <c r="C85" s="5"/>
      <c r="D85" s="5"/>
      <c r="E85" s="5"/>
      <c r="F85" s="5"/>
      <c r="G85" s="5"/>
      <c r="H85" s="103"/>
      <c r="I85" s="103"/>
      <c r="J85" s="103"/>
      <c r="K85" s="103"/>
      <c r="L85" s="103"/>
      <c r="M85" s="103"/>
      <c r="N85" s="103"/>
      <c r="O85" s="103"/>
      <c r="P85" s="103"/>
      <c r="Q85" s="103"/>
      <c r="R85" s="103"/>
    </row>
    <row r="86" spans="1:18" x14ac:dyDescent="0.2">
      <c r="A86" s="5"/>
      <c r="B86" s="5"/>
      <c r="C86" s="5"/>
      <c r="D86" s="5"/>
      <c r="E86" s="5"/>
      <c r="F86" s="5"/>
      <c r="G86" s="5"/>
      <c r="H86" s="103"/>
      <c r="I86" s="103"/>
      <c r="J86" s="103"/>
      <c r="K86" s="103"/>
      <c r="L86" s="103"/>
      <c r="M86" s="103"/>
      <c r="N86" s="103"/>
      <c r="O86" s="103"/>
      <c r="P86" s="103"/>
      <c r="Q86" s="103"/>
      <c r="R86" s="103"/>
    </row>
    <row r="87" spans="1:18" x14ac:dyDescent="0.2">
      <c r="A87" s="5"/>
      <c r="B87" s="5"/>
      <c r="C87" s="5"/>
      <c r="D87" s="5"/>
      <c r="E87" s="5"/>
      <c r="F87" s="5"/>
      <c r="G87" s="5"/>
      <c r="H87" s="103"/>
      <c r="I87" s="103"/>
      <c r="J87" s="103"/>
      <c r="K87" s="103"/>
      <c r="L87" s="103"/>
      <c r="M87" s="103"/>
      <c r="N87" s="103"/>
      <c r="O87" s="103"/>
      <c r="P87" s="103"/>
      <c r="Q87" s="103"/>
      <c r="R87" s="103"/>
    </row>
    <row r="88" spans="1:18" x14ac:dyDescent="0.2">
      <c r="A88" s="5"/>
      <c r="B88" s="5"/>
      <c r="C88" s="5"/>
      <c r="D88" s="5"/>
      <c r="E88" s="5"/>
      <c r="F88" s="5"/>
      <c r="G88" s="5"/>
      <c r="H88" s="103"/>
      <c r="I88" s="103"/>
      <c r="J88" s="103"/>
      <c r="K88" s="103"/>
      <c r="L88" s="103"/>
      <c r="M88" s="103"/>
      <c r="N88" s="103"/>
      <c r="O88" s="103"/>
      <c r="P88" s="103"/>
      <c r="Q88" s="103"/>
      <c r="R88" s="103"/>
    </row>
    <row r="89" spans="1:18" x14ac:dyDescent="0.2">
      <c r="A89" s="5"/>
      <c r="B89" s="5"/>
      <c r="C89" s="5"/>
      <c r="D89" s="5"/>
      <c r="E89" s="5"/>
      <c r="F89" s="5"/>
      <c r="G89" s="5"/>
      <c r="H89" s="103"/>
      <c r="I89" s="103"/>
      <c r="J89" s="103"/>
      <c r="K89" s="103"/>
      <c r="L89" s="103"/>
      <c r="M89" s="103"/>
      <c r="N89" s="103"/>
      <c r="O89" s="103"/>
      <c r="P89" s="103"/>
      <c r="Q89" s="103"/>
      <c r="R89" s="103"/>
    </row>
    <row r="90" spans="1:18" x14ac:dyDescent="0.2">
      <c r="A90" s="5"/>
      <c r="B90" s="5"/>
      <c r="C90" s="5"/>
      <c r="D90" s="5"/>
      <c r="E90" s="5"/>
      <c r="F90" s="5"/>
      <c r="G90" s="5"/>
      <c r="H90" s="103"/>
      <c r="I90" s="103"/>
      <c r="J90" s="103"/>
      <c r="K90" s="103"/>
      <c r="L90" s="103"/>
      <c r="M90" s="103"/>
      <c r="N90" s="103"/>
      <c r="O90" s="103"/>
      <c r="P90" s="103"/>
      <c r="Q90" s="103"/>
      <c r="R90" s="103"/>
    </row>
    <row r="91" spans="1:18" x14ac:dyDescent="0.2">
      <c r="A91" s="5"/>
      <c r="B91" s="5"/>
      <c r="C91" s="5"/>
      <c r="D91" s="5"/>
      <c r="E91" s="5"/>
      <c r="F91" s="5"/>
      <c r="G91" s="5"/>
      <c r="H91" s="103"/>
      <c r="I91" s="103"/>
      <c r="J91" s="103"/>
      <c r="K91" s="103"/>
      <c r="L91" s="103"/>
      <c r="M91" s="103"/>
      <c r="N91" s="103"/>
      <c r="O91" s="103"/>
      <c r="P91" s="103"/>
      <c r="Q91" s="103"/>
      <c r="R91" s="103"/>
    </row>
    <row r="92" spans="1:18" x14ac:dyDescent="0.2">
      <c r="A92" s="5"/>
      <c r="B92" s="5"/>
      <c r="C92" s="5"/>
      <c r="D92" s="5"/>
      <c r="E92" s="5"/>
      <c r="F92" s="5"/>
      <c r="G92" s="5"/>
      <c r="H92" s="103"/>
      <c r="I92" s="103"/>
      <c r="J92" s="103"/>
      <c r="K92" s="103"/>
      <c r="L92" s="103"/>
      <c r="M92" s="103"/>
      <c r="N92" s="103"/>
      <c r="O92" s="103"/>
      <c r="P92" s="103"/>
      <c r="Q92" s="103"/>
      <c r="R92" s="103"/>
    </row>
    <row r="93" spans="1:18" x14ac:dyDescent="0.2">
      <c r="A93" s="5"/>
      <c r="B93" s="5"/>
      <c r="C93" s="5"/>
      <c r="D93" s="5"/>
      <c r="E93" s="5"/>
      <c r="F93" s="5"/>
      <c r="G93" s="5"/>
      <c r="H93" s="103"/>
      <c r="I93" s="103"/>
      <c r="J93" s="103"/>
      <c r="K93" s="103"/>
      <c r="L93" s="103"/>
      <c r="M93" s="103"/>
      <c r="N93" s="103"/>
      <c r="O93" s="103"/>
      <c r="P93" s="103"/>
      <c r="Q93" s="103"/>
      <c r="R93" s="103"/>
    </row>
    <row r="94" spans="1:18" x14ac:dyDescent="0.2">
      <c r="A94" s="5"/>
      <c r="B94" s="5"/>
      <c r="C94" s="5"/>
      <c r="D94" s="5"/>
      <c r="E94" s="5"/>
      <c r="F94" s="5"/>
      <c r="G94" s="5"/>
      <c r="H94" s="103"/>
      <c r="I94" s="103"/>
      <c r="J94" s="103"/>
      <c r="K94" s="103"/>
      <c r="L94" s="103"/>
      <c r="M94" s="103"/>
      <c r="N94" s="103"/>
      <c r="O94" s="103"/>
      <c r="P94" s="103"/>
      <c r="Q94" s="103"/>
      <c r="R94" s="103"/>
    </row>
    <row r="95" spans="1:18" x14ac:dyDescent="0.2">
      <c r="A95" s="5"/>
      <c r="B95" s="5"/>
      <c r="C95" s="5"/>
      <c r="D95" s="5"/>
      <c r="E95" s="5"/>
      <c r="F95" s="5"/>
      <c r="G95" s="5"/>
      <c r="H95" s="103"/>
      <c r="I95" s="103"/>
      <c r="J95" s="103"/>
      <c r="K95" s="103"/>
      <c r="L95" s="103"/>
      <c r="M95" s="103"/>
      <c r="N95" s="103"/>
      <c r="O95" s="103"/>
      <c r="P95" s="103"/>
      <c r="Q95" s="103"/>
      <c r="R95" s="103"/>
    </row>
    <row r="96" spans="1:18" x14ac:dyDescent="0.2">
      <c r="A96" s="5"/>
      <c r="B96" s="5"/>
      <c r="C96" s="5"/>
      <c r="D96" s="5"/>
      <c r="E96" s="5"/>
      <c r="F96" s="5"/>
      <c r="G96" s="5"/>
      <c r="H96" s="103"/>
      <c r="I96" s="103"/>
      <c r="J96" s="103"/>
      <c r="K96" s="103"/>
      <c r="L96" s="103"/>
      <c r="M96" s="103"/>
      <c r="N96" s="103"/>
      <c r="O96" s="103"/>
      <c r="P96" s="103"/>
      <c r="Q96" s="103"/>
      <c r="R96" s="103"/>
    </row>
    <row r="97" spans="1:18" x14ac:dyDescent="0.2">
      <c r="A97" s="5"/>
      <c r="B97" s="5"/>
      <c r="C97" s="5"/>
      <c r="D97" s="5"/>
      <c r="E97" s="5"/>
      <c r="F97" s="5"/>
      <c r="G97" s="5"/>
      <c r="H97" s="103"/>
      <c r="I97" s="103"/>
      <c r="J97" s="103"/>
      <c r="K97" s="103"/>
      <c r="L97" s="103"/>
      <c r="M97" s="103"/>
      <c r="N97" s="103"/>
      <c r="O97" s="103"/>
      <c r="P97" s="103"/>
      <c r="Q97" s="103"/>
      <c r="R97" s="103"/>
    </row>
    <row r="98" spans="1:18" x14ac:dyDescent="0.2">
      <c r="A98" s="5"/>
      <c r="B98" s="5"/>
      <c r="C98" s="5"/>
      <c r="D98" s="5"/>
      <c r="E98" s="5"/>
      <c r="F98" s="5"/>
      <c r="G98" s="5"/>
      <c r="H98" s="103"/>
      <c r="I98" s="103"/>
      <c r="J98" s="103"/>
      <c r="K98" s="103"/>
      <c r="L98" s="103"/>
      <c r="M98" s="103"/>
      <c r="N98" s="103"/>
      <c r="O98" s="103"/>
      <c r="P98" s="103"/>
      <c r="Q98" s="103"/>
      <c r="R98" s="103"/>
    </row>
    <row r="99" spans="1:18" x14ac:dyDescent="0.2">
      <c r="A99" s="5"/>
      <c r="B99" s="5"/>
      <c r="C99" s="5"/>
      <c r="D99" s="5"/>
      <c r="E99" s="5"/>
      <c r="F99" s="5"/>
      <c r="G99" s="5"/>
      <c r="H99" s="103"/>
      <c r="I99" s="103"/>
      <c r="J99" s="103"/>
      <c r="K99" s="103"/>
      <c r="L99" s="103"/>
      <c r="M99" s="103"/>
      <c r="N99" s="103"/>
      <c r="O99" s="103"/>
      <c r="P99" s="103"/>
      <c r="Q99" s="103"/>
      <c r="R99" s="103"/>
    </row>
    <row r="100" spans="1:18" x14ac:dyDescent="0.2">
      <c r="A100" s="5"/>
      <c r="B100" s="5"/>
      <c r="C100" s="5"/>
      <c r="D100" s="5"/>
      <c r="E100" s="5"/>
      <c r="F100" s="5"/>
      <c r="G100" s="5"/>
      <c r="H100" s="103"/>
      <c r="I100" s="103"/>
      <c r="J100" s="103"/>
      <c r="K100" s="103"/>
      <c r="L100" s="103"/>
      <c r="M100" s="103"/>
      <c r="N100" s="103"/>
      <c r="O100" s="103"/>
      <c r="P100" s="103"/>
      <c r="Q100" s="103"/>
      <c r="R100" s="103"/>
    </row>
    <row r="101" spans="1:18" x14ac:dyDescent="0.2">
      <c r="A101" s="5"/>
      <c r="B101" s="5"/>
      <c r="C101" s="5"/>
      <c r="D101" s="5"/>
      <c r="E101" s="5"/>
      <c r="F101" s="5"/>
      <c r="G101" s="5"/>
      <c r="H101" s="103"/>
      <c r="I101" s="103"/>
      <c r="J101" s="103"/>
      <c r="K101" s="103"/>
      <c r="L101" s="103"/>
      <c r="M101" s="103"/>
      <c r="N101" s="103"/>
      <c r="O101" s="103"/>
      <c r="P101" s="103"/>
      <c r="Q101" s="103"/>
      <c r="R101" s="103"/>
    </row>
    <row r="102" spans="1:18" x14ac:dyDescent="0.2">
      <c r="A102" s="5"/>
      <c r="B102" s="5"/>
      <c r="C102" s="5"/>
      <c r="D102" s="5"/>
      <c r="E102" s="5"/>
      <c r="F102" s="5"/>
      <c r="G102" s="5"/>
      <c r="H102" s="103"/>
      <c r="I102" s="103"/>
      <c r="J102" s="103"/>
      <c r="K102" s="103"/>
      <c r="L102" s="103"/>
      <c r="M102" s="103"/>
      <c r="N102" s="103"/>
      <c r="O102" s="103"/>
      <c r="P102" s="103"/>
      <c r="Q102" s="103"/>
      <c r="R102" s="103"/>
    </row>
    <row r="103" spans="1:18" x14ac:dyDescent="0.2">
      <c r="A103" s="5"/>
      <c r="B103" s="5"/>
      <c r="C103" s="5"/>
      <c r="D103" s="5"/>
      <c r="E103" s="5"/>
      <c r="F103" s="5"/>
      <c r="G103" s="5"/>
      <c r="H103" s="103"/>
      <c r="I103" s="103"/>
      <c r="J103" s="103"/>
      <c r="K103" s="103"/>
      <c r="L103" s="103"/>
      <c r="M103" s="103"/>
      <c r="N103" s="103"/>
      <c r="O103" s="103"/>
      <c r="P103" s="103"/>
      <c r="Q103" s="103"/>
      <c r="R103" s="103"/>
    </row>
    <row r="104" spans="1:18" x14ac:dyDescent="0.2">
      <c r="A104" s="5"/>
      <c r="B104" s="5"/>
      <c r="C104" s="5"/>
      <c r="D104" s="5"/>
      <c r="E104" s="5"/>
      <c r="F104" s="5"/>
      <c r="G104" s="5"/>
      <c r="H104" s="103"/>
      <c r="I104" s="103"/>
      <c r="J104" s="103"/>
      <c r="K104" s="103"/>
      <c r="L104" s="103"/>
      <c r="M104" s="103"/>
      <c r="N104" s="103"/>
      <c r="O104" s="103"/>
      <c r="P104" s="103"/>
      <c r="Q104" s="103"/>
      <c r="R104" s="103"/>
    </row>
    <row r="105" spans="1:18" x14ac:dyDescent="0.2">
      <c r="A105" s="5"/>
      <c r="B105" s="5"/>
      <c r="C105" s="5"/>
      <c r="D105" s="5"/>
      <c r="E105" s="5"/>
      <c r="F105" s="5"/>
      <c r="G105" s="5"/>
      <c r="H105" s="103"/>
      <c r="I105" s="103"/>
      <c r="J105" s="103"/>
      <c r="K105" s="103"/>
      <c r="L105" s="103"/>
      <c r="M105" s="103"/>
      <c r="N105" s="103"/>
      <c r="O105" s="103"/>
      <c r="P105" s="103"/>
      <c r="Q105" s="103"/>
      <c r="R105" s="103"/>
    </row>
    <row r="106" spans="1:18" x14ac:dyDescent="0.2">
      <c r="A106" s="5"/>
      <c r="B106" s="5"/>
      <c r="C106" s="5"/>
      <c r="D106" s="5"/>
      <c r="E106" s="5"/>
      <c r="F106" s="5"/>
      <c r="G106" s="5"/>
      <c r="H106" s="103"/>
      <c r="I106" s="103"/>
      <c r="J106" s="103"/>
      <c r="K106" s="103"/>
      <c r="L106" s="103"/>
      <c r="M106" s="103"/>
      <c r="N106" s="103"/>
      <c r="O106" s="103"/>
      <c r="P106" s="103"/>
      <c r="Q106" s="103"/>
      <c r="R106" s="103"/>
    </row>
    <row r="107" spans="1:18" x14ac:dyDescent="0.2">
      <c r="A107" s="5"/>
      <c r="B107" s="5"/>
      <c r="C107" s="5"/>
      <c r="D107" s="5"/>
      <c r="E107" s="5"/>
      <c r="F107" s="5"/>
      <c r="G107" s="5"/>
      <c r="H107" s="103"/>
      <c r="I107" s="103"/>
      <c r="J107" s="103"/>
      <c r="K107" s="103"/>
      <c r="L107" s="103"/>
      <c r="M107" s="103"/>
      <c r="N107" s="103"/>
      <c r="O107" s="103"/>
      <c r="P107" s="103"/>
      <c r="Q107" s="103"/>
      <c r="R107" s="103"/>
    </row>
    <row r="108" spans="1:18" x14ac:dyDescent="0.2">
      <c r="A108" s="5"/>
      <c r="B108" s="5"/>
      <c r="C108" s="5"/>
      <c r="D108" s="5"/>
      <c r="E108" s="5"/>
      <c r="F108" s="5"/>
      <c r="G108" s="5"/>
      <c r="H108" s="103"/>
      <c r="I108" s="103"/>
      <c r="J108" s="103"/>
      <c r="K108" s="103"/>
      <c r="L108" s="103"/>
      <c r="M108" s="103"/>
      <c r="N108" s="103"/>
      <c r="O108" s="103"/>
      <c r="P108" s="103"/>
      <c r="Q108" s="103"/>
      <c r="R108" s="103"/>
    </row>
    <row r="109" spans="1:18" x14ac:dyDescent="0.2">
      <c r="A109" s="5"/>
      <c r="B109" s="5"/>
      <c r="C109" s="5"/>
      <c r="D109" s="5"/>
      <c r="E109" s="5"/>
      <c r="F109" s="5"/>
      <c r="G109" s="5"/>
      <c r="H109" s="103"/>
      <c r="I109" s="103"/>
      <c r="J109" s="103"/>
      <c r="K109" s="103"/>
      <c r="L109" s="103"/>
      <c r="M109" s="103"/>
      <c r="N109" s="103"/>
      <c r="O109" s="103"/>
      <c r="P109" s="103"/>
      <c r="Q109" s="103"/>
      <c r="R109" s="103"/>
    </row>
    <row r="110" spans="1:18" x14ac:dyDescent="0.2">
      <c r="A110" s="5"/>
      <c r="B110" s="5"/>
      <c r="C110" s="5"/>
      <c r="D110" s="5"/>
      <c r="E110" s="5"/>
      <c r="F110" s="5"/>
      <c r="G110" s="5"/>
      <c r="H110" s="103"/>
      <c r="I110" s="103"/>
      <c r="J110" s="103"/>
      <c r="K110" s="103"/>
      <c r="L110" s="103"/>
      <c r="M110" s="103"/>
      <c r="N110" s="103"/>
      <c r="O110" s="103"/>
      <c r="P110" s="103"/>
      <c r="Q110" s="103"/>
      <c r="R110" s="103"/>
    </row>
    <row r="111" spans="1:18" x14ac:dyDescent="0.2">
      <c r="A111" s="5"/>
      <c r="B111" s="5"/>
      <c r="C111" s="5"/>
      <c r="D111" s="5"/>
      <c r="E111" s="5"/>
      <c r="F111" s="5"/>
      <c r="G111" s="5"/>
      <c r="H111" s="103"/>
      <c r="I111" s="103"/>
      <c r="J111" s="103"/>
      <c r="K111" s="103"/>
      <c r="L111" s="103"/>
      <c r="M111" s="103"/>
      <c r="N111" s="103"/>
      <c r="O111" s="103"/>
      <c r="P111" s="103"/>
      <c r="Q111" s="103"/>
      <c r="R111" s="103"/>
    </row>
    <row r="112" spans="1:18" x14ac:dyDescent="0.2">
      <c r="A112" s="5"/>
      <c r="B112" s="5"/>
      <c r="C112" s="5"/>
      <c r="D112" s="5"/>
      <c r="E112" s="5"/>
      <c r="F112" s="5"/>
      <c r="G112" s="5"/>
      <c r="H112" s="103"/>
      <c r="I112" s="103"/>
      <c r="J112" s="103"/>
      <c r="K112" s="103"/>
      <c r="L112" s="103"/>
      <c r="M112" s="103"/>
      <c r="N112" s="103"/>
      <c r="O112" s="103"/>
      <c r="P112" s="103"/>
      <c r="Q112" s="103"/>
      <c r="R112" s="103"/>
    </row>
    <row r="113" spans="1:18" x14ac:dyDescent="0.2">
      <c r="A113" s="5"/>
      <c r="B113" s="5"/>
      <c r="C113" s="5"/>
      <c r="D113" s="5"/>
      <c r="E113" s="5"/>
      <c r="F113" s="5"/>
      <c r="G113" s="5"/>
      <c r="H113" s="103"/>
      <c r="I113" s="103"/>
      <c r="J113" s="103"/>
      <c r="K113" s="103"/>
      <c r="L113" s="103"/>
      <c r="M113" s="103"/>
      <c r="N113" s="103"/>
      <c r="O113" s="103"/>
      <c r="P113" s="103"/>
      <c r="Q113" s="103"/>
      <c r="R113" s="103"/>
    </row>
    <row r="114" spans="1:18" x14ac:dyDescent="0.2">
      <c r="A114" s="5"/>
      <c r="B114" s="5"/>
      <c r="C114" s="5"/>
      <c r="D114" s="5"/>
      <c r="E114" s="5"/>
      <c r="F114" s="5"/>
      <c r="G114" s="5"/>
      <c r="H114" s="103"/>
      <c r="I114" s="103"/>
      <c r="J114" s="103"/>
      <c r="K114" s="103"/>
      <c r="L114" s="103"/>
      <c r="M114" s="103"/>
      <c r="N114" s="103"/>
      <c r="O114" s="103"/>
      <c r="P114" s="103"/>
      <c r="Q114" s="103"/>
      <c r="R114" s="103"/>
    </row>
    <row r="115" spans="1:18" x14ac:dyDescent="0.2">
      <c r="A115" s="5"/>
      <c r="B115" s="5"/>
      <c r="C115" s="5"/>
      <c r="D115" s="5"/>
      <c r="E115" s="5"/>
      <c r="F115" s="5"/>
      <c r="G115" s="5"/>
      <c r="H115" s="103"/>
      <c r="I115" s="103"/>
      <c r="J115" s="103"/>
      <c r="K115" s="103"/>
      <c r="L115" s="103"/>
      <c r="M115" s="103"/>
      <c r="N115" s="103"/>
      <c r="O115" s="103"/>
      <c r="P115" s="103"/>
      <c r="Q115" s="103"/>
      <c r="R115" s="103"/>
    </row>
    <row r="116" spans="1:18" x14ac:dyDescent="0.2">
      <c r="A116" s="5"/>
      <c r="B116" s="5"/>
      <c r="C116" s="5"/>
      <c r="D116" s="5"/>
      <c r="E116" s="5"/>
      <c r="F116" s="5"/>
      <c r="G116" s="5"/>
      <c r="H116" s="103"/>
      <c r="I116" s="103"/>
      <c r="J116" s="103"/>
      <c r="K116" s="103"/>
      <c r="L116" s="103"/>
      <c r="M116" s="103"/>
      <c r="N116" s="103"/>
      <c r="O116" s="103"/>
      <c r="P116" s="103"/>
      <c r="Q116" s="103"/>
      <c r="R116" s="103"/>
    </row>
    <row r="117" spans="1:18" x14ac:dyDescent="0.2">
      <c r="A117" s="5"/>
      <c r="B117" s="5"/>
      <c r="C117" s="5"/>
      <c r="D117" s="5"/>
      <c r="E117" s="5"/>
      <c r="F117" s="5"/>
      <c r="G117" s="5"/>
      <c r="H117" s="103"/>
      <c r="I117" s="103"/>
      <c r="J117" s="103"/>
      <c r="K117" s="103"/>
      <c r="L117" s="103"/>
      <c r="M117" s="103"/>
      <c r="N117" s="103"/>
      <c r="O117" s="103"/>
      <c r="P117" s="103"/>
      <c r="Q117" s="103"/>
      <c r="R117" s="103"/>
    </row>
    <row r="118" spans="1:18" x14ac:dyDescent="0.2">
      <c r="A118" s="5"/>
      <c r="B118" s="5"/>
      <c r="C118" s="5"/>
      <c r="D118" s="5"/>
      <c r="E118" s="5"/>
      <c r="F118" s="5"/>
      <c r="G118" s="5"/>
      <c r="H118" s="103"/>
      <c r="I118" s="103"/>
      <c r="J118" s="103"/>
      <c r="K118" s="103"/>
      <c r="L118" s="103"/>
      <c r="M118" s="103"/>
      <c r="N118" s="103"/>
      <c r="O118" s="103"/>
      <c r="P118" s="103"/>
      <c r="Q118" s="103"/>
      <c r="R118" s="103"/>
    </row>
    <row r="119" spans="1:18" x14ac:dyDescent="0.2">
      <c r="A119" s="5"/>
      <c r="B119" s="5"/>
      <c r="C119" s="5"/>
      <c r="D119" s="5"/>
      <c r="E119" s="5"/>
      <c r="F119" s="5"/>
      <c r="G119" s="5"/>
      <c r="H119" s="103"/>
      <c r="I119" s="103"/>
      <c r="J119" s="103"/>
      <c r="K119" s="103"/>
      <c r="L119" s="103"/>
      <c r="M119" s="103"/>
      <c r="N119" s="103"/>
      <c r="O119" s="103"/>
      <c r="P119" s="103"/>
      <c r="Q119" s="103"/>
      <c r="R119" s="103"/>
    </row>
    <row r="120" spans="1:18" x14ac:dyDescent="0.2">
      <c r="A120" s="5"/>
      <c r="B120" s="5"/>
      <c r="C120" s="5"/>
      <c r="D120" s="5"/>
      <c r="E120" s="5"/>
      <c r="F120" s="5"/>
      <c r="G120" s="5"/>
      <c r="H120" s="103"/>
      <c r="I120" s="103"/>
      <c r="J120" s="103"/>
      <c r="K120" s="103"/>
      <c r="L120" s="103"/>
      <c r="M120" s="103"/>
      <c r="N120" s="103"/>
      <c r="O120" s="103"/>
      <c r="P120" s="103"/>
      <c r="Q120" s="103"/>
      <c r="R120" s="103"/>
    </row>
    <row r="121" spans="1:18" x14ac:dyDescent="0.2">
      <c r="A121" s="5"/>
      <c r="B121" s="5"/>
      <c r="C121" s="5"/>
      <c r="D121" s="5"/>
      <c r="E121" s="5"/>
      <c r="F121" s="5"/>
      <c r="G121" s="5"/>
      <c r="H121" s="103"/>
      <c r="I121" s="103"/>
      <c r="J121" s="103"/>
      <c r="K121" s="103"/>
      <c r="L121" s="103"/>
      <c r="M121" s="103"/>
      <c r="N121" s="103"/>
      <c r="O121" s="103"/>
      <c r="P121" s="103"/>
      <c r="Q121" s="103"/>
      <c r="R121" s="103"/>
    </row>
    <row r="122" spans="1:18" x14ac:dyDescent="0.2">
      <c r="A122" s="5"/>
      <c r="B122" s="5"/>
      <c r="C122" s="5"/>
      <c r="D122" s="5"/>
      <c r="E122" s="5"/>
      <c r="F122" s="5"/>
      <c r="G122" s="5"/>
      <c r="H122" s="103"/>
      <c r="I122" s="103"/>
      <c r="J122" s="103"/>
      <c r="K122" s="103"/>
      <c r="L122" s="103"/>
      <c r="M122" s="103"/>
      <c r="N122" s="103"/>
      <c r="O122" s="103"/>
      <c r="P122" s="103"/>
      <c r="Q122" s="103"/>
      <c r="R122" s="103"/>
    </row>
    <row r="123" spans="1:18" x14ac:dyDescent="0.2">
      <c r="A123" s="5"/>
      <c r="B123" s="5"/>
      <c r="C123" s="5"/>
      <c r="D123" s="5"/>
      <c r="E123" s="5"/>
      <c r="F123" s="5"/>
      <c r="G123" s="5"/>
      <c r="H123" s="103"/>
      <c r="I123" s="103"/>
      <c r="J123" s="103"/>
      <c r="K123" s="103"/>
      <c r="L123" s="103"/>
      <c r="M123" s="103"/>
      <c r="N123" s="103"/>
      <c r="O123" s="103"/>
      <c r="P123" s="103"/>
      <c r="Q123" s="103"/>
      <c r="R123" s="103"/>
    </row>
    <row r="124" spans="1:18" x14ac:dyDescent="0.2">
      <c r="A124" s="5"/>
      <c r="B124" s="5"/>
      <c r="C124" s="5"/>
      <c r="D124" s="5"/>
      <c r="E124" s="5"/>
      <c r="F124" s="5"/>
      <c r="G124" s="5"/>
      <c r="H124" s="103"/>
      <c r="I124" s="103"/>
      <c r="J124" s="103"/>
      <c r="K124" s="103"/>
      <c r="L124" s="103"/>
      <c r="M124" s="103"/>
      <c r="N124" s="103"/>
      <c r="O124" s="103"/>
      <c r="P124" s="103"/>
      <c r="Q124" s="103"/>
      <c r="R124" s="103"/>
    </row>
    <row r="125" spans="1:18" x14ac:dyDescent="0.2">
      <c r="A125" s="5"/>
      <c r="B125" s="5"/>
      <c r="C125" s="5"/>
      <c r="D125" s="5"/>
      <c r="E125" s="5"/>
      <c r="F125" s="5"/>
      <c r="G125" s="5"/>
      <c r="H125" s="103"/>
      <c r="I125" s="103"/>
      <c r="J125" s="103"/>
      <c r="K125" s="103"/>
      <c r="L125" s="103"/>
      <c r="M125" s="103"/>
      <c r="N125" s="103"/>
      <c r="O125" s="103"/>
      <c r="P125" s="103"/>
      <c r="Q125" s="103"/>
      <c r="R125" s="103"/>
    </row>
    <row r="126" spans="1:18" x14ac:dyDescent="0.2">
      <c r="A126" s="5"/>
      <c r="B126" s="5"/>
      <c r="C126" s="5"/>
      <c r="D126" s="5"/>
      <c r="E126" s="5"/>
      <c r="F126" s="5"/>
      <c r="G126" s="5"/>
      <c r="H126" s="103"/>
      <c r="I126" s="103"/>
      <c r="J126" s="103"/>
      <c r="K126" s="103"/>
      <c r="L126" s="103"/>
      <c r="M126" s="103"/>
      <c r="N126" s="103"/>
      <c r="O126" s="103"/>
      <c r="P126" s="103"/>
      <c r="Q126" s="103"/>
      <c r="R126" s="103"/>
    </row>
    <row r="127" spans="1:18" x14ac:dyDescent="0.2">
      <c r="A127" s="5"/>
      <c r="B127" s="5"/>
      <c r="C127" s="5"/>
      <c r="D127" s="5"/>
      <c r="E127" s="5"/>
      <c r="F127" s="5"/>
      <c r="G127" s="5"/>
      <c r="H127" s="103"/>
      <c r="I127" s="103"/>
      <c r="J127" s="103"/>
      <c r="K127" s="103"/>
      <c r="L127" s="103"/>
      <c r="M127" s="103"/>
      <c r="N127" s="103"/>
      <c r="O127" s="103"/>
      <c r="P127" s="103"/>
      <c r="Q127" s="103"/>
      <c r="R127" s="103"/>
    </row>
    <row r="128" spans="1:18" x14ac:dyDescent="0.2">
      <c r="A128" s="5"/>
      <c r="B128" s="5"/>
      <c r="C128" s="5"/>
      <c r="D128" s="5"/>
      <c r="E128" s="5"/>
      <c r="F128" s="5"/>
      <c r="G128" s="5"/>
      <c r="H128" s="103"/>
      <c r="I128" s="103"/>
      <c r="J128" s="103"/>
      <c r="K128" s="103"/>
      <c r="L128" s="103"/>
      <c r="M128" s="103"/>
      <c r="N128" s="103"/>
      <c r="O128" s="103"/>
      <c r="P128" s="103"/>
      <c r="Q128" s="103"/>
      <c r="R128" s="103"/>
    </row>
    <row r="129" spans="1:18" x14ac:dyDescent="0.2">
      <c r="A129" s="5"/>
      <c r="B129" s="5"/>
      <c r="C129" s="5"/>
      <c r="D129" s="5"/>
      <c r="E129" s="5"/>
      <c r="F129" s="5"/>
      <c r="G129" s="5"/>
      <c r="H129" s="103"/>
      <c r="I129" s="103"/>
      <c r="J129" s="103"/>
      <c r="K129" s="103"/>
      <c r="L129" s="103"/>
      <c r="M129" s="103"/>
      <c r="N129" s="103"/>
      <c r="O129" s="103"/>
      <c r="P129" s="103"/>
      <c r="Q129" s="103"/>
      <c r="R129" s="103"/>
    </row>
    <row r="130" spans="1:18" x14ac:dyDescent="0.2">
      <c r="A130" s="5"/>
      <c r="B130" s="5"/>
      <c r="C130" s="5"/>
      <c r="D130" s="5"/>
      <c r="E130" s="5"/>
      <c r="F130" s="5"/>
      <c r="G130" s="5"/>
      <c r="H130" s="103"/>
      <c r="I130" s="103"/>
      <c r="J130" s="103"/>
      <c r="K130" s="103"/>
      <c r="L130" s="103"/>
      <c r="M130" s="103"/>
      <c r="N130" s="103"/>
      <c r="O130" s="103"/>
      <c r="P130" s="103"/>
      <c r="Q130" s="103"/>
      <c r="R130" s="103"/>
    </row>
    <row r="131" spans="1:18" x14ac:dyDescent="0.2">
      <c r="A131" s="5"/>
      <c r="B131" s="5"/>
      <c r="C131" s="5"/>
      <c r="D131" s="5"/>
      <c r="E131" s="5"/>
      <c r="F131" s="5"/>
      <c r="G131" s="5"/>
      <c r="H131" s="103"/>
      <c r="I131" s="103"/>
      <c r="J131" s="103"/>
      <c r="K131" s="103"/>
      <c r="L131" s="103"/>
      <c r="M131" s="103"/>
      <c r="N131" s="103"/>
      <c r="O131" s="103"/>
      <c r="P131" s="103"/>
      <c r="Q131" s="103"/>
      <c r="R131" s="103"/>
    </row>
    <row r="132" spans="1:18" x14ac:dyDescent="0.2">
      <c r="A132" s="5"/>
      <c r="B132" s="5"/>
      <c r="C132" s="5"/>
      <c r="D132" s="5"/>
      <c r="E132" s="5"/>
      <c r="F132" s="5"/>
      <c r="G132" s="5"/>
      <c r="H132" s="103"/>
      <c r="I132" s="103"/>
      <c r="J132" s="103"/>
      <c r="K132" s="103"/>
      <c r="L132" s="103"/>
      <c r="M132" s="103"/>
      <c r="N132" s="103"/>
      <c r="O132" s="103"/>
      <c r="P132" s="103"/>
      <c r="Q132" s="103"/>
      <c r="R132" s="103"/>
    </row>
    <row r="133" spans="1:18" x14ac:dyDescent="0.2">
      <c r="A133" s="5"/>
      <c r="B133" s="5"/>
      <c r="C133" s="5"/>
      <c r="D133" s="5"/>
      <c r="E133" s="5"/>
      <c r="F133" s="5"/>
      <c r="G133" s="5"/>
      <c r="H133" s="103"/>
      <c r="I133" s="103"/>
      <c r="J133" s="103"/>
      <c r="K133" s="103"/>
      <c r="L133" s="103"/>
      <c r="M133" s="103"/>
      <c r="N133" s="103"/>
      <c r="O133" s="103"/>
      <c r="P133" s="103"/>
      <c r="Q133" s="103"/>
      <c r="R133" s="103"/>
    </row>
    <row r="134" spans="1:18" x14ac:dyDescent="0.2">
      <c r="A134" s="5"/>
      <c r="B134" s="5"/>
      <c r="C134" s="5"/>
      <c r="D134" s="5"/>
      <c r="E134" s="5"/>
      <c r="F134" s="5"/>
      <c r="G134" s="5"/>
      <c r="H134" s="103"/>
      <c r="I134" s="103"/>
      <c r="J134" s="103"/>
      <c r="K134" s="103"/>
      <c r="L134" s="103"/>
      <c r="M134" s="103"/>
      <c r="N134" s="103"/>
      <c r="O134" s="103"/>
      <c r="P134" s="103"/>
      <c r="Q134" s="103"/>
      <c r="R134" s="103"/>
    </row>
    <row r="135" spans="1:18" x14ac:dyDescent="0.2">
      <c r="A135" s="5"/>
      <c r="B135" s="5"/>
      <c r="C135" s="5"/>
      <c r="D135" s="5"/>
      <c r="E135" s="5"/>
      <c r="F135" s="5"/>
      <c r="G135" s="5"/>
      <c r="H135" s="103"/>
      <c r="I135" s="103"/>
      <c r="J135" s="103"/>
      <c r="K135" s="103"/>
      <c r="L135" s="103"/>
      <c r="M135" s="103"/>
      <c r="N135" s="103"/>
      <c r="O135" s="103"/>
      <c r="P135" s="103"/>
      <c r="Q135" s="103"/>
      <c r="R135" s="103"/>
    </row>
    <row r="136" spans="1:18" x14ac:dyDescent="0.2">
      <c r="A136" s="5"/>
      <c r="B136" s="5"/>
      <c r="C136" s="5"/>
      <c r="D136" s="5"/>
      <c r="E136" s="5"/>
      <c r="F136" s="5"/>
      <c r="G136" s="5"/>
      <c r="H136" s="103"/>
      <c r="I136" s="103"/>
      <c r="J136" s="103"/>
      <c r="K136" s="103"/>
      <c r="L136" s="103"/>
      <c r="M136" s="103"/>
      <c r="N136" s="103"/>
      <c r="O136" s="103"/>
      <c r="P136" s="103"/>
      <c r="Q136" s="103"/>
      <c r="R136" s="103"/>
    </row>
    <row r="137" spans="1:18" x14ac:dyDescent="0.2">
      <c r="A137" s="5"/>
      <c r="B137" s="5"/>
      <c r="C137" s="5"/>
      <c r="D137" s="5"/>
      <c r="E137" s="5"/>
      <c r="F137" s="5"/>
      <c r="G137" s="5"/>
      <c r="H137" s="103"/>
      <c r="I137" s="103"/>
      <c r="J137" s="103"/>
      <c r="K137" s="103"/>
      <c r="L137" s="103"/>
      <c r="M137" s="103"/>
      <c r="N137" s="103"/>
      <c r="O137" s="103"/>
      <c r="P137" s="103"/>
      <c r="Q137" s="103"/>
      <c r="R137" s="103"/>
    </row>
    <row r="138" spans="1:18" x14ac:dyDescent="0.2">
      <c r="A138" s="5"/>
      <c r="B138" s="5"/>
      <c r="C138" s="5"/>
      <c r="D138" s="5"/>
      <c r="E138" s="5"/>
      <c r="F138" s="5"/>
      <c r="G138" s="5"/>
      <c r="H138" s="103"/>
      <c r="I138" s="103"/>
      <c r="J138" s="103"/>
      <c r="K138" s="103"/>
      <c r="L138" s="103"/>
      <c r="M138" s="103"/>
      <c r="N138" s="103"/>
      <c r="O138" s="103"/>
      <c r="P138" s="103"/>
      <c r="Q138" s="103"/>
      <c r="R138" s="103"/>
    </row>
    <row r="139" spans="1:18" x14ac:dyDescent="0.2">
      <c r="A139" s="5"/>
      <c r="B139" s="5"/>
      <c r="C139" s="5"/>
      <c r="D139" s="5"/>
      <c r="E139" s="5"/>
      <c r="F139" s="5"/>
      <c r="G139" s="5"/>
      <c r="H139" s="103"/>
      <c r="I139" s="103"/>
      <c r="J139" s="103"/>
      <c r="K139" s="103"/>
      <c r="L139" s="103"/>
      <c r="M139" s="103"/>
      <c r="N139" s="103"/>
      <c r="O139" s="103"/>
      <c r="P139" s="103"/>
      <c r="Q139" s="103"/>
      <c r="R139" s="103"/>
    </row>
    <row r="140" spans="1:18" x14ac:dyDescent="0.2">
      <c r="A140" s="5"/>
      <c r="B140" s="5"/>
      <c r="C140" s="5"/>
      <c r="D140" s="5"/>
      <c r="E140" s="5"/>
      <c r="F140" s="5"/>
      <c r="G140" s="5"/>
      <c r="H140" s="103"/>
      <c r="I140" s="103"/>
      <c r="J140" s="103"/>
      <c r="K140" s="103"/>
      <c r="L140" s="103"/>
      <c r="M140" s="103"/>
      <c r="N140" s="103"/>
      <c r="O140" s="103"/>
      <c r="P140" s="103"/>
      <c r="Q140" s="103"/>
      <c r="R140" s="103"/>
    </row>
    <row r="141" spans="1:18" x14ac:dyDescent="0.2">
      <c r="A141" s="5"/>
      <c r="B141" s="5"/>
      <c r="C141" s="5"/>
      <c r="D141" s="5"/>
      <c r="E141" s="5"/>
      <c r="F141" s="5"/>
      <c r="G141" s="5"/>
      <c r="H141" s="103"/>
      <c r="I141" s="103"/>
      <c r="J141" s="103"/>
      <c r="K141" s="103"/>
      <c r="L141" s="103"/>
      <c r="M141" s="103"/>
      <c r="N141" s="103"/>
      <c r="O141" s="103"/>
      <c r="P141" s="103"/>
      <c r="Q141" s="103"/>
      <c r="R141" s="103"/>
    </row>
    <row r="142" spans="1:18" x14ac:dyDescent="0.2">
      <c r="A142" s="5"/>
      <c r="B142" s="5"/>
      <c r="C142" s="5"/>
      <c r="D142" s="5"/>
      <c r="E142" s="5"/>
      <c r="F142" s="5"/>
      <c r="G142" s="5"/>
      <c r="H142" s="103"/>
      <c r="I142" s="103"/>
      <c r="J142" s="103"/>
      <c r="K142" s="103"/>
      <c r="L142" s="103"/>
      <c r="M142" s="103"/>
      <c r="N142" s="103"/>
      <c r="O142" s="103"/>
      <c r="P142" s="103"/>
      <c r="Q142" s="103"/>
      <c r="R142" s="103"/>
    </row>
    <row r="143" spans="1:18" x14ac:dyDescent="0.2">
      <c r="A143" s="5"/>
      <c r="B143" s="5"/>
      <c r="C143" s="5"/>
      <c r="D143" s="5"/>
      <c r="E143" s="5"/>
      <c r="F143" s="5"/>
      <c r="G143" s="5"/>
      <c r="H143" s="103"/>
      <c r="I143" s="103"/>
      <c r="J143" s="103"/>
      <c r="K143" s="103"/>
      <c r="L143" s="103"/>
      <c r="M143" s="103"/>
      <c r="N143" s="103"/>
      <c r="O143" s="103"/>
      <c r="P143" s="103"/>
      <c r="Q143" s="103"/>
      <c r="R143" s="103"/>
    </row>
    <row r="144" spans="1:18" x14ac:dyDescent="0.2">
      <c r="A144" s="5"/>
      <c r="B144" s="5"/>
      <c r="C144" s="5"/>
      <c r="D144" s="5"/>
      <c r="E144" s="5"/>
      <c r="F144" s="5"/>
      <c r="G144" s="5"/>
      <c r="H144" s="103"/>
      <c r="I144" s="103"/>
      <c r="J144" s="103"/>
      <c r="K144" s="103"/>
      <c r="L144" s="103"/>
      <c r="M144" s="103"/>
      <c r="N144" s="103"/>
      <c r="O144" s="103"/>
      <c r="P144" s="103"/>
      <c r="Q144" s="103"/>
      <c r="R144" s="103"/>
    </row>
    <row r="145" spans="1:18" x14ac:dyDescent="0.2">
      <c r="A145" s="5"/>
      <c r="B145" s="5"/>
      <c r="C145" s="5"/>
      <c r="D145" s="5"/>
      <c r="E145" s="5"/>
      <c r="F145" s="5"/>
      <c r="G145" s="5"/>
      <c r="H145" s="103"/>
      <c r="I145" s="103"/>
      <c r="J145" s="103"/>
      <c r="K145" s="103"/>
      <c r="L145" s="103"/>
      <c r="M145" s="103"/>
      <c r="N145" s="103"/>
      <c r="O145" s="103"/>
      <c r="P145" s="103"/>
      <c r="Q145" s="103"/>
      <c r="R145" s="103"/>
    </row>
    <row r="146" spans="1:18" x14ac:dyDescent="0.2">
      <c r="A146" s="5"/>
      <c r="B146" s="5"/>
      <c r="C146" s="5"/>
      <c r="D146" s="5"/>
      <c r="E146" s="5"/>
      <c r="F146" s="5"/>
      <c r="G146" s="5"/>
      <c r="H146" s="103"/>
      <c r="I146" s="103"/>
      <c r="J146" s="103"/>
      <c r="K146" s="103"/>
      <c r="L146" s="103"/>
      <c r="M146" s="103"/>
      <c r="N146" s="103"/>
      <c r="O146" s="103"/>
      <c r="P146" s="103"/>
      <c r="Q146" s="103"/>
      <c r="R146" s="103"/>
    </row>
    <row r="147" spans="1:18" x14ac:dyDescent="0.2">
      <c r="A147" s="5"/>
      <c r="B147" s="5"/>
      <c r="C147" s="5"/>
      <c r="D147" s="5"/>
      <c r="E147" s="5"/>
      <c r="F147" s="5"/>
      <c r="G147" s="5"/>
      <c r="H147" s="103"/>
      <c r="I147" s="103"/>
      <c r="J147" s="103"/>
      <c r="K147" s="103"/>
      <c r="L147" s="103"/>
      <c r="M147" s="103"/>
      <c r="N147" s="103"/>
      <c r="O147" s="103"/>
      <c r="P147" s="103"/>
      <c r="Q147" s="103"/>
      <c r="R147" s="103"/>
    </row>
    <row r="148" spans="1:18" x14ac:dyDescent="0.2">
      <c r="A148" s="5"/>
      <c r="B148" s="5"/>
      <c r="C148" s="5"/>
      <c r="D148" s="5"/>
      <c r="E148" s="5"/>
      <c r="F148" s="5"/>
      <c r="G148" s="5"/>
      <c r="H148" s="103"/>
      <c r="I148" s="103"/>
      <c r="J148" s="103"/>
      <c r="K148" s="103"/>
      <c r="L148" s="103"/>
      <c r="M148" s="103"/>
      <c r="N148" s="103"/>
      <c r="O148" s="103"/>
      <c r="P148" s="103"/>
      <c r="Q148" s="103"/>
      <c r="R148" s="103"/>
    </row>
    <row r="149" spans="1:18" x14ac:dyDescent="0.2">
      <c r="A149" s="5"/>
      <c r="B149" s="5"/>
      <c r="C149" s="5"/>
      <c r="D149" s="5"/>
      <c r="E149" s="5"/>
      <c r="F149" s="5"/>
      <c r="G149" s="5"/>
      <c r="H149" s="103"/>
      <c r="I149" s="103"/>
      <c r="J149" s="103"/>
      <c r="K149" s="103"/>
      <c r="L149" s="103"/>
      <c r="M149" s="103"/>
      <c r="N149" s="103"/>
      <c r="O149" s="103"/>
      <c r="P149" s="103"/>
      <c r="Q149" s="103"/>
      <c r="R149" s="103"/>
    </row>
    <row r="150" spans="1:18" x14ac:dyDescent="0.2">
      <c r="A150" s="5"/>
      <c r="B150" s="5"/>
      <c r="C150" s="5"/>
      <c r="D150" s="5"/>
      <c r="E150" s="5"/>
      <c r="F150" s="5"/>
      <c r="G150" s="5"/>
      <c r="H150" s="103"/>
      <c r="I150" s="103"/>
      <c r="J150" s="103"/>
      <c r="K150" s="103"/>
      <c r="L150" s="103"/>
      <c r="M150" s="103"/>
      <c r="N150" s="103"/>
      <c r="O150" s="103"/>
      <c r="P150" s="103"/>
      <c r="Q150" s="103"/>
      <c r="R150" s="103"/>
    </row>
    <row r="151" spans="1:18" x14ac:dyDescent="0.2">
      <c r="A151" s="5"/>
      <c r="B151" s="5"/>
      <c r="C151" s="5"/>
      <c r="D151" s="5"/>
      <c r="E151" s="5"/>
      <c r="F151" s="5"/>
      <c r="G151" s="5"/>
      <c r="H151" s="103"/>
      <c r="I151" s="103"/>
      <c r="J151" s="103"/>
      <c r="K151" s="103"/>
      <c r="L151" s="103"/>
      <c r="M151" s="103"/>
      <c r="N151" s="103"/>
      <c r="O151" s="103"/>
      <c r="P151" s="103"/>
      <c r="Q151" s="103"/>
      <c r="R151" s="103"/>
    </row>
    <row r="152" spans="1:18" x14ac:dyDescent="0.2">
      <c r="A152" s="5"/>
      <c r="B152" s="5"/>
      <c r="C152" s="5"/>
      <c r="D152" s="5"/>
      <c r="E152" s="5"/>
      <c r="F152" s="5"/>
      <c r="G152" s="5"/>
      <c r="H152" s="103"/>
      <c r="I152" s="103"/>
      <c r="J152" s="103"/>
      <c r="K152" s="103"/>
      <c r="L152" s="103"/>
      <c r="M152" s="103"/>
      <c r="N152" s="103"/>
      <c r="O152" s="103"/>
      <c r="P152" s="103"/>
      <c r="Q152" s="103"/>
      <c r="R152" s="103"/>
    </row>
    <row r="153" spans="1:18" x14ac:dyDescent="0.2">
      <c r="A153" s="5"/>
      <c r="B153" s="5"/>
      <c r="C153" s="5"/>
      <c r="D153" s="5"/>
      <c r="E153" s="5"/>
      <c r="F153" s="5"/>
      <c r="G153" s="5"/>
      <c r="H153" s="103"/>
      <c r="I153" s="103"/>
      <c r="J153" s="103"/>
      <c r="K153" s="103"/>
      <c r="L153" s="103"/>
      <c r="M153" s="103"/>
      <c r="N153" s="103"/>
      <c r="O153" s="103"/>
      <c r="P153" s="103"/>
      <c r="Q153" s="103"/>
      <c r="R153" s="103"/>
    </row>
    <row r="154" spans="1:18" x14ac:dyDescent="0.2">
      <c r="A154" s="5"/>
      <c r="B154" s="5"/>
      <c r="C154" s="5"/>
      <c r="D154" s="5"/>
      <c r="E154" s="5"/>
      <c r="F154" s="5"/>
      <c r="G154" s="5"/>
      <c r="H154" s="103"/>
      <c r="I154" s="103"/>
      <c r="J154" s="103"/>
      <c r="K154" s="103"/>
      <c r="L154" s="103"/>
      <c r="M154" s="103"/>
      <c r="N154" s="103"/>
      <c r="O154" s="103"/>
      <c r="P154" s="103"/>
      <c r="Q154" s="103"/>
      <c r="R154" s="103"/>
    </row>
    <row r="155" spans="1:18" x14ac:dyDescent="0.2">
      <c r="A155" s="5"/>
      <c r="B155" s="5"/>
      <c r="C155" s="5"/>
      <c r="D155" s="5"/>
      <c r="E155" s="5"/>
      <c r="F155" s="5"/>
      <c r="G155" s="5"/>
      <c r="H155" s="103"/>
      <c r="I155" s="103"/>
      <c r="J155" s="103"/>
      <c r="K155" s="103"/>
      <c r="L155" s="103"/>
      <c r="M155" s="103"/>
      <c r="N155" s="103"/>
      <c r="O155" s="103"/>
      <c r="P155" s="103"/>
      <c r="Q155" s="103"/>
      <c r="R155" s="103"/>
    </row>
    <row r="156" spans="1:18" x14ac:dyDescent="0.2">
      <c r="A156" s="5"/>
      <c r="B156" s="5"/>
      <c r="C156" s="5"/>
      <c r="D156" s="5"/>
      <c r="E156" s="5"/>
      <c r="F156" s="5"/>
      <c r="G156" s="5"/>
      <c r="H156" s="103"/>
      <c r="I156" s="103"/>
      <c r="J156" s="103"/>
      <c r="K156" s="103"/>
      <c r="L156" s="103"/>
      <c r="M156" s="103"/>
      <c r="N156" s="103"/>
      <c r="O156" s="103"/>
      <c r="P156" s="103"/>
      <c r="Q156" s="103"/>
      <c r="R156" s="103"/>
    </row>
    <row r="157" spans="1:18" x14ac:dyDescent="0.2">
      <c r="A157" s="5"/>
      <c r="B157" s="5"/>
      <c r="C157" s="5"/>
      <c r="D157" s="5"/>
      <c r="E157" s="5"/>
      <c r="F157" s="5"/>
      <c r="G157" s="5"/>
      <c r="H157" s="103"/>
      <c r="I157" s="103"/>
      <c r="J157" s="103"/>
      <c r="K157" s="103"/>
      <c r="L157" s="103"/>
      <c r="M157" s="103"/>
      <c r="N157" s="103"/>
      <c r="O157" s="103"/>
      <c r="P157" s="103"/>
      <c r="Q157" s="103"/>
      <c r="R157" s="103"/>
    </row>
    <row r="158" spans="1:18" x14ac:dyDescent="0.2">
      <c r="A158" s="5"/>
      <c r="B158" s="5"/>
      <c r="C158" s="5"/>
      <c r="D158" s="5"/>
      <c r="E158" s="5"/>
      <c r="F158" s="5"/>
      <c r="G158" s="5"/>
      <c r="H158" s="103"/>
      <c r="I158" s="103"/>
      <c r="J158" s="103"/>
      <c r="K158" s="103"/>
      <c r="L158" s="103"/>
      <c r="M158" s="103"/>
      <c r="N158" s="103"/>
      <c r="O158" s="103"/>
      <c r="P158" s="103"/>
      <c r="Q158" s="103"/>
      <c r="R158" s="103"/>
    </row>
    <row r="159" spans="1:18" x14ac:dyDescent="0.2">
      <c r="A159" s="5"/>
      <c r="B159" s="5"/>
      <c r="C159" s="5"/>
      <c r="D159" s="5"/>
      <c r="E159" s="5"/>
      <c r="F159" s="5"/>
      <c r="G159" s="5"/>
      <c r="H159" s="103"/>
      <c r="I159" s="103"/>
      <c r="J159" s="103"/>
      <c r="K159" s="103"/>
      <c r="L159" s="103"/>
      <c r="M159" s="103"/>
      <c r="N159" s="103"/>
      <c r="O159" s="103"/>
      <c r="P159" s="103"/>
      <c r="Q159" s="103"/>
      <c r="R159" s="103"/>
    </row>
    <row r="160" spans="1:18" x14ac:dyDescent="0.2">
      <c r="A160" s="5"/>
      <c r="B160" s="5"/>
      <c r="C160" s="5"/>
      <c r="D160" s="5"/>
      <c r="E160" s="5"/>
      <c r="F160" s="5"/>
      <c r="G160" s="5"/>
      <c r="H160" s="103"/>
      <c r="I160" s="103"/>
      <c r="J160" s="103"/>
      <c r="K160" s="103"/>
      <c r="L160" s="103"/>
      <c r="M160" s="103"/>
      <c r="N160" s="103"/>
      <c r="O160" s="103"/>
      <c r="P160" s="103"/>
      <c r="Q160" s="103"/>
      <c r="R160" s="103"/>
    </row>
    <row r="161" spans="1:18" x14ac:dyDescent="0.2">
      <c r="A161" s="5"/>
      <c r="B161" s="5"/>
      <c r="C161" s="5"/>
      <c r="D161" s="5"/>
      <c r="E161" s="5"/>
      <c r="F161" s="5"/>
      <c r="G161" s="5"/>
      <c r="H161" s="103"/>
      <c r="I161" s="103"/>
      <c r="J161" s="103"/>
      <c r="K161" s="103"/>
      <c r="L161" s="103"/>
      <c r="M161" s="103"/>
      <c r="N161" s="103"/>
      <c r="O161" s="103"/>
      <c r="P161" s="103"/>
      <c r="Q161" s="103"/>
      <c r="R161" s="103"/>
    </row>
    <row r="162" spans="1:18" x14ac:dyDescent="0.2">
      <c r="A162" s="5"/>
      <c r="B162" s="5"/>
      <c r="C162" s="5"/>
      <c r="D162" s="5"/>
      <c r="E162" s="5"/>
      <c r="F162" s="5"/>
      <c r="G162" s="5"/>
      <c r="H162" s="103"/>
      <c r="I162" s="103"/>
      <c r="J162" s="103"/>
      <c r="K162" s="103"/>
      <c r="L162" s="103"/>
      <c r="M162" s="103"/>
      <c r="N162" s="103"/>
      <c r="O162" s="103"/>
      <c r="P162" s="103"/>
      <c r="Q162" s="103"/>
      <c r="R162" s="103"/>
    </row>
    <row r="163" spans="1:18" x14ac:dyDescent="0.2">
      <c r="A163" s="5"/>
      <c r="B163" s="5"/>
      <c r="C163" s="5"/>
      <c r="D163" s="5"/>
      <c r="E163" s="5"/>
      <c r="F163" s="5"/>
      <c r="G163" s="5"/>
      <c r="H163" s="103"/>
      <c r="I163" s="103"/>
      <c r="J163" s="103"/>
      <c r="K163" s="103"/>
      <c r="L163" s="103"/>
      <c r="M163" s="103"/>
      <c r="N163" s="103"/>
      <c r="O163" s="103"/>
      <c r="P163" s="103"/>
      <c r="Q163" s="103"/>
      <c r="R163" s="103"/>
    </row>
    <row r="164" spans="1:18" x14ac:dyDescent="0.2">
      <c r="A164" s="5"/>
      <c r="B164" s="5"/>
      <c r="C164" s="5"/>
      <c r="D164" s="5"/>
      <c r="E164" s="5"/>
      <c r="F164" s="5"/>
      <c r="G164" s="5"/>
      <c r="H164" s="103"/>
      <c r="I164" s="103"/>
      <c r="J164" s="103"/>
      <c r="K164" s="103"/>
      <c r="L164" s="103"/>
      <c r="M164" s="103"/>
      <c r="N164" s="103"/>
      <c r="O164" s="103"/>
      <c r="P164" s="103"/>
      <c r="Q164" s="103"/>
      <c r="R164" s="103"/>
    </row>
    <row r="165" spans="1:18" x14ac:dyDescent="0.2">
      <c r="A165" s="5"/>
      <c r="B165" s="5"/>
      <c r="C165" s="5"/>
      <c r="D165" s="5"/>
      <c r="E165" s="5"/>
      <c r="F165" s="5"/>
      <c r="G165" s="5"/>
      <c r="H165" s="103"/>
      <c r="I165" s="103"/>
      <c r="J165" s="103"/>
      <c r="K165" s="103"/>
      <c r="L165" s="103"/>
      <c r="M165" s="103"/>
      <c r="N165" s="103"/>
      <c r="O165" s="103"/>
      <c r="P165" s="103"/>
      <c r="Q165" s="103"/>
      <c r="R165" s="103"/>
    </row>
    <row r="166" spans="1:18" x14ac:dyDescent="0.2">
      <c r="A166" s="5"/>
      <c r="B166" s="5"/>
      <c r="C166" s="5"/>
      <c r="D166" s="5"/>
      <c r="E166" s="5"/>
      <c r="F166" s="5"/>
      <c r="G166" s="5"/>
      <c r="H166" s="103"/>
      <c r="I166" s="103"/>
      <c r="J166" s="103"/>
      <c r="K166" s="103"/>
      <c r="L166" s="103"/>
      <c r="M166" s="103"/>
      <c r="N166" s="103"/>
      <c r="O166" s="103"/>
      <c r="P166" s="103"/>
      <c r="Q166" s="103"/>
      <c r="R166" s="103"/>
    </row>
    <row r="167" spans="1:18" x14ac:dyDescent="0.2">
      <c r="A167" s="5"/>
      <c r="B167" s="5"/>
      <c r="C167" s="5"/>
      <c r="D167" s="5"/>
      <c r="E167" s="5"/>
      <c r="F167" s="5"/>
      <c r="G167" s="5"/>
      <c r="H167" s="103"/>
      <c r="I167" s="103"/>
      <c r="J167" s="103"/>
      <c r="K167" s="103"/>
      <c r="L167" s="103"/>
      <c r="M167" s="103"/>
      <c r="N167" s="103"/>
      <c r="O167" s="103"/>
      <c r="P167" s="103"/>
      <c r="Q167" s="103"/>
      <c r="R167" s="103"/>
    </row>
    <row r="168" spans="1:18" x14ac:dyDescent="0.2">
      <c r="A168" s="5"/>
      <c r="B168" s="5"/>
      <c r="C168" s="5"/>
      <c r="D168" s="5"/>
      <c r="E168" s="5"/>
      <c r="F168" s="5"/>
      <c r="G168" s="5"/>
      <c r="H168" s="103"/>
      <c r="I168" s="103"/>
      <c r="J168" s="103"/>
      <c r="K168" s="103"/>
      <c r="L168" s="103"/>
      <c r="M168" s="103"/>
      <c r="N168" s="103"/>
      <c r="O168" s="103"/>
      <c r="P168" s="103"/>
      <c r="Q168" s="103"/>
      <c r="R168" s="103"/>
    </row>
    <row r="169" spans="1:18" x14ac:dyDescent="0.2">
      <c r="A169" s="5"/>
      <c r="B169" s="5"/>
      <c r="C169" s="5"/>
      <c r="D169" s="5"/>
      <c r="E169" s="5"/>
      <c r="F169" s="5"/>
      <c r="G169" s="5"/>
      <c r="H169" s="103"/>
      <c r="I169" s="103"/>
      <c r="J169" s="103"/>
      <c r="K169" s="103"/>
      <c r="L169" s="103"/>
      <c r="M169" s="103"/>
      <c r="N169" s="103"/>
      <c r="O169" s="103"/>
      <c r="P169" s="103"/>
      <c r="Q169" s="103"/>
      <c r="R169" s="103"/>
    </row>
    <row r="170" spans="1:18" x14ac:dyDescent="0.2">
      <c r="A170" s="5"/>
      <c r="B170" s="5"/>
      <c r="C170" s="5"/>
      <c r="D170" s="5"/>
      <c r="E170" s="5"/>
      <c r="F170" s="5"/>
      <c r="G170" s="5"/>
      <c r="H170" s="103"/>
      <c r="I170" s="103"/>
      <c r="J170" s="103"/>
      <c r="K170" s="103"/>
      <c r="L170" s="103"/>
      <c r="M170" s="103"/>
      <c r="N170" s="103"/>
      <c r="O170" s="103"/>
      <c r="P170" s="103"/>
      <c r="Q170" s="103"/>
      <c r="R170" s="103"/>
    </row>
    <row r="171" spans="1:18" x14ac:dyDescent="0.2">
      <c r="A171" s="5"/>
      <c r="B171" s="5"/>
      <c r="C171" s="5"/>
      <c r="D171" s="5"/>
      <c r="E171" s="5"/>
      <c r="F171" s="5"/>
      <c r="G171" s="5"/>
      <c r="H171" s="103"/>
      <c r="I171" s="103"/>
      <c r="J171" s="103"/>
      <c r="K171" s="103"/>
      <c r="L171" s="103"/>
      <c r="M171" s="103"/>
      <c r="N171" s="103"/>
      <c r="O171" s="103"/>
      <c r="P171" s="103"/>
      <c r="Q171" s="103"/>
      <c r="R171" s="103"/>
    </row>
    <row r="172" spans="1:18" x14ac:dyDescent="0.2">
      <c r="A172" s="5"/>
      <c r="B172" s="5"/>
      <c r="C172" s="5"/>
      <c r="D172" s="5"/>
      <c r="E172" s="5"/>
      <c r="F172" s="5"/>
      <c r="G172" s="5"/>
      <c r="H172" s="103"/>
      <c r="I172" s="103"/>
      <c r="J172" s="103"/>
      <c r="K172" s="103"/>
      <c r="L172" s="103"/>
      <c r="M172" s="103"/>
      <c r="N172" s="103"/>
      <c r="O172" s="103"/>
      <c r="P172" s="103"/>
      <c r="Q172" s="103"/>
      <c r="R172" s="103"/>
    </row>
    <row r="173" spans="1:18" x14ac:dyDescent="0.2">
      <c r="A173" s="5"/>
      <c r="B173" s="5"/>
      <c r="C173" s="5"/>
      <c r="D173" s="5"/>
      <c r="E173" s="5"/>
      <c r="F173" s="5"/>
      <c r="G173" s="5"/>
      <c r="H173" s="103"/>
      <c r="I173" s="103"/>
      <c r="J173" s="103"/>
      <c r="K173" s="103"/>
      <c r="L173" s="103"/>
      <c r="M173" s="103"/>
      <c r="N173" s="103"/>
      <c r="O173" s="103"/>
      <c r="P173" s="103"/>
      <c r="Q173" s="103"/>
      <c r="R173" s="103"/>
    </row>
    <row r="174" spans="1:18" x14ac:dyDescent="0.2">
      <c r="A174" s="5"/>
      <c r="B174" s="5"/>
      <c r="C174" s="5"/>
      <c r="D174" s="5"/>
      <c r="E174" s="5"/>
      <c r="F174" s="5"/>
      <c r="G174" s="5"/>
      <c r="H174" s="103"/>
      <c r="I174" s="103"/>
      <c r="J174" s="103"/>
      <c r="K174" s="103"/>
      <c r="L174" s="103"/>
      <c r="M174" s="103"/>
      <c r="N174" s="103"/>
      <c r="O174" s="103"/>
      <c r="P174" s="103"/>
      <c r="Q174" s="103"/>
      <c r="R174" s="103"/>
    </row>
    <row r="175" spans="1:18" x14ac:dyDescent="0.2">
      <c r="A175" s="5"/>
      <c r="B175" s="5"/>
      <c r="C175" s="5"/>
      <c r="D175" s="5"/>
      <c r="E175" s="5"/>
      <c r="F175" s="5"/>
      <c r="G175" s="5"/>
      <c r="H175" s="103"/>
      <c r="I175" s="103"/>
      <c r="J175" s="103"/>
      <c r="K175" s="103"/>
      <c r="L175" s="103"/>
      <c r="M175" s="103"/>
      <c r="N175" s="103"/>
      <c r="O175" s="103"/>
      <c r="P175" s="103"/>
      <c r="Q175" s="103"/>
      <c r="R175" s="103"/>
    </row>
    <row r="176" spans="1:18" x14ac:dyDescent="0.2">
      <c r="A176" s="5"/>
      <c r="B176" s="5"/>
      <c r="C176" s="5"/>
      <c r="D176" s="5"/>
      <c r="E176" s="5"/>
      <c r="F176" s="5"/>
      <c r="G176" s="5"/>
      <c r="H176" s="103"/>
      <c r="I176" s="103"/>
      <c r="J176" s="103"/>
      <c r="K176" s="103"/>
      <c r="L176" s="103"/>
      <c r="M176" s="103"/>
      <c r="N176" s="103"/>
      <c r="O176" s="103"/>
      <c r="P176" s="103"/>
      <c r="Q176" s="103"/>
      <c r="R176" s="103"/>
    </row>
    <row r="177" spans="1:18" x14ac:dyDescent="0.2">
      <c r="A177" s="5"/>
      <c r="B177" s="5"/>
      <c r="C177" s="5"/>
      <c r="D177" s="5"/>
      <c r="E177" s="5"/>
      <c r="F177" s="5"/>
      <c r="G177" s="5"/>
      <c r="H177" s="103"/>
      <c r="I177" s="103"/>
      <c r="J177" s="103"/>
      <c r="K177" s="103"/>
      <c r="L177" s="103"/>
      <c r="M177" s="103"/>
      <c r="N177" s="103"/>
      <c r="O177" s="103"/>
      <c r="P177" s="103"/>
      <c r="Q177" s="103"/>
      <c r="R177" s="103"/>
    </row>
    <row r="178" spans="1:18" x14ac:dyDescent="0.2">
      <c r="A178" s="5"/>
      <c r="B178" s="5"/>
      <c r="C178" s="5"/>
      <c r="D178" s="5"/>
      <c r="E178" s="5"/>
      <c r="F178" s="5"/>
      <c r="G178" s="5"/>
      <c r="H178" s="103"/>
      <c r="I178" s="103"/>
      <c r="J178" s="103"/>
      <c r="K178" s="103"/>
      <c r="L178" s="103"/>
      <c r="M178" s="103"/>
      <c r="N178" s="103"/>
      <c r="O178" s="103"/>
      <c r="P178" s="103"/>
      <c r="Q178" s="103"/>
      <c r="R178" s="103"/>
    </row>
    <row r="179" spans="1:18" x14ac:dyDescent="0.2">
      <c r="A179" s="5"/>
      <c r="B179" s="5"/>
      <c r="C179" s="5"/>
      <c r="D179" s="5"/>
      <c r="E179" s="5"/>
      <c r="F179" s="5"/>
      <c r="G179" s="5"/>
      <c r="H179" s="103"/>
      <c r="I179" s="103"/>
      <c r="J179" s="103"/>
      <c r="K179" s="103"/>
      <c r="L179" s="103"/>
      <c r="M179" s="103"/>
      <c r="N179" s="103"/>
      <c r="O179" s="103"/>
      <c r="P179" s="103"/>
      <c r="Q179" s="103"/>
      <c r="R179" s="103"/>
    </row>
    <row r="180" spans="1:18" x14ac:dyDescent="0.2">
      <c r="A180" s="5"/>
      <c r="B180" s="5"/>
      <c r="C180" s="5"/>
      <c r="D180" s="5"/>
      <c r="E180" s="5"/>
      <c r="F180" s="5"/>
      <c r="G180" s="5"/>
      <c r="H180" s="103"/>
      <c r="I180" s="103"/>
      <c r="J180" s="103"/>
      <c r="K180" s="103"/>
      <c r="L180" s="103"/>
      <c r="M180" s="103"/>
      <c r="N180" s="103"/>
      <c r="O180" s="103"/>
      <c r="P180" s="103"/>
      <c r="Q180" s="103"/>
      <c r="R180" s="103"/>
    </row>
    <row r="181" spans="1:18" x14ac:dyDescent="0.2">
      <c r="A181" s="5"/>
      <c r="B181" s="5"/>
      <c r="C181" s="5"/>
      <c r="D181" s="5"/>
      <c r="E181" s="5"/>
      <c r="F181" s="5"/>
      <c r="G181" s="5"/>
      <c r="H181" s="103"/>
      <c r="I181" s="103"/>
      <c r="J181" s="103"/>
      <c r="K181" s="103"/>
      <c r="L181" s="103"/>
      <c r="M181" s="103"/>
      <c r="N181" s="103"/>
      <c r="O181" s="103"/>
      <c r="P181" s="103"/>
      <c r="Q181" s="103"/>
      <c r="R181" s="103"/>
    </row>
    <row r="182" spans="1:18" x14ac:dyDescent="0.2">
      <c r="A182" s="5"/>
      <c r="B182" s="5"/>
      <c r="C182" s="5"/>
      <c r="D182" s="5"/>
      <c r="E182" s="5"/>
      <c r="F182" s="5"/>
      <c r="G182" s="5"/>
      <c r="H182" s="103"/>
      <c r="I182" s="103"/>
      <c r="J182" s="103"/>
      <c r="K182" s="103"/>
      <c r="L182" s="103"/>
      <c r="M182" s="103"/>
      <c r="N182" s="103"/>
      <c r="O182" s="103"/>
      <c r="P182" s="103"/>
      <c r="Q182" s="103"/>
      <c r="R182" s="103"/>
    </row>
    <row r="183" spans="1:18" x14ac:dyDescent="0.2">
      <c r="A183" s="5"/>
      <c r="B183" s="5"/>
      <c r="C183" s="5"/>
      <c r="D183" s="5"/>
      <c r="E183" s="5"/>
      <c r="F183" s="5"/>
      <c r="G183" s="5"/>
      <c r="H183" s="103"/>
      <c r="I183" s="103"/>
      <c r="J183" s="103"/>
      <c r="K183" s="103"/>
      <c r="L183" s="103"/>
      <c r="M183" s="103"/>
      <c r="N183" s="103"/>
      <c r="O183" s="103"/>
      <c r="P183" s="103"/>
      <c r="Q183" s="103"/>
      <c r="R183" s="103"/>
    </row>
    <row r="184" spans="1:18" x14ac:dyDescent="0.2">
      <c r="A184" s="5"/>
      <c r="B184" s="5"/>
      <c r="C184" s="5"/>
      <c r="D184" s="5"/>
      <c r="E184" s="5"/>
      <c r="F184" s="5"/>
      <c r="G184" s="5"/>
      <c r="H184" s="103"/>
      <c r="I184" s="103"/>
      <c r="J184" s="103"/>
      <c r="K184" s="103"/>
      <c r="L184" s="103"/>
      <c r="M184" s="103"/>
      <c r="N184" s="103"/>
      <c r="O184" s="103"/>
      <c r="P184" s="103"/>
      <c r="Q184" s="103"/>
      <c r="R184" s="103"/>
    </row>
    <row r="185" spans="1:18" x14ac:dyDescent="0.2">
      <c r="A185" s="5"/>
      <c r="B185" s="5"/>
      <c r="C185" s="5"/>
      <c r="D185" s="5"/>
      <c r="E185" s="5"/>
      <c r="F185" s="5"/>
      <c r="G185" s="5"/>
      <c r="H185" s="103"/>
      <c r="I185" s="103"/>
      <c r="J185" s="103"/>
      <c r="K185" s="103"/>
      <c r="L185" s="103"/>
      <c r="M185" s="103"/>
      <c r="N185" s="103"/>
      <c r="O185" s="103"/>
      <c r="P185" s="103"/>
      <c r="Q185" s="103"/>
      <c r="R185" s="103"/>
    </row>
    <row r="186" spans="1:18" x14ac:dyDescent="0.2">
      <c r="A186" s="5"/>
      <c r="B186" s="5"/>
      <c r="C186" s="5"/>
      <c r="D186" s="5"/>
      <c r="E186" s="5"/>
      <c r="F186" s="5"/>
      <c r="G186" s="5"/>
      <c r="H186" s="103"/>
      <c r="I186" s="103"/>
      <c r="J186" s="103"/>
      <c r="K186" s="103"/>
      <c r="L186" s="103"/>
      <c r="M186" s="103"/>
      <c r="N186" s="103"/>
      <c r="O186" s="103"/>
      <c r="P186" s="103"/>
      <c r="Q186" s="103"/>
      <c r="R186" s="103"/>
    </row>
    <row r="187" spans="1:18" x14ac:dyDescent="0.2">
      <c r="A187" s="5"/>
      <c r="B187" s="5"/>
      <c r="C187" s="5"/>
      <c r="D187" s="5"/>
      <c r="E187" s="5"/>
      <c r="F187" s="5"/>
      <c r="G187" s="5"/>
      <c r="H187" s="103"/>
      <c r="I187" s="103"/>
      <c r="J187" s="103"/>
      <c r="K187" s="103"/>
      <c r="L187" s="103"/>
      <c r="M187" s="103"/>
      <c r="N187" s="103"/>
      <c r="O187" s="103"/>
      <c r="P187" s="103"/>
      <c r="Q187" s="103"/>
      <c r="R187" s="103"/>
    </row>
    <row r="188" spans="1:18" x14ac:dyDescent="0.2">
      <c r="A188" s="5"/>
      <c r="B188" s="5"/>
      <c r="C188" s="5"/>
      <c r="D188" s="5"/>
      <c r="E188" s="5"/>
      <c r="F188" s="5"/>
      <c r="G188" s="5"/>
      <c r="H188" s="103"/>
      <c r="I188" s="103"/>
      <c r="J188" s="103"/>
      <c r="K188" s="103"/>
      <c r="L188" s="103"/>
      <c r="M188" s="103"/>
      <c r="N188" s="103"/>
      <c r="O188" s="103"/>
      <c r="P188" s="103"/>
      <c r="Q188" s="103"/>
      <c r="R188" s="103"/>
    </row>
    <row r="189" spans="1:18" x14ac:dyDescent="0.2">
      <c r="A189" s="5"/>
      <c r="B189" s="5"/>
      <c r="C189" s="5"/>
      <c r="D189" s="5"/>
      <c r="E189" s="5"/>
      <c r="F189" s="5"/>
      <c r="G189" s="5"/>
      <c r="H189" s="103"/>
      <c r="I189" s="103"/>
      <c r="J189" s="103"/>
      <c r="K189" s="103"/>
      <c r="L189" s="103"/>
      <c r="M189" s="103"/>
      <c r="N189" s="103"/>
      <c r="O189" s="103"/>
      <c r="P189" s="103"/>
      <c r="Q189" s="103"/>
      <c r="R189" s="103"/>
    </row>
    <row r="190" spans="1:18" x14ac:dyDescent="0.2">
      <c r="A190" s="5"/>
      <c r="B190" s="5"/>
      <c r="C190" s="5"/>
      <c r="D190" s="5"/>
      <c r="E190" s="5"/>
      <c r="F190" s="5"/>
      <c r="G190" s="5"/>
      <c r="H190" s="103"/>
      <c r="I190" s="103"/>
      <c r="J190" s="103"/>
      <c r="K190" s="103"/>
      <c r="L190" s="103"/>
      <c r="M190" s="103"/>
      <c r="N190" s="103"/>
      <c r="O190" s="103"/>
      <c r="P190" s="103"/>
      <c r="Q190" s="103"/>
      <c r="R190" s="103"/>
    </row>
    <row r="191" spans="1:18" x14ac:dyDescent="0.2">
      <c r="A191" s="5"/>
      <c r="B191" s="5"/>
      <c r="C191" s="5"/>
      <c r="D191" s="5"/>
      <c r="E191" s="5"/>
      <c r="F191" s="5"/>
      <c r="G191" s="5"/>
      <c r="H191" s="103"/>
      <c r="I191" s="103"/>
      <c r="J191" s="103"/>
      <c r="K191" s="103"/>
      <c r="L191" s="103"/>
      <c r="M191" s="103"/>
      <c r="N191" s="103"/>
      <c r="O191" s="103"/>
      <c r="P191" s="103"/>
      <c r="Q191" s="103"/>
      <c r="R191" s="103"/>
    </row>
    <row r="192" spans="1:18" x14ac:dyDescent="0.2">
      <c r="A192" s="5"/>
      <c r="B192" s="5"/>
      <c r="C192" s="5"/>
      <c r="D192" s="5"/>
      <c r="E192" s="5"/>
      <c r="F192" s="5"/>
      <c r="G192" s="5"/>
      <c r="H192" s="103"/>
      <c r="I192" s="103"/>
      <c r="J192" s="103"/>
      <c r="K192" s="103"/>
      <c r="L192" s="103"/>
      <c r="M192" s="103"/>
      <c r="N192" s="103"/>
      <c r="O192" s="103"/>
      <c r="P192" s="103"/>
      <c r="Q192" s="103"/>
      <c r="R192" s="103"/>
    </row>
    <row r="193" spans="1:18" x14ac:dyDescent="0.2">
      <c r="A193" s="5"/>
      <c r="B193" s="5"/>
      <c r="C193" s="5"/>
      <c r="D193" s="5"/>
      <c r="E193" s="5"/>
      <c r="F193" s="5"/>
      <c r="G193" s="5"/>
      <c r="H193" s="103"/>
      <c r="I193" s="103"/>
      <c r="J193" s="103"/>
      <c r="K193" s="103"/>
      <c r="L193" s="103"/>
      <c r="M193" s="103"/>
      <c r="N193" s="103"/>
      <c r="O193" s="103"/>
      <c r="P193" s="103"/>
      <c r="Q193" s="103"/>
      <c r="R193" s="103"/>
    </row>
    <row r="194" spans="1:18" x14ac:dyDescent="0.2">
      <c r="A194" s="5"/>
      <c r="B194" s="5"/>
      <c r="C194" s="5"/>
      <c r="D194" s="5"/>
      <c r="E194" s="5"/>
      <c r="F194" s="5"/>
      <c r="G194" s="5"/>
      <c r="H194" s="103"/>
      <c r="I194" s="103"/>
      <c r="J194" s="103"/>
      <c r="K194" s="103"/>
      <c r="L194" s="103"/>
      <c r="M194" s="103"/>
      <c r="N194" s="103"/>
      <c r="O194" s="103"/>
      <c r="P194" s="103"/>
      <c r="Q194" s="103"/>
      <c r="R194" s="103"/>
    </row>
    <row r="195" spans="1:18" x14ac:dyDescent="0.2">
      <c r="A195" s="5"/>
      <c r="B195" s="5"/>
      <c r="C195" s="5"/>
      <c r="D195" s="5"/>
      <c r="E195" s="5"/>
      <c r="F195" s="5"/>
      <c r="G195" s="5"/>
      <c r="H195" s="103"/>
      <c r="I195" s="103"/>
      <c r="J195" s="103"/>
      <c r="K195" s="103"/>
      <c r="L195" s="103"/>
      <c r="M195" s="103"/>
      <c r="N195" s="103"/>
      <c r="O195" s="103"/>
      <c r="P195" s="103"/>
      <c r="Q195" s="103"/>
      <c r="R195" s="103"/>
    </row>
    <row r="196" spans="1:18" x14ac:dyDescent="0.2">
      <c r="A196" s="5"/>
      <c r="B196" s="5"/>
      <c r="C196" s="5"/>
      <c r="D196" s="5"/>
      <c r="E196" s="5"/>
      <c r="F196" s="5"/>
      <c r="G196" s="5"/>
      <c r="H196" s="103"/>
      <c r="I196" s="103"/>
      <c r="J196" s="103"/>
      <c r="K196" s="103"/>
      <c r="L196" s="103"/>
      <c r="M196" s="103"/>
      <c r="N196" s="103"/>
      <c r="O196" s="103"/>
      <c r="P196" s="103"/>
      <c r="Q196" s="103"/>
      <c r="R196" s="103"/>
    </row>
    <row r="197" spans="1:18" x14ac:dyDescent="0.2">
      <c r="A197" s="5"/>
      <c r="B197" s="5"/>
      <c r="C197" s="5"/>
      <c r="D197" s="5"/>
      <c r="E197" s="5"/>
      <c r="F197" s="5"/>
      <c r="G197" s="5"/>
      <c r="H197" s="103"/>
      <c r="I197" s="103"/>
      <c r="J197" s="103"/>
      <c r="K197" s="103"/>
      <c r="L197" s="103"/>
      <c r="M197" s="103"/>
      <c r="N197" s="103"/>
      <c r="O197" s="103"/>
      <c r="P197" s="103"/>
      <c r="Q197" s="103"/>
      <c r="R197" s="103"/>
    </row>
    <row r="198" spans="1:18" x14ac:dyDescent="0.2">
      <c r="A198" s="5"/>
      <c r="B198" s="5"/>
      <c r="C198" s="5"/>
      <c r="D198" s="5"/>
      <c r="E198" s="5"/>
      <c r="F198" s="5"/>
      <c r="G198" s="5"/>
      <c r="H198" s="103"/>
      <c r="I198" s="103"/>
      <c r="J198" s="103"/>
      <c r="K198" s="103"/>
      <c r="L198" s="103"/>
      <c r="M198" s="103"/>
      <c r="N198" s="103"/>
      <c r="O198" s="103"/>
      <c r="P198" s="103"/>
      <c r="Q198" s="103"/>
      <c r="R198" s="103"/>
    </row>
    <row r="199" spans="1:18" x14ac:dyDescent="0.2">
      <c r="A199" s="5"/>
      <c r="B199" s="5"/>
      <c r="C199" s="5"/>
      <c r="D199" s="5"/>
      <c r="E199" s="5"/>
      <c r="F199" s="5"/>
      <c r="G199" s="5"/>
      <c r="H199" s="103"/>
      <c r="I199" s="103"/>
      <c r="J199" s="103"/>
      <c r="K199" s="103"/>
      <c r="L199" s="103"/>
      <c r="M199" s="103"/>
      <c r="N199" s="103"/>
      <c r="O199" s="103"/>
      <c r="P199" s="103"/>
      <c r="Q199" s="103"/>
      <c r="R199" s="103"/>
    </row>
    <row r="200" spans="1:18" x14ac:dyDescent="0.2">
      <c r="A200" s="5"/>
      <c r="B200" s="5"/>
      <c r="C200" s="5"/>
      <c r="D200" s="5"/>
      <c r="E200" s="5"/>
      <c r="F200" s="5"/>
      <c r="G200" s="5"/>
      <c r="H200" s="103"/>
      <c r="I200" s="103"/>
      <c r="J200" s="103"/>
      <c r="K200" s="103"/>
      <c r="L200" s="103"/>
      <c r="M200" s="103"/>
      <c r="N200" s="103"/>
      <c r="O200" s="103"/>
      <c r="P200" s="103"/>
      <c r="Q200" s="103"/>
      <c r="R200" s="103"/>
    </row>
    <row r="201" spans="1:18" x14ac:dyDescent="0.2">
      <c r="A201" s="5"/>
      <c r="B201" s="5"/>
      <c r="C201" s="5"/>
      <c r="D201" s="5"/>
      <c r="E201" s="5"/>
      <c r="F201" s="5"/>
      <c r="G201" s="5"/>
      <c r="H201" s="103"/>
      <c r="I201" s="103"/>
      <c r="J201" s="103"/>
      <c r="K201" s="103"/>
      <c r="L201" s="103"/>
      <c r="M201" s="103"/>
      <c r="N201" s="103"/>
      <c r="O201" s="103"/>
      <c r="P201" s="103"/>
      <c r="Q201" s="103"/>
      <c r="R201" s="103"/>
    </row>
    <row r="202" spans="1:18" x14ac:dyDescent="0.2">
      <c r="A202" s="5"/>
      <c r="B202" s="5"/>
      <c r="C202" s="5"/>
      <c r="D202" s="5"/>
      <c r="E202" s="5"/>
      <c r="F202" s="5"/>
      <c r="G202" s="5"/>
      <c r="H202" s="103"/>
      <c r="I202" s="103"/>
      <c r="J202" s="103"/>
      <c r="K202" s="103"/>
      <c r="L202" s="103"/>
      <c r="M202" s="103"/>
      <c r="N202" s="103"/>
      <c r="O202" s="103"/>
      <c r="P202" s="103"/>
      <c r="Q202" s="103"/>
      <c r="R202" s="103"/>
    </row>
    <row r="203" spans="1:18" x14ac:dyDescent="0.2">
      <c r="A203" s="5"/>
      <c r="B203" s="5"/>
      <c r="C203" s="5"/>
      <c r="D203" s="5"/>
      <c r="E203" s="5"/>
      <c r="F203" s="5"/>
      <c r="G203" s="5"/>
      <c r="H203" s="103"/>
      <c r="I203" s="103"/>
      <c r="J203" s="103"/>
      <c r="K203" s="103"/>
      <c r="L203" s="103"/>
      <c r="M203" s="103"/>
      <c r="N203" s="103"/>
      <c r="O203" s="103"/>
      <c r="P203" s="103"/>
      <c r="Q203" s="103"/>
      <c r="R203" s="103"/>
    </row>
    <row r="204" spans="1:18" x14ac:dyDescent="0.2">
      <c r="A204" s="5"/>
      <c r="B204" s="5"/>
      <c r="C204" s="5"/>
      <c r="D204" s="5"/>
      <c r="E204" s="5"/>
      <c r="F204" s="5"/>
      <c r="G204" s="5"/>
      <c r="H204" s="103"/>
      <c r="I204" s="103"/>
      <c r="J204" s="103"/>
      <c r="K204" s="103"/>
      <c r="L204" s="103"/>
      <c r="M204" s="103"/>
      <c r="N204" s="103"/>
      <c r="O204" s="103"/>
      <c r="P204" s="103"/>
      <c r="Q204" s="103"/>
      <c r="R204" s="103"/>
    </row>
    <row r="205" spans="1:18" x14ac:dyDescent="0.2">
      <c r="A205" s="5"/>
      <c r="B205" s="5"/>
      <c r="C205" s="5"/>
      <c r="D205" s="5"/>
      <c r="E205" s="5"/>
      <c r="F205" s="5"/>
      <c r="G205" s="5"/>
      <c r="H205" s="103"/>
      <c r="I205" s="103"/>
      <c r="J205" s="103"/>
      <c r="K205" s="103"/>
      <c r="L205" s="103"/>
      <c r="M205" s="103"/>
      <c r="N205" s="103"/>
      <c r="O205" s="103"/>
      <c r="P205" s="103"/>
      <c r="Q205" s="103"/>
      <c r="R205" s="103"/>
    </row>
    <row r="206" spans="1:18" x14ac:dyDescent="0.2">
      <c r="A206" s="5"/>
      <c r="B206" s="5"/>
      <c r="C206" s="5"/>
      <c r="D206" s="5"/>
      <c r="E206" s="5"/>
      <c r="F206" s="5"/>
      <c r="G206" s="5"/>
      <c r="H206" s="103"/>
      <c r="I206" s="103"/>
      <c r="J206" s="103"/>
      <c r="K206" s="103"/>
      <c r="L206" s="103"/>
      <c r="M206" s="103"/>
      <c r="N206" s="103"/>
      <c r="O206" s="103"/>
      <c r="P206" s="103"/>
      <c r="Q206" s="103"/>
      <c r="R206" s="103"/>
    </row>
    <row r="207" spans="1:18" x14ac:dyDescent="0.2">
      <c r="A207" s="5"/>
      <c r="B207" s="5"/>
      <c r="C207" s="5"/>
      <c r="D207" s="5"/>
      <c r="E207" s="5"/>
      <c r="F207" s="5"/>
      <c r="G207" s="5"/>
      <c r="H207" s="103"/>
      <c r="I207" s="103"/>
      <c r="J207" s="103"/>
      <c r="K207" s="103"/>
      <c r="L207" s="103"/>
      <c r="M207" s="103"/>
      <c r="N207" s="103"/>
      <c r="O207" s="103"/>
      <c r="P207" s="103"/>
      <c r="Q207" s="103"/>
      <c r="R207" s="103"/>
    </row>
  </sheetData>
  <mergeCells count="7">
    <mergeCell ref="H6:R6"/>
    <mergeCell ref="A1:R1"/>
    <mergeCell ref="A6:G6"/>
    <mergeCell ref="B4:C4"/>
    <mergeCell ref="F4:H4"/>
    <mergeCell ref="A3:J3"/>
    <mergeCell ref="I4:J4"/>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9" r:id="rId4" name="Drop Down 7">
              <controlPr defaultSize="0" autoLine="0" autoPict="0">
                <anchor moveWithCells="1">
                  <from>
                    <xdr:col>1</xdr:col>
                    <xdr:colOff>9525</xdr:colOff>
                    <xdr:row>3</xdr:row>
                    <xdr:rowOff>9525</xdr:rowOff>
                  </from>
                  <to>
                    <xdr:col>2</xdr:col>
                    <xdr:colOff>676275</xdr:colOff>
                    <xdr:row>4</xdr:row>
                    <xdr:rowOff>142875</xdr:rowOff>
                  </to>
                </anchor>
              </controlPr>
            </control>
          </mc:Choice>
        </mc:AlternateContent>
        <mc:AlternateContent xmlns:mc="http://schemas.openxmlformats.org/markup-compatibility/2006">
          <mc:Choice Requires="x14">
            <control shapeId="28680" r:id="rId5" name="Button 8">
              <controlPr defaultSize="0" print="0" autoFill="0" autoPict="0" macro="[0]!Sheet16.doQuery">
                <anchor moveWithCells="1" sizeWithCells="1">
                  <from>
                    <xdr:col>8</xdr:col>
                    <xdr:colOff>47625</xdr:colOff>
                    <xdr:row>2</xdr:row>
                    <xdr:rowOff>57150</xdr:rowOff>
                  </from>
                  <to>
                    <xdr:col>8</xdr:col>
                    <xdr:colOff>1457325</xdr:colOff>
                    <xdr:row>3</xdr:row>
                    <xdr:rowOff>123825</xdr:rowOff>
                  </to>
                </anchor>
              </controlPr>
            </control>
          </mc:Choice>
        </mc:AlternateContent>
        <mc:AlternateContent xmlns:mc="http://schemas.openxmlformats.org/markup-compatibility/2006">
          <mc:Choice Requires="x14">
            <control shapeId="28681" r:id="rId6" name="Button 9">
              <controlPr defaultSize="0" print="0" autoFill="0" autoPict="0" macro="[0]!Sheet16.clearReportedExecutions">
                <anchor moveWithCells="1" sizeWithCells="1">
                  <from>
                    <xdr:col>8</xdr:col>
                    <xdr:colOff>1581150</xdr:colOff>
                    <xdr:row>2</xdr:row>
                    <xdr:rowOff>57150</xdr:rowOff>
                  </from>
                  <to>
                    <xdr:col>9</xdr:col>
                    <xdr:colOff>1219200</xdr:colOff>
                    <xdr:row>3</xdr:row>
                    <xdr:rowOff>133350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W347"/>
  <sheetViews>
    <sheetView zoomScale="80" zoomScaleNormal="80" workbookViewId="0">
      <pane ySplit="5" topLeftCell="A6" activePane="bottomLeft" state="frozen"/>
      <selection pane="bottomLeft" activeCell="E33" sqref="E33"/>
    </sheetView>
  </sheetViews>
  <sheetFormatPr defaultRowHeight="12.75" x14ac:dyDescent="0.2"/>
  <cols>
    <col min="1" max="1" width="11" customWidth="1"/>
    <col min="2" max="2" width="10.7109375" customWidth="1"/>
    <col min="3" max="3" width="12" customWidth="1"/>
    <col min="4" max="4" width="11" customWidth="1"/>
    <col min="5" max="5" width="11.42578125" bestFit="1" customWidth="1"/>
    <col min="6" max="6" width="11" customWidth="1"/>
    <col min="7" max="7" width="16.7109375" bestFit="1" customWidth="1"/>
    <col min="8" max="8" width="12.28515625" customWidth="1"/>
    <col min="9" max="9" width="14.140625" customWidth="1"/>
    <col min="10" max="10" width="15.5703125" customWidth="1"/>
    <col min="11" max="14" width="14.28515625" customWidth="1"/>
    <col min="15" max="15" width="17" customWidth="1"/>
    <col min="16" max="16" width="16.85546875" customWidth="1"/>
    <col min="17" max="17" width="7" customWidth="1"/>
    <col min="19" max="19" width="12.42578125" customWidth="1"/>
    <col min="20" max="20" width="11.42578125" customWidth="1"/>
    <col min="21" max="21" width="10.7109375" customWidth="1"/>
  </cols>
  <sheetData>
    <row r="1" spans="1:23" x14ac:dyDescent="0.2">
      <c r="A1" s="427" t="s">
        <v>47</v>
      </c>
      <c r="B1" s="428"/>
      <c r="C1" s="428"/>
      <c r="D1" s="428"/>
      <c r="E1" s="428"/>
      <c r="F1" s="428"/>
      <c r="G1" s="428"/>
      <c r="H1" s="429"/>
      <c r="I1" s="429"/>
      <c r="J1" s="430"/>
      <c r="K1" s="7"/>
      <c r="N1" s="7"/>
      <c r="R1" s="7"/>
      <c r="U1" s="7"/>
      <c r="V1" s="7"/>
      <c r="W1" s="7"/>
    </row>
    <row r="2" spans="1:23" x14ac:dyDescent="0.2">
      <c r="A2" s="431"/>
      <c r="B2" s="432"/>
      <c r="C2" s="432"/>
      <c r="D2" s="432"/>
      <c r="E2" s="432"/>
      <c r="F2" s="432"/>
      <c r="G2" s="432"/>
      <c r="H2" s="433"/>
      <c r="I2" s="433"/>
      <c r="J2" s="434"/>
      <c r="K2" s="7"/>
      <c r="L2" s="440" t="s">
        <v>304</v>
      </c>
      <c r="M2" s="440"/>
      <c r="N2" s="7"/>
    </row>
    <row r="3" spans="1:23" x14ac:dyDescent="0.2">
      <c r="A3" s="435"/>
      <c r="B3" s="436"/>
      <c r="C3" s="436"/>
      <c r="D3" s="436"/>
      <c r="E3" s="436"/>
      <c r="F3" s="436"/>
      <c r="G3" s="436"/>
      <c r="H3" s="436"/>
      <c r="I3" s="436"/>
      <c r="J3" s="437"/>
      <c r="K3" s="7"/>
      <c r="L3" s="125"/>
      <c r="M3" s="127"/>
    </row>
    <row r="4" spans="1:23" x14ac:dyDescent="0.2">
      <c r="A4" s="438" t="s">
        <v>51</v>
      </c>
      <c r="B4" s="439"/>
      <c r="C4" s="439"/>
      <c r="D4" s="439"/>
      <c r="E4" s="439"/>
      <c r="F4" s="439"/>
      <c r="G4" s="439"/>
      <c r="H4" s="429"/>
      <c r="I4" s="429"/>
      <c r="J4" s="430"/>
      <c r="K4" s="7"/>
    </row>
    <row r="5" spans="1:23" x14ac:dyDescent="0.2">
      <c r="A5" s="70" t="s">
        <v>58</v>
      </c>
      <c r="B5" s="169" t="s">
        <v>498</v>
      </c>
      <c r="C5" s="102"/>
      <c r="D5" s="128" t="s">
        <v>124</v>
      </c>
      <c r="E5" s="129"/>
      <c r="F5" s="112"/>
      <c r="G5" s="128" t="s">
        <v>317</v>
      </c>
      <c r="H5" s="130"/>
      <c r="I5" s="112"/>
      <c r="J5" s="113"/>
      <c r="N5" s="47"/>
    </row>
    <row r="6" spans="1:23" x14ac:dyDescent="0.2">
      <c r="A6" s="443" t="s">
        <v>59</v>
      </c>
      <c r="B6" s="444"/>
      <c r="C6" s="444"/>
      <c r="D6" s="444"/>
      <c r="E6" s="444"/>
      <c r="F6" s="444"/>
      <c r="G6" s="444"/>
      <c r="H6" s="444"/>
      <c r="I6" s="444"/>
      <c r="J6" s="265"/>
      <c r="L6" s="426" t="s">
        <v>125</v>
      </c>
      <c r="M6" s="426"/>
    </row>
    <row r="7" spans="1:23" x14ac:dyDescent="0.2">
      <c r="A7" s="441" t="s">
        <v>9</v>
      </c>
      <c r="B7" s="442"/>
      <c r="C7" s="442"/>
      <c r="D7" s="441" t="s">
        <v>63</v>
      </c>
      <c r="E7" s="442"/>
      <c r="F7" s="442"/>
      <c r="G7" s="441" t="s">
        <v>40</v>
      </c>
      <c r="H7" s="442"/>
      <c r="I7" s="442"/>
      <c r="J7" s="237" t="s">
        <v>72</v>
      </c>
      <c r="L7" s="131" t="s">
        <v>22</v>
      </c>
      <c r="M7" s="132" t="s">
        <v>126</v>
      </c>
    </row>
    <row r="8" spans="1:23" x14ac:dyDescent="0.2">
      <c r="A8" s="35"/>
      <c r="B8" s="238"/>
      <c r="C8" s="215"/>
      <c r="D8" s="35"/>
      <c r="E8" s="238"/>
      <c r="F8" s="215"/>
      <c r="G8" s="35"/>
      <c r="H8" s="238"/>
      <c r="I8" s="215"/>
      <c r="J8" s="5"/>
      <c r="L8" s="131"/>
      <c r="M8" s="132"/>
    </row>
    <row r="9" spans="1:23" x14ac:dyDescent="0.2">
      <c r="A9" s="35"/>
      <c r="B9" s="238"/>
      <c r="C9" s="215"/>
      <c r="D9" s="35"/>
      <c r="E9" s="238"/>
      <c r="F9" s="215"/>
      <c r="G9" s="35"/>
      <c r="H9" s="238"/>
      <c r="I9" s="215"/>
      <c r="J9" s="5"/>
      <c r="L9" s="133"/>
      <c r="M9" s="134"/>
    </row>
    <row r="10" spans="1:23" x14ac:dyDescent="0.2">
      <c r="A10" s="35"/>
      <c r="B10" s="238"/>
      <c r="C10" s="215"/>
      <c r="D10" s="35"/>
      <c r="E10" s="238"/>
      <c r="F10" s="215"/>
      <c r="G10" s="35"/>
      <c r="H10" s="238"/>
      <c r="I10" s="215"/>
      <c r="J10" s="5"/>
    </row>
    <row r="11" spans="1:23" x14ac:dyDescent="0.2">
      <c r="A11" s="35"/>
      <c r="B11" s="238"/>
      <c r="C11" s="215"/>
      <c r="D11" s="35"/>
      <c r="E11" s="238"/>
      <c r="F11" s="215"/>
      <c r="G11" s="35"/>
      <c r="H11" s="238"/>
      <c r="I11" s="215"/>
      <c r="J11" s="5"/>
    </row>
    <row r="12" spans="1:23" x14ac:dyDescent="0.2">
      <c r="A12" s="35"/>
      <c r="B12" s="238"/>
      <c r="C12" s="215"/>
      <c r="D12" s="35"/>
      <c r="E12" s="238"/>
      <c r="F12" s="215"/>
      <c r="G12" s="35"/>
      <c r="H12" s="238"/>
      <c r="I12" s="215"/>
      <c r="J12" s="5"/>
    </row>
    <row r="13" spans="1:23" x14ac:dyDescent="0.2">
      <c r="A13" s="35"/>
      <c r="B13" s="238"/>
      <c r="C13" s="215"/>
      <c r="D13" s="35"/>
      <c r="E13" s="238"/>
      <c r="F13" s="215"/>
      <c r="G13" s="35"/>
      <c r="H13" s="238"/>
      <c r="I13" s="215"/>
      <c r="J13" s="5"/>
    </row>
    <row r="14" spans="1:23" x14ac:dyDescent="0.2">
      <c r="A14" s="35"/>
      <c r="B14" s="238"/>
      <c r="C14" s="215"/>
      <c r="D14" s="35"/>
      <c r="E14" s="238"/>
      <c r="F14" s="215"/>
      <c r="G14" s="35"/>
      <c r="H14" s="238"/>
      <c r="I14" s="215"/>
      <c r="J14" s="5"/>
    </row>
    <row r="15" spans="1:23" x14ac:dyDescent="0.2">
      <c r="A15" s="35"/>
      <c r="B15" s="238"/>
      <c r="C15" s="215"/>
      <c r="D15" s="35"/>
      <c r="E15" s="238"/>
      <c r="F15" s="215"/>
      <c r="G15" s="35"/>
      <c r="H15" s="238"/>
      <c r="I15" s="215"/>
      <c r="J15" s="5"/>
    </row>
    <row r="16" spans="1:23" x14ac:dyDescent="0.2">
      <c r="A16" s="35"/>
      <c r="B16" s="238"/>
      <c r="C16" s="215"/>
      <c r="D16" s="35"/>
      <c r="E16" s="238"/>
      <c r="F16" s="215"/>
      <c r="G16" s="35"/>
      <c r="H16" s="238"/>
      <c r="I16" s="215"/>
      <c r="J16" s="5"/>
    </row>
    <row r="17" spans="1:10" x14ac:dyDescent="0.2">
      <c r="A17" s="35"/>
      <c r="B17" s="238"/>
      <c r="C17" s="215"/>
      <c r="D17" s="35"/>
      <c r="E17" s="238"/>
      <c r="F17" s="215"/>
      <c r="G17" s="35"/>
      <c r="H17" s="238"/>
      <c r="I17" s="215"/>
      <c r="J17" s="5"/>
    </row>
    <row r="18" spans="1:10" x14ac:dyDescent="0.2">
      <c r="A18" s="35"/>
      <c r="B18" s="238"/>
      <c r="C18" s="215"/>
      <c r="D18" s="35"/>
      <c r="E18" s="238"/>
      <c r="F18" s="215"/>
      <c r="G18" s="35"/>
      <c r="H18" s="238"/>
      <c r="I18" s="215"/>
      <c r="J18" s="5"/>
    </row>
    <row r="19" spans="1:10" x14ac:dyDescent="0.2">
      <c r="A19" s="35"/>
      <c r="B19" s="238"/>
      <c r="C19" s="215"/>
      <c r="D19" s="35"/>
      <c r="E19" s="238"/>
      <c r="F19" s="215"/>
      <c r="G19" s="35"/>
      <c r="H19" s="238"/>
      <c r="I19" s="215"/>
      <c r="J19" s="5"/>
    </row>
    <row r="20" spans="1:10" x14ac:dyDescent="0.2">
      <c r="A20" s="35"/>
      <c r="B20" s="238"/>
      <c r="C20" s="215"/>
      <c r="D20" s="35"/>
      <c r="E20" s="238"/>
      <c r="F20" s="215"/>
      <c r="G20" s="35"/>
      <c r="H20" s="238"/>
      <c r="I20" s="215"/>
      <c r="J20" s="5"/>
    </row>
    <row r="21" spans="1:10" x14ac:dyDescent="0.2">
      <c r="A21" s="35"/>
      <c r="B21" s="238"/>
      <c r="C21" s="215"/>
      <c r="D21" s="35"/>
      <c r="E21" s="238"/>
      <c r="F21" s="215"/>
      <c r="G21" s="35"/>
      <c r="H21" s="238"/>
      <c r="I21" s="215"/>
      <c r="J21" s="5"/>
    </row>
    <row r="22" spans="1:10" x14ac:dyDescent="0.2">
      <c r="A22" s="35"/>
      <c r="B22" s="238"/>
      <c r="C22" s="215"/>
      <c r="D22" s="35"/>
      <c r="E22" s="238"/>
      <c r="F22" s="215"/>
      <c r="G22" s="35"/>
      <c r="H22" s="238"/>
      <c r="I22" s="215"/>
      <c r="J22" s="5"/>
    </row>
    <row r="23" spans="1:10" x14ac:dyDescent="0.2">
      <c r="A23" s="35"/>
      <c r="B23" s="238"/>
      <c r="C23" s="215"/>
      <c r="D23" s="35"/>
      <c r="E23" s="238"/>
      <c r="F23" s="215"/>
      <c r="G23" s="35"/>
      <c r="H23" s="238"/>
      <c r="I23" s="215"/>
      <c r="J23" s="5"/>
    </row>
    <row r="24" spans="1:10" x14ac:dyDescent="0.2">
      <c r="A24" s="35"/>
      <c r="B24" s="238"/>
      <c r="C24" s="215"/>
      <c r="D24" s="35"/>
      <c r="E24" s="238"/>
      <c r="F24" s="215"/>
      <c r="G24" s="35"/>
      <c r="H24" s="238"/>
      <c r="I24" s="215"/>
      <c r="J24" s="5"/>
    </row>
    <row r="25" spans="1:10" x14ac:dyDescent="0.2">
      <c r="A25" s="35"/>
      <c r="B25" s="238"/>
      <c r="C25" s="215"/>
      <c r="D25" s="35"/>
      <c r="E25" s="238"/>
      <c r="F25" s="215"/>
      <c r="G25" s="35"/>
      <c r="H25" s="238"/>
      <c r="I25" s="215"/>
      <c r="J25" s="5"/>
    </row>
    <row r="26" spans="1:10" x14ac:dyDescent="0.2">
      <c r="A26" s="35"/>
      <c r="B26" s="238"/>
      <c r="C26" s="215"/>
      <c r="D26" s="35"/>
      <c r="E26" s="238"/>
      <c r="F26" s="215"/>
      <c r="G26" s="35"/>
      <c r="H26" s="238"/>
      <c r="I26" s="215"/>
      <c r="J26" s="5"/>
    </row>
    <row r="27" spans="1:10" x14ac:dyDescent="0.2">
      <c r="A27" s="35"/>
      <c r="B27" s="238"/>
      <c r="C27" s="215"/>
      <c r="D27" s="35"/>
      <c r="E27" s="238"/>
      <c r="F27" s="215"/>
      <c r="G27" s="35"/>
      <c r="H27" s="238"/>
      <c r="I27" s="215"/>
      <c r="J27" s="5"/>
    </row>
    <row r="28" spans="1:10" x14ac:dyDescent="0.2">
      <c r="A28" s="35"/>
      <c r="B28" s="238"/>
      <c r="C28" s="215"/>
      <c r="D28" s="35"/>
      <c r="E28" s="238"/>
      <c r="F28" s="215"/>
      <c r="G28" s="35"/>
      <c r="H28" s="238"/>
      <c r="I28" s="215"/>
      <c r="J28" s="5"/>
    </row>
    <row r="29" spans="1:10" x14ac:dyDescent="0.2">
      <c r="A29" s="35"/>
      <c r="B29" s="238"/>
      <c r="C29" s="215"/>
      <c r="D29" s="35"/>
      <c r="E29" s="238"/>
      <c r="F29" s="215"/>
      <c r="G29" s="35"/>
      <c r="H29" s="238"/>
      <c r="I29" s="215"/>
      <c r="J29" s="5"/>
    </row>
    <row r="30" spans="1:10" x14ac:dyDescent="0.2">
      <c r="A30" s="35"/>
      <c r="B30" s="238"/>
      <c r="C30" s="215"/>
      <c r="D30" s="35"/>
      <c r="E30" s="238"/>
      <c r="F30" s="215"/>
      <c r="G30" s="35"/>
      <c r="H30" s="238"/>
      <c r="I30" s="215"/>
      <c r="J30" s="5"/>
    </row>
    <row r="31" spans="1:10" x14ac:dyDescent="0.2">
      <c r="A31" s="35"/>
      <c r="B31" s="238"/>
      <c r="C31" s="215"/>
      <c r="D31" s="35"/>
      <c r="E31" s="238"/>
      <c r="F31" s="215"/>
      <c r="G31" s="35"/>
      <c r="H31" s="238"/>
      <c r="I31" s="215"/>
      <c r="J31" s="5"/>
    </row>
    <row r="32" spans="1:10" x14ac:dyDescent="0.2">
      <c r="A32" s="35"/>
      <c r="B32" s="238"/>
      <c r="C32" s="215"/>
      <c r="D32" s="35"/>
      <c r="E32" s="238"/>
      <c r="F32" s="215"/>
      <c r="G32" s="35"/>
      <c r="H32" s="238"/>
      <c r="I32" s="215"/>
      <c r="J32" s="5"/>
    </row>
    <row r="33" spans="1:10" x14ac:dyDescent="0.2">
      <c r="A33" s="35"/>
      <c r="B33" s="238"/>
      <c r="C33" s="215"/>
      <c r="D33" s="35"/>
      <c r="E33" s="238"/>
      <c r="F33" s="215"/>
      <c r="G33" s="35"/>
      <c r="H33" s="238"/>
      <c r="I33" s="215"/>
      <c r="J33" s="5"/>
    </row>
    <row r="34" spans="1:10" x14ac:dyDescent="0.2">
      <c r="A34" s="35"/>
      <c r="B34" s="238"/>
      <c r="C34" s="215"/>
      <c r="D34" s="35"/>
      <c r="E34" s="238"/>
      <c r="F34" s="215"/>
      <c r="G34" s="35"/>
      <c r="H34" s="238"/>
      <c r="I34" s="215"/>
      <c r="J34" s="5"/>
    </row>
    <row r="35" spans="1:10" x14ac:dyDescent="0.2">
      <c r="A35" s="35"/>
      <c r="B35" s="238"/>
      <c r="C35" s="215"/>
      <c r="D35" s="35"/>
      <c r="E35" s="238"/>
      <c r="F35" s="215"/>
      <c r="G35" s="35"/>
      <c r="H35" s="238"/>
      <c r="I35" s="215"/>
      <c r="J35" s="5"/>
    </row>
    <row r="36" spans="1:10" x14ac:dyDescent="0.2">
      <c r="A36" s="35"/>
      <c r="B36" s="238"/>
      <c r="C36" s="215"/>
      <c r="D36" s="35"/>
      <c r="E36" s="238"/>
      <c r="F36" s="215"/>
      <c r="G36" s="35"/>
      <c r="H36" s="238"/>
      <c r="I36" s="215"/>
      <c r="J36" s="5"/>
    </row>
    <row r="37" spans="1:10" x14ac:dyDescent="0.2">
      <c r="A37" s="35"/>
      <c r="B37" s="238"/>
      <c r="C37" s="215"/>
      <c r="D37" s="35"/>
      <c r="E37" s="238"/>
      <c r="F37" s="215"/>
      <c r="G37" s="35"/>
      <c r="H37" s="238"/>
      <c r="I37" s="215"/>
      <c r="J37" s="5"/>
    </row>
    <row r="38" spans="1:10" x14ac:dyDescent="0.2">
      <c r="A38" s="35"/>
      <c r="B38" s="238"/>
      <c r="C38" s="215"/>
      <c r="D38" s="35"/>
      <c r="E38" s="238"/>
      <c r="F38" s="215"/>
      <c r="G38" s="35"/>
      <c r="H38" s="238"/>
      <c r="I38" s="215"/>
      <c r="J38" s="5"/>
    </row>
    <row r="39" spans="1:10" x14ac:dyDescent="0.2">
      <c r="A39" s="35"/>
      <c r="B39" s="238"/>
      <c r="C39" s="215"/>
      <c r="D39" s="35"/>
      <c r="E39" s="238"/>
      <c r="F39" s="215"/>
      <c r="G39" s="35"/>
      <c r="H39" s="238"/>
      <c r="I39" s="215"/>
      <c r="J39" s="5"/>
    </row>
    <row r="40" spans="1:10" x14ac:dyDescent="0.2">
      <c r="A40" s="35"/>
      <c r="B40" s="238"/>
      <c r="C40" s="215"/>
      <c r="D40" s="35"/>
      <c r="E40" s="238"/>
      <c r="F40" s="215"/>
      <c r="G40" s="35"/>
      <c r="H40" s="238"/>
      <c r="I40" s="215"/>
      <c r="J40" s="5"/>
    </row>
    <row r="41" spans="1:10" x14ac:dyDescent="0.2">
      <c r="A41" s="35"/>
      <c r="B41" s="238"/>
      <c r="C41" s="215"/>
      <c r="D41" s="35"/>
      <c r="E41" s="238"/>
      <c r="F41" s="215"/>
      <c r="G41" s="35"/>
      <c r="H41" s="238"/>
      <c r="I41" s="215"/>
      <c r="J41" s="5"/>
    </row>
    <row r="42" spans="1:10" x14ac:dyDescent="0.2">
      <c r="A42" s="35"/>
      <c r="B42" s="238"/>
      <c r="C42" s="215"/>
      <c r="D42" s="35"/>
      <c r="E42" s="238"/>
      <c r="F42" s="215"/>
      <c r="G42" s="35"/>
      <c r="H42" s="238"/>
      <c r="I42" s="215"/>
      <c r="J42" s="5"/>
    </row>
    <row r="43" spans="1:10" x14ac:dyDescent="0.2">
      <c r="A43" s="35"/>
      <c r="B43" s="238"/>
      <c r="C43" s="215"/>
      <c r="D43" s="35"/>
      <c r="E43" s="238"/>
      <c r="F43" s="215"/>
      <c r="G43" s="35"/>
      <c r="H43" s="238"/>
      <c r="I43" s="215"/>
      <c r="J43" s="5"/>
    </row>
    <row r="44" spans="1:10" x14ac:dyDescent="0.2">
      <c r="A44" s="35"/>
      <c r="B44" s="238"/>
      <c r="C44" s="215"/>
      <c r="D44" s="35"/>
      <c r="E44" s="238"/>
      <c r="F44" s="215"/>
      <c r="G44" s="35"/>
      <c r="H44" s="238"/>
      <c r="I44" s="215"/>
      <c r="J44" s="5"/>
    </row>
    <row r="45" spans="1:10" x14ac:dyDescent="0.2">
      <c r="A45" s="35"/>
      <c r="B45" s="238"/>
      <c r="C45" s="215"/>
      <c r="D45" s="35"/>
      <c r="E45" s="238"/>
      <c r="F45" s="215"/>
      <c r="G45" s="35"/>
      <c r="H45" s="238"/>
      <c r="I45" s="215"/>
      <c r="J45" s="5"/>
    </row>
    <row r="46" spans="1:10" x14ac:dyDescent="0.2">
      <c r="A46" s="35"/>
      <c r="B46" s="238"/>
      <c r="C46" s="215"/>
      <c r="D46" s="35"/>
      <c r="E46" s="238"/>
      <c r="F46" s="215"/>
      <c r="G46" s="35"/>
      <c r="H46" s="238"/>
      <c r="I46" s="215"/>
      <c r="J46" s="5"/>
    </row>
    <row r="47" spans="1:10" x14ac:dyDescent="0.2">
      <c r="A47" s="35"/>
      <c r="B47" s="238"/>
      <c r="C47" s="215"/>
      <c r="D47" s="35"/>
      <c r="E47" s="238"/>
      <c r="F47" s="215"/>
      <c r="G47" s="35"/>
      <c r="H47" s="238"/>
      <c r="I47" s="215"/>
      <c r="J47" s="5"/>
    </row>
    <row r="48" spans="1:10" x14ac:dyDescent="0.2">
      <c r="A48" s="35"/>
      <c r="B48" s="238"/>
      <c r="C48" s="215"/>
      <c r="D48" s="35"/>
      <c r="E48" s="238"/>
      <c r="F48" s="215"/>
      <c r="G48" s="35"/>
      <c r="H48" s="238"/>
      <c r="I48" s="215"/>
      <c r="J48" s="5"/>
    </row>
    <row r="49" spans="1:10" x14ac:dyDescent="0.2">
      <c r="A49" s="35"/>
      <c r="B49" s="238"/>
      <c r="C49" s="215"/>
      <c r="D49" s="35"/>
      <c r="E49" s="238"/>
      <c r="F49" s="215"/>
      <c r="G49" s="35"/>
      <c r="H49" s="238"/>
      <c r="I49" s="215"/>
      <c r="J49" s="5"/>
    </row>
    <row r="50" spans="1:10" x14ac:dyDescent="0.2">
      <c r="A50" s="35"/>
      <c r="B50" s="238"/>
      <c r="C50" s="215"/>
      <c r="D50" s="35"/>
      <c r="E50" s="238"/>
      <c r="F50" s="215"/>
      <c r="G50" s="35"/>
      <c r="H50" s="238"/>
      <c r="I50" s="215"/>
      <c r="J50" s="5"/>
    </row>
    <row r="51" spans="1:10" x14ac:dyDescent="0.2">
      <c r="A51" s="35"/>
      <c r="B51" s="238"/>
      <c r="C51" s="215"/>
      <c r="D51" s="35"/>
      <c r="E51" s="238"/>
      <c r="F51" s="215"/>
      <c r="G51" s="35"/>
      <c r="H51" s="238"/>
      <c r="I51" s="215"/>
      <c r="J51" s="5"/>
    </row>
    <row r="52" spans="1:10" x14ac:dyDescent="0.2">
      <c r="A52" s="35"/>
      <c r="B52" s="238"/>
      <c r="C52" s="215"/>
      <c r="D52" s="35"/>
      <c r="E52" s="238"/>
      <c r="F52" s="215"/>
      <c r="G52" s="35"/>
      <c r="H52" s="238"/>
      <c r="I52" s="215"/>
      <c r="J52" s="5"/>
    </row>
    <row r="53" spans="1:10" x14ac:dyDescent="0.2">
      <c r="A53" s="35"/>
      <c r="B53" s="238"/>
      <c r="C53" s="215"/>
      <c r="D53" s="35"/>
      <c r="E53" s="238"/>
      <c r="F53" s="215"/>
      <c r="G53" s="35"/>
      <c r="H53" s="238"/>
      <c r="I53" s="215"/>
      <c r="J53" s="5"/>
    </row>
    <row r="54" spans="1:10" x14ac:dyDescent="0.2">
      <c r="A54" s="35"/>
      <c r="B54" s="238"/>
      <c r="C54" s="215"/>
      <c r="D54" s="35"/>
      <c r="E54" s="238"/>
      <c r="F54" s="215"/>
      <c r="G54" s="35"/>
      <c r="H54" s="238"/>
      <c r="I54" s="215"/>
      <c r="J54" s="5"/>
    </row>
    <row r="55" spans="1:10" x14ac:dyDescent="0.2">
      <c r="A55" s="35"/>
      <c r="B55" s="238"/>
      <c r="C55" s="215"/>
      <c r="D55" s="35"/>
      <c r="E55" s="238"/>
      <c r="F55" s="215"/>
      <c r="G55" s="35"/>
      <c r="H55" s="238"/>
      <c r="I55" s="215"/>
      <c r="J55" s="5"/>
    </row>
    <row r="56" spans="1:10" x14ac:dyDescent="0.2">
      <c r="A56" s="35"/>
      <c r="B56" s="238"/>
      <c r="C56" s="215"/>
      <c r="D56" s="35"/>
      <c r="E56" s="238"/>
      <c r="F56" s="215"/>
      <c r="G56" s="35"/>
      <c r="H56" s="238"/>
      <c r="I56" s="215"/>
      <c r="J56" s="5"/>
    </row>
    <row r="57" spans="1:10" x14ac:dyDescent="0.2">
      <c r="A57" s="35"/>
      <c r="B57" s="238"/>
      <c r="C57" s="215"/>
      <c r="D57" s="35"/>
      <c r="E57" s="238"/>
      <c r="F57" s="215"/>
      <c r="G57" s="35"/>
      <c r="H57" s="238"/>
      <c r="I57" s="215"/>
      <c r="J57" s="5"/>
    </row>
    <row r="58" spans="1:10" x14ac:dyDescent="0.2">
      <c r="A58" s="35"/>
      <c r="B58" s="238"/>
      <c r="C58" s="215"/>
      <c r="D58" s="35"/>
      <c r="E58" s="238"/>
      <c r="F58" s="215"/>
      <c r="G58" s="35"/>
      <c r="H58" s="238"/>
      <c r="I58" s="215"/>
      <c r="J58" s="5"/>
    </row>
    <row r="59" spans="1:10" x14ac:dyDescent="0.2">
      <c r="A59" s="35"/>
      <c r="B59" s="238"/>
      <c r="C59" s="215"/>
      <c r="D59" s="35"/>
      <c r="E59" s="238"/>
      <c r="F59" s="215"/>
      <c r="G59" s="35"/>
      <c r="H59" s="238"/>
      <c r="I59" s="215"/>
      <c r="J59" s="5"/>
    </row>
    <row r="60" spans="1:10" x14ac:dyDescent="0.2">
      <c r="A60" s="35"/>
      <c r="B60" s="238"/>
      <c r="C60" s="215"/>
      <c r="D60" s="35"/>
      <c r="E60" s="238"/>
      <c r="F60" s="215"/>
      <c r="G60" s="35"/>
      <c r="H60" s="238"/>
      <c r="I60" s="215"/>
      <c r="J60" s="5"/>
    </row>
    <row r="61" spans="1:10" x14ac:dyDescent="0.2">
      <c r="A61" s="35"/>
      <c r="B61" s="238"/>
      <c r="C61" s="215"/>
      <c r="D61" s="35"/>
      <c r="E61" s="238"/>
      <c r="F61" s="215"/>
      <c r="G61" s="35"/>
      <c r="H61" s="238"/>
      <c r="I61" s="215"/>
      <c r="J61" s="5"/>
    </row>
    <row r="62" spans="1:10" x14ac:dyDescent="0.2">
      <c r="A62" s="35"/>
      <c r="B62" s="238"/>
      <c r="C62" s="215"/>
      <c r="D62" s="35"/>
      <c r="E62" s="238"/>
      <c r="F62" s="215"/>
      <c r="G62" s="35"/>
      <c r="H62" s="238"/>
      <c r="I62" s="215"/>
      <c r="J62" s="5"/>
    </row>
    <row r="63" spans="1:10" x14ac:dyDescent="0.2">
      <c r="A63" s="35"/>
      <c r="B63" s="238"/>
      <c r="C63" s="215"/>
      <c r="D63" s="35"/>
      <c r="E63" s="238"/>
      <c r="F63" s="215"/>
      <c r="G63" s="35"/>
      <c r="H63" s="238"/>
      <c r="I63" s="215"/>
      <c r="J63" s="5"/>
    </row>
    <row r="64" spans="1:10" x14ac:dyDescent="0.2">
      <c r="A64" s="35"/>
      <c r="B64" s="238"/>
      <c r="C64" s="215"/>
      <c r="D64" s="35"/>
      <c r="E64" s="238"/>
      <c r="F64" s="215"/>
      <c r="G64" s="35"/>
      <c r="H64" s="238"/>
      <c r="I64" s="215"/>
      <c r="J64" s="5"/>
    </row>
    <row r="65" spans="1:10" x14ac:dyDescent="0.2">
      <c r="A65" s="35"/>
      <c r="B65" s="238"/>
      <c r="C65" s="215"/>
      <c r="D65" s="35"/>
      <c r="E65" s="238"/>
      <c r="F65" s="215"/>
      <c r="G65" s="35"/>
      <c r="H65" s="238"/>
      <c r="I65" s="215"/>
      <c r="J65" s="5"/>
    </row>
    <row r="66" spans="1:10" x14ac:dyDescent="0.2">
      <c r="A66" s="35"/>
      <c r="B66" s="238"/>
      <c r="C66" s="215"/>
      <c r="D66" s="35"/>
      <c r="E66" s="238"/>
      <c r="F66" s="215"/>
      <c r="G66" s="35"/>
      <c r="H66" s="238"/>
      <c r="I66" s="215"/>
      <c r="J66" s="5"/>
    </row>
    <row r="67" spans="1:10" x14ac:dyDescent="0.2">
      <c r="A67" s="35"/>
      <c r="B67" s="238"/>
      <c r="C67" s="215"/>
      <c r="D67" s="35"/>
      <c r="E67" s="238"/>
      <c r="F67" s="215"/>
      <c r="G67" s="35"/>
      <c r="H67" s="238"/>
      <c r="I67" s="215"/>
      <c r="J67" s="5"/>
    </row>
    <row r="68" spans="1:10" x14ac:dyDescent="0.2">
      <c r="A68" s="35"/>
      <c r="B68" s="238"/>
      <c r="C68" s="215"/>
      <c r="D68" s="35"/>
      <c r="E68" s="238"/>
      <c r="F68" s="215"/>
      <c r="G68" s="35"/>
      <c r="H68" s="238"/>
      <c r="I68" s="215"/>
      <c r="J68" s="5"/>
    </row>
    <row r="69" spans="1:10" x14ac:dyDescent="0.2">
      <c r="A69" s="35"/>
      <c r="B69" s="238"/>
      <c r="C69" s="215"/>
      <c r="D69" s="35"/>
      <c r="E69" s="238"/>
      <c r="F69" s="215"/>
      <c r="G69" s="35"/>
      <c r="H69" s="238"/>
      <c r="I69" s="215"/>
      <c r="J69" s="5"/>
    </row>
    <row r="70" spans="1:10" x14ac:dyDescent="0.2">
      <c r="A70" s="35"/>
      <c r="B70" s="238"/>
      <c r="C70" s="215"/>
      <c r="D70" s="35"/>
      <c r="E70" s="238"/>
      <c r="F70" s="215"/>
      <c r="G70" s="35"/>
      <c r="H70" s="238"/>
      <c r="I70" s="215"/>
      <c r="J70" s="5"/>
    </row>
    <row r="71" spans="1:10" x14ac:dyDescent="0.2">
      <c r="A71" s="35"/>
      <c r="B71" s="238"/>
      <c r="C71" s="215"/>
      <c r="D71" s="35"/>
      <c r="E71" s="238"/>
      <c r="F71" s="215"/>
      <c r="G71" s="35"/>
      <c r="H71" s="238"/>
      <c r="I71" s="215"/>
      <c r="J71" s="5"/>
    </row>
    <row r="72" spans="1:10" x14ac:dyDescent="0.2">
      <c r="A72" s="35"/>
      <c r="B72" s="238"/>
      <c r="C72" s="215"/>
      <c r="D72" s="35"/>
      <c r="E72" s="238"/>
      <c r="F72" s="215"/>
      <c r="G72" s="35"/>
      <c r="H72" s="238"/>
      <c r="I72" s="215"/>
      <c r="J72" s="5"/>
    </row>
    <row r="73" spans="1:10" x14ac:dyDescent="0.2">
      <c r="A73" s="35"/>
      <c r="B73" s="238"/>
      <c r="C73" s="215"/>
      <c r="D73" s="35"/>
      <c r="E73" s="238"/>
      <c r="F73" s="215"/>
      <c r="G73" s="35"/>
      <c r="H73" s="238"/>
      <c r="I73" s="215"/>
      <c r="J73" s="5"/>
    </row>
    <row r="74" spans="1:10" x14ac:dyDescent="0.2">
      <c r="A74" s="35"/>
      <c r="B74" s="238"/>
      <c r="C74" s="215"/>
      <c r="D74" s="35"/>
      <c r="E74" s="238"/>
      <c r="F74" s="215"/>
      <c r="G74" s="35"/>
      <c r="H74" s="238"/>
      <c r="I74" s="215"/>
      <c r="J74" s="5"/>
    </row>
    <row r="75" spans="1:10" x14ac:dyDescent="0.2">
      <c r="A75" s="35"/>
      <c r="B75" s="238"/>
      <c r="C75" s="215"/>
      <c r="D75" s="35"/>
      <c r="E75" s="238"/>
      <c r="F75" s="215"/>
      <c r="G75" s="35"/>
      <c r="H75" s="238"/>
      <c r="I75" s="215"/>
      <c r="J75" s="5"/>
    </row>
    <row r="76" spans="1:10" x14ac:dyDescent="0.2">
      <c r="A76" s="35"/>
      <c r="B76" s="238"/>
      <c r="C76" s="215"/>
      <c r="D76" s="35"/>
      <c r="E76" s="238"/>
      <c r="F76" s="215"/>
      <c r="G76" s="35"/>
      <c r="H76" s="238"/>
      <c r="I76" s="215"/>
      <c r="J76" s="5"/>
    </row>
    <row r="77" spans="1:10" x14ac:dyDescent="0.2">
      <c r="A77" s="35"/>
      <c r="B77" s="238"/>
      <c r="C77" s="215"/>
      <c r="D77" s="35"/>
      <c r="E77" s="238"/>
      <c r="F77" s="215"/>
      <c r="G77" s="35"/>
      <c r="H77" s="238"/>
      <c r="I77" s="215"/>
      <c r="J77" s="5"/>
    </row>
    <row r="78" spans="1:10" x14ac:dyDescent="0.2">
      <c r="A78" s="35"/>
      <c r="B78" s="238"/>
      <c r="C78" s="215"/>
      <c r="D78" s="35"/>
      <c r="E78" s="238"/>
      <c r="F78" s="215"/>
      <c r="G78" s="35"/>
      <c r="H78" s="238"/>
      <c r="I78" s="215"/>
      <c r="J78" s="5"/>
    </row>
    <row r="79" spans="1:10" x14ac:dyDescent="0.2">
      <c r="A79" s="35"/>
      <c r="B79" s="238"/>
      <c r="C79" s="215"/>
      <c r="D79" s="35"/>
      <c r="E79" s="238"/>
      <c r="F79" s="215"/>
      <c r="G79" s="35"/>
      <c r="H79" s="238"/>
      <c r="I79" s="215"/>
      <c r="J79" s="5"/>
    </row>
    <row r="80" spans="1:10" x14ac:dyDescent="0.2">
      <c r="A80" s="35"/>
      <c r="B80" s="238"/>
      <c r="C80" s="215"/>
      <c r="D80" s="35"/>
      <c r="E80" s="238"/>
      <c r="F80" s="215"/>
      <c r="G80" s="35"/>
      <c r="H80" s="238"/>
      <c r="I80" s="215"/>
      <c r="J80" s="5"/>
    </row>
    <row r="81" spans="1:10" x14ac:dyDescent="0.2">
      <c r="A81" s="35"/>
      <c r="B81" s="238"/>
      <c r="C81" s="215"/>
      <c r="D81" s="35"/>
      <c r="E81" s="238"/>
      <c r="F81" s="215"/>
      <c r="G81" s="35"/>
      <c r="H81" s="238"/>
      <c r="I81" s="215"/>
      <c r="J81" s="5"/>
    </row>
    <row r="82" spans="1:10" x14ac:dyDescent="0.2">
      <c r="A82" s="35"/>
      <c r="B82" s="238"/>
      <c r="C82" s="215"/>
      <c r="D82" s="35"/>
      <c r="E82" s="238"/>
      <c r="F82" s="215"/>
      <c r="G82" s="35"/>
      <c r="H82" s="238"/>
      <c r="I82" s="215"/>
      <c r="J82" s="5"/>
    </row>
    <row r="83" spans="1:10" x14ac:dyDescent="0.2">
      <c r="A83" s="35"/>
      <c r="B83" s="238"/>
      <c r="C83" s="215"/>
      <c r="D83" s="35"/>
      <c r="E83" s="238"/>
      <c r="F83" s="215"/>
      <c r="G83" s="35"/>
      <c r="H83" s="238"/>
      <c r="I83" s="215"/>
      <c r="J83" s="5"/>
    </row>
    <row r="84" spans="1:10" x14ac:dyDescent="0.2">
      <c r="A84" s="35"/>
      <c r="B84" s="238"/>
      <c r="C84" s="215"/>
      <c r="D84" s="35"/>
      <c r="E84" s="238"/>
      <c r="F84" s="215"/>
      <c r="G84" s="35"/>
      <c r="H84" s="238"/>
      <c r="I84" s="215"/>
      <c r="J84" s="5"/>
    </row>
    <row r="85" spans="1:10" x14ac:dyDescent="0.2">
      <c r="A85" s="35"/>
      <c r="B85" s="238"/>
      <c r="C85" s="215"/>
      <c r="D85" s="35"/>
      <c r="E85" s="238"/>
      <c r="F85" s="215"/>
      <c r="G85" s="35"/>
      <c r="H85" s="238"/>
      <c r="I85" s="215"/>
      <c r="J85" s="5"/>
    </row>
    <row r="86" spans="1:10" x14ac:dyDescent="0.2">
      <c r="A86" s="35"/>
      <c r="B86" s="238"/>
      <c r="C86" s="215"/>
      <c r="D86" s="35"/>
      <c r="E86" s="238"/>
      <c r="F86" s="215"/>
      <c r="G86" s="35"/>
      <c r="H86" s="238"/>
      <c r="I86" s="215"/>
      <c r="J86" s="5"/>
    </row>
    <row r="87" spans="1:10" x14ac:dyDescent="0.2">
      <c r="A87" s="35"/>
      <c r="B87" s="238"/>
      <c r="C87" s="215"/>
      <c r="D87" s="35"/>
      <c r="E87" s="238"/>
      <c r="F87" s="215"/>
      <c r="G87" s="35"/>
      <c r="H87" s="238"/>
      <c r="I87" s="215"/>
      <c r="J87" s="5"/>
    </row>
    <row r="88" spans="1:10" x14ac:dyDescent="0.2">
      <c r="A88" s="35"/>
      <c r="B88" s="238"/>
      <c r="C88" s="215"/>
      <c r="D88" s="35"/>
      <c r="E88" s="238"/>
      <c r="F88" s="215"/>
      <c r="G88" s="35"/>
      <c r="H88" s="238"/>
      <c r="I88" s="215"/>
      <c r="J88" s="5"/>
    </row>
    <row r="89" spans="1:10" x14ac:dyDescent="0.2">
      <c r="A89" s="35"/>
      <c r="B89" s="238"/>
      <c r="C89" s="215"/>
      <c r="D89" s="35"/>
      <c r="E89" s="238"/>
      <c r="F89" s="215"/>
      <c r="G89" s="35"/>
      <c r="H89" s="238"/>
      <c r="I89" s="215"/>
      <c r="J89" s="5"/>
    </row>
    <row r="90" spans="1:10" x14ac:dyDescent="0.2">
      <c r="A90" s="35"/>
      <c r="B90" s="238"/>
      <c r="C90" s="215"/>
      <c r="D90" s="35"/>
      <c r="E90" s="238"/>
      <c r="F90" s="215"/>
      <c r="G90" s="35"/>
      <c r="H90" s="238"/>
      <c r="I90" s="215"/>
      <c r="J90" s="5"/>
    </row>
    <row r="91" spans="1:10" x14ac:dyDescent="0.2">
      <c r="A91" s="35"/>
      <c r="B91" s="238"/>
      <c r="C91" s="215"/>
      <c r="D91" s="35"/>
      <c r="E91" s="238"/>
      <c r="F91" s="215"/>
      <c r="G91" s="35"/>
      <c r="H91" s="238"/>
      <c r="I91" s="215"/>
      <c r="J91" s="5"/>
    </row>
    <row r="92" spans="1:10" x14ac:dyDescent="0.2">
      <c r="A92" s="35"/>
      <c r="B92" s="238"/>
      <c r="C92" s="215"/>
      <c r="D92" s="35"/>
      <c r="E92" s="238"/>
      <c r="F92" s="215"/>
      <c r="G92" s="35"/>
      <c r="H92" s="238"/>
      <c r="I92" s="215"/>
      <c r="J92" s="5"/>
    </row>
    <row r="93" spans="1:10" x14ac:dyDescent="0.2">
      <c r="A93" s="35"/>
      <c r="B93" s="238"/>
      <c r="C93" s="215"/>
      <c r="D93" s="35"/>
      <c r="E93" s="238"/>
      <c r="F93" s="215"/>
      <c r="G93" s="35"/>
      <c r="H93" s="238"/>
      <c r="I93" s="215"/>
      <c r="J93" s="5"/>
    </row>
    <row r="94" spans="1:10" x14ac:dyDescent="0.2">
      <c r="A94" s="35"/>
      <c r="B94" s="238"/>
      <c r="C94" s="215"/>
      <c r="D94" s="35"/>
      <c r="E94" s="238"/>
      <c r="F94" s="215"/>
      <c r="G94" s="35"/>
      <c r="H94" s="238"/>
      <c r="I94" s="215"/>
      <c r="J94" s="5"/>
    </row>
    <row r="95" spans="1:10" x14ac:dyDescent="0.2">
      <c r="A95" s="35"/>
      <c r="B95" s="238"/>
      <c r="C95" s="215"/>
      <c r="D95" s="35"/>
      <c r="E95" s="238"/>
      <c r="F95" s="215"/>
      <c r="G95" s="35"/>
      <c r="H95" s="238"/>
      <c r="I95" s="215"/>
      <c r="J95" s="5"/>
    </row>
    <row r="96" spans="1:10" x14ac:dyDescent="0.2">
      <c r="A96" s="35"/>
      <c r="B96" s="238"/>
      <c r="C96" s="215"/>
      <c r="D96" s="35"/>
      <c r="E96" s="238"/>
      <c r="F96" s="215"/>
      <c r="G96" s="35"/>
      <c r="H96" s="238"/>
      <c r="I96" s="215"/>
      <c r="J96" s="5"/>
    </row>
    <row r="97" spans="1:10" x14ac:dyDescent="0.2">
      <c r="A97" s="35"/>
      <c r="B97" s="238"/>
      <c r="C97" s="215"/>
      <c r="D97" s="35"/>
      <c r="E97" s="238"/>
      <c r="F97" s="215"/>
      <c r="G97" s="35"/>
      <c r="H97" s="238"/>
      <c r="I97" s="215"/>
      <c r="J97" s="5"/>
    </row>
    <row r="98" spans="1:10" x14ac:dyDescent="0.2">
      <c r="A98" s="35"/>
      <c r="B98" s="238"/>
      <c r="C98" s="215"/>
      <c r="D98" s="35"/>
      <c r="E98" s="238"/>
      <c r="F98" s="215"/>
      <c r="G98" s="35"/>
      <c r="H98" s="238"/>
      <c r="I98" s="215"/>
      <c r="J98" s="5"/>
    </row>
    <row r="99" spans="1:10" x14ac:dyDescent="0.2">
      <c r="A99" s="35"/>
      <c r="B99" s="238"/>
      <c r="C99" s="215"/>
      <c r="D99" s="35"/>
      <c r="E99" s="238"/>
      <c r="F99" s="215"/>
      <c r="G99" s="35"/>
      <c r="H99" s="238"/>
      <c r="I99" s="215"/>
      <c r="J99" s="5"/>
    </row>
    <row r="100" spans="1:10" x14ac:dyDescent="0.2">
      <c r="A100" s="35"/>
      <c r="B100" s="238"/>
      <c r="C100" s="215"/>
      <c r="D100" s="35"/>
      <c r="E100" s="238"/>
      <c r="F100" s="215"/>
      <c r="G100" s="35"/>
      <c r="H100" s="238"/>
      <c r="I100" s="215"/>
      <c r="J100" s="5"/>
    </row>
    <row r="101" spans="1:10" x14ac:dyDescent="0.2">
      <c r="A101" s="35"/>
      <c r="B101" s="238"/>
      <c r="C101" s="215"/>
      <c r="D101" s="35"/>
      <c r="E101" s="238"/>
      <c r="F101" s="215"/>
      <c r="G101" s="35"/>
      <c r="H101" s="238"/>
      <c r="I101" s="215"/>
      <c r="J101" s="5"/>
    </row>
    <row r="102" spans="1:10" x14ac:dyDescent="0.2">
      <c r="A102" s="35"/>
      <c r="B102" s="238"/>
      <c r="C102" s="215"/>
      <c r="D102" s="35"/>
      <c r="E102" s="238"/>
      <c r="F102" s="215"/>
      <c r="G102" s="35"/>
      <c r="H102" s="238"/>
      <c r="I102" s="215"/>
      <c r="J102" s="5"/>
    </row>
    <row r="103" spans="1:10" x14ac:dyDescent="0.2">
      <c r="A103" s="35"/>
      <c r="B103" s="238"/>
      <c r="C103" s="215"/>
      <c r="D103" s="35"/>
      <c r="E103" s="238"/>
      <c r="F103" s="215"/>
      <c r="G103" s="35"/>
      <c r="H103" s="238"/>
      <c r="I103" s="215"/>
      <c r="J103" s="5"/>
    </row>
    <row r="104" spans="1:10" x14ac:dyDescent="0.2">
      <c r="A104" s="35"/>
      <c r="B104" s="238"/>
      <c r="C104" s="215"/>
      <c r="D104" s="35"/>
      <c r="E104" s="238"/>
      <c r="F104" s="215"/>
      <c r="G104" s="35"/>
      <c r="H104" s="238"/>
      <c r="I104" s="215"/>
      <c r="J104" s="5"/>
    </row>
    <row r="105" spans="1:10" x14ac:dyDescent="0.2">
      <c r="A105" s="35"/>
      <c r="B105" s="238"/>
      <c r="C105" s="215"/>
      <c r="D105" s="35"/>
      <c r="E105" s="238"/>
      <c r="F105" s="215"/>
      <c r="G105" s="35"/>
      <c r="H105" s="238"/>
      <c r="I105" s="215"/>
      <c r="J105" s="5"/>
    </row>
    <row r="106" spans="1:10" x14ac:dyDescent="0.2">
      <c r="A106" s="35"/>
      <c r="B106" s="238"/>
      <c r="C106" s="215"/>
      <c r="D106" s="35"/>
      <c r="E106" s="238"/>
      <c r="F106" s="215"/>
      <c r="G106" s="35"/>
      <c r="H106" s="238"/>
      <c r="I106" s="215"/>
      <c r="J106" s="5"/>
    </row>
    <row r="107" spans="1:10" x14ac:dyDescent="0.2">
      <c r="A107" s="35"/>
      <c r="B107" s="238"/>
      <c r="C107" s="215"/>
      <c r="D107" s="35"/>
      <c r="E107" s="238"/>
      <c r="F107" s="215"/>
      <c r="G107" s="35"/>
      <c r="H107" s="238"/>
      <c r="I107" s="215"/>
      <c r="J107" s="5"/>
    </row>
    <row r="108" spans="1:10" x14ac:dyDescent="0.2">
      <c r="A108" s="35"/>
      <c r="B108" s="238"/>
      <c r="C108" s="215"/>
      <c r="D108" s="35"/>
      <c r="E108" s="238"/>
      <c r="F108" s="215"/>
      <c r="G108" s="35"/>
      <c r="H108" s="238"/>
      <c r="I108" s="215"/>
      <c r="J108" s="5"/>
    </row>
    <row r="109" spans="1:10" x14ac:dyDescent="0.2">
      <c r="A109" s="35"/>
      <c r="B109" s="238"/>
      <c r="C109" s="215"/>
      <c r="D109" s="35"/>
      <c r="E109" s="238"/>
      <c r="F109" s="215"/>
      <c r="G109" s="35"/>
      <c r="H109" s="238"/>
      <c r="I109" s="215"/>
      <c r="J109" s="5"/>
    </row>
    <row r="110" spans="1:10" x14ac:dyDescent="0.2">
      <c r="A110" s="35"/>
      <c r="B110" s="238"/>
      <c r="C110" s="215"/>
      <c r="D110" s="35"/>
      <c r="E110" s="238"/>
      <c r="F110" s="215"/>
      <c r="G110" s="35"/>
      <c r="H110" s="238"/>
      <c r="I110" s="215"/>
      <c r="J110" s="5"/>
    </row>
    <row r="111" spans="1:10" x14ac:dyDescent="0.2">
      <c r="A111" s="35"/>
      <c r="B111" s="238"/>
      <c r="C111" s="215"/>
      <c r="D111" s="35"/>
      <c r="E111" s="238"/>
      <c r="F111" s="215"/>
      <c r="G111" s="35"/>
      <c r="H111" s="238"/>
      <c r="I111" s="215"/>
      <c r="J111" s="5"/>
    </row>
    <row r="112" spans="1:10" x14ac:dyDescent="0.2">
      <c r="A112" s="35"/>
      <c r="B112" s="238"/>
      <c r="C112" s="215"/>
      <c r="D112" s="35"/>
      <c r="E112" s="238"/>
      <c r="F112" s="215"/>
      <c r="G112" s="35"/>
      <c r="H112" s="238"/>
      <c r="I112" s="215"/>
      <c r="J112" s="5"/>
    </row>
    <row r="113" spans="1:10" ht="13.5" customHeight="1" x14ac:dyDescent="0.2">
      <c r="A113" s="35"/>
      <c r="B113" s="238"/>
      <c r="C113" s="215"/>
      <c r="D113" s="35"/>
      <c r="E113" s="238"/>
      <c r="F113" s="215"/>
      <c r="G113" s="35"/>
      <c r="H113" s="238"/>
      <c r="I113" s="215"/>
      <c r="J113" s="5"/>
    </row>
    <row r="114" spans="1:10" ht="13.5" customHeight="1" x14ac:dyDescent="0.2">
      <c r="A114" s="35"/>
      <c r="B114" s="238"/>
      <c r="C114" s="215"/>
      <c r="D114" s="35"/>
      <c r="E114" s="238"/>
      <c r="F114" s="215"/>
      <c r="G114" s="35"/>
      <c r="H114" s="238"/>
      <c r="I114" s="215"/>
      <c r="J114" s="5"/>
    </row>
    <row r="115" spans="1:10" x14ac:dyDescent="0.2">
      <c r="A115" s="35"/>
      <c r="B115" s="238"/>
      <c r="C115" s="215"/>
      <c r="D115" s="35"/>
      <c r="E115" s="238"/>
      <c r="F115" s="215"/>
      <c r="G115" s="35"/>
      <c r="H115" s="238"/>
      <c r="I115" s="215"/>
      <c r="J115" s="5"/>
    </row>
    <row r="116" spans="1:10" x14ac:dyDescent="0.2">
      <c r="A116" s="35"/>
      <c r="B116" s="238"/>
      <c r="C116" s="215"/>
      <c r="D116" s="35"/>
      <c r="E116" s="238"/>
      <c r="F116" s="215"/>
      <c r="G116" s="35"/>
      <c r="H116" s="238"/>
      <c r="I116" s="215"/>
      <c r="J116" s="5"/>
    </row>
    <row r="117" spans="1:10" x14ac:dyDescent="0.2">
      <c r="A117" s="35"/>
      <c r="B117" s="238"/>
      <c r="C117" s="215"/>
      <c r="D117" s="35"/>
      <c r="E117" s="238"/>
      <c r="F117" s="215"/>
      <c r="G117" s="35"/>
      <c r="H117" s="238"/>
      <c r="I117" s="215"/>
      <c r="J117" s="5"/>
    </row>
    <row r="118" spans="1:10" x14ac:dyDescent="0.2">
      <c r="A118" s="35"/>
      <c r="B118" s="238"/>
      <c r="C118" s="215"/>
      <c r="D118" s="35"/>
      <c r="E118" s="238"/>
      <c r="F118" s="215"/>
      <c r="G118" s="35"/>
      <c r="H118" s="238"/>
      <c r="I118" s="215"/>
      <c r="J118" s="5"/>
    </row>
    <row r="119" spans="1:10" x14ac:dyDescent="0.2">
      <c r="A119" s="35"/>
      <c r="B119" s="238"/>
      <c r="C119" s="215"/>
      <c r="D119" s="35"/>
      <c r="E119" s="238"/>
      <c r="F119" s="215"/>
      <c r="G119" s="35"/>
      <c r="H119" s="238"/>
      <c r="I119" s="215"/>
      <c r="J119" s="5"/>
    </row>
    <row r="120" spans="1:10" x14ac:dyDescent="0.2">
      <c r="A120" s="35"/>
      <c r="B120" s="238"/>
      <c r="C120" s="215"/>
      <c r="D120" s="35"/>
      <c r="E120" s="238"/>
      <c r="F120" s="215"/>
      <c r="G120" s="35"/>
      <c r="H120" s="238"/>
      <c r="I120" s="215"/>
      <c r="J120" s="5"/>
    </row>
    <row r="121" spans="1:10" x14ac:dyDescent="0.2">
      <c r="A121" s="35"/>
      <c r="B121" s="238"/>
      <c r="C121" s="215"/>
      <c r="D121" s="35"/>
      <c r="E121" s="238"/>
      <c r="F121" s="215"/>
      <c r="G121" s="35"/>
      <c r="H121" s="238"/>
      <c r="I121" s="215"/>
      <c r="J121" s="5"/>
    </row>
    <row r="122" spans="1:10" x14ac:dyDescent="0.2">
      <c r="A122" s="35"/>
      <c r="B122" s="238"/>
      <c r="C122" s="215"/>
      <c r="D122" s="35"/>
      <c r="E122" s="238"/>
      <c r="F122" s="215"/>
      <c r="G122" s="35"/>
      <c r="H122" s="238"/>
      <c r="I122" s="215"/>
      <c r="J122" s="5"/>
    </row>
    <row r="123" spans="1:10" x14ac:dyDescent="0.2">
      <c r="A123" s="35"/>
      <c r="B123" s="238"/>
      <c r="C123" s="215"/>
      <c r="D123" s="35"/>
      <c r="E123" s="238"/>
      <c r="F123" s="215"/>
      <c r="G123" s="35"/>
      <c r="H123" s="238"/>
      <c r="I123" s="215"/>
      <c r="J123" s="5"/>
    </row>
    <row r="124" spans="1:10" x14ac:dyDescent="0.2">
      <c r="A124" s="35"/>
      <c r="B124" s="238"/>
      <c r="C124" s="215"/>
      <c r="D124" s="35"/>
      <c r="E124" s="238"/>
      <c r="F124" s="215"/>
      <c r="G124" s="35"/>
      <c r="H124" s="238"/>
      <c r="I124" s="215"/>
      <c r="J124" s="5"/>
    </row>
    <row r="125" spans="1:10" x14ac:dyDescent="0.2">
      <c r="A125" s="35"/>
      <c r="B125" s="238"/>
      <c r="C125" s="215"/>
      <c r="D125" s="35"/>
      <c r="E125" s="238"/>
      <c r="F125" s="215"/>
      <c r="G125" s="35"/>
      <c r="H125" s="238"/>
      <c r="I125" s="215"/>
      <c r="J125" s="5"/>
    </row>
    <row r="126" spans="1:10" x14ac:dyDescent="0.2">
      <c r="A126" s="35"/>
      <c r="B126" s="238"/>
      <c r="C126" s="215"/>
      <c r="D126" s="35"/>
      <c r="E126" s="238"/>
      <c r="F126" s="215"/>
      <c r="G126" s="35"/>
      <c r="H126" s="238"/>
      <c r="I126" s="215"/>
      <c r="J126" s="5"/>
    </row>
    <row r="127" spans="1:10" x14ac:dyDescent="0.2">
      <c r="A127" s="35"/>
      <c r="B127" s="238"/>
      <c r="C127" s="215"/>
      <c r="D127" s="35"/>
      <c r="E127" s="238"/>
      <c r="F127" s="215"/>
      <c r="G127" s="35"/>
      <c r="H127" s="238"/>
      <c r="I127" s="215"/>
      <c r="J127" s="5"/>
    </row>
    <row r="128" spans="1:10" x14ac:dyDescent="0.2">
      <c r="A128" s="35"/>
      <c r="B128" s="238"/>
      <c r="C128" s="215"/>
      <c r="D128" s="35"/>
      <c r="E128" s="238"/>
      <c r="F128" s="215"/>
      <c r="G128" s="35"/>
      <c r="H128" s="238"/>
      <c r="I128" s="215"/>
      <c r="J128" s="5"/>
    </row>
    <row r="129" spans="1:10" x14ac:dyDescent="0.2">
      <c r="A129" s="35"/>
      <c r="B129" s="238"/>
      <c r="C129" s="215"/>
      <c r="D129" s="35"/>
      <c r="E129" s="238"/>
      <c r="F129" s="215"/>
      <c r="G129" s="35"/>
      <c r="H129" s="238"/>
      <c r="I129" s="215"/>
      <c r="J129" s="5"/>
    </row>
    <row r="130" spans="1:10" x14ac:dyDescent="0.2">
      <c r="A130" s="35"/>
      <c r="B130" s="238"/>
      <c r="C130" s="215"/>
      <c r="D130" s="35"/>
      <c r="E130" s="238"/>
      <c r="F130" s="215"/>
      <c r="G130" s="35"/>
      <c r="H130" s="238"/>
      <c r="I130" s="215"/>
      <c r="J130" s="5"/>
    </row>
    <row r="131" spans="1:10" x14ac:dyDescent="0.2">
      <c r="A131" s="35"/>
      <c r="B131" s="238"/>
      <c r="C131" s="215"/>
      <c r="D131" s="35"/>
      <c r="E131" s="238"/>
      <c r="F131" s="215"/>
      <c r="G131" s="35"/>
      <c r="H131" s="238"/>
      <c r="I131" s="215"/>
      <c r="J131" s="5"/>
    </row>
    <row r="132" spans="1:10" x14ac:dyDescent="0.2">
      <c r="A132" s="35"/>
      <c r="B132" s="238"/>
      <c r="C132" s="215"/>
      <c r="D132" s="35"/>
      <c r="E132" s="238"/>
      <c r="F132" s="215"/>
      <c r="G132" s="35"/>
      <c r="H132" s="238"/>
      <c r="I132" s="215"/>
      <c r="J132" s="5"/>
    </row>
    <row r="133" spans="1:10" x14ac:dyDescent="0.2">
      <c r="A133" s="35"/>
      <c r="B133" s="238"/>
      <c r="C133" s="215"/>
      <c r="D133" s="35"/>
      <c r="E133" s="238"/>
      <c r="F133" s="215"/>
      <c r="G133" s="35"/>
      <c r="H133" s="238"/>
      <c r="I133" s="215"/>
      <c r="J133" s="5"/>
    </row>
    <row r="134" spans="1:10" x14ac:dyDescent="0.2">
      <c r="A134" s="35"/>
      <c r="B134" s="238"/>
      <c r="C134" s="215"/>
      <c r="D134" s="35"/>
      <c r="E134" s="238"/>
      <c r="F134" s="215"/>
      <c r="G134" s="35"/>
      <c r="H134" s="238"/>
      <c r="I134" s="215"/>
      <c r="J134" s="5"/>
    </row>
    <row r="135" spans="1:10" x14ac:dyDescent="0.2">
      <c r="A135" s="35"/>
      <c r="B135" s="238"/>
      <c r="C135" s="215"/>
      <c r="D135" s="35"/>
      <c r="E135" s="238"/>
      <c r="F135" s="215"/>
      <c r="G135" s="35"/>
      <c r="H135" s="238"/>
      <c r="I135" s="215"/>
      <c r="J135" s="5"/>
    </row>
    <row r="136" spans="1:10" x14ac:dyDescent="0.2">
      <c r="A136" s="35"/>
      <c r="B136" s="238"/>
      <c r="C136" s="215"/>
      <c r="D136" s="35"/>
      <c r="E136" s="238"/>
      <c r="F136" s="215"/>
      <c r="G136" s="35"/>
      <c r="H136" s="238"/>
      <c r="I136" s="215"/>
      <c r="J136" s="5"/>
    </row>
    <row r="137" spans="1:10" x14ac:dyDescent="0.2">
      <c r="A137" s="35"/>
      <c r="B137" s="238"/>
      <c r="C137" s="215"/>
      <c r="D137" s="35"/>
      <c r="E137" s="238"/>
      <c r="F137" s="215"/>
      <c r="G137" s="35"/>
      <c r="H137" s="238"/>
      <c r="I137" s="215"/>
      <c r="J137" s="5"/>
    </row>
    <row r="138" spans="1:10" x14ac:dyDescent="0.2">
      <c r="A138" s="35"/>
      <c r="B138" s="238"/>
      <c r="C138" s="215"/>
      <c r="D138" s="35"/>
      <c r="E138" s="238"/>
      <c r="F138" s="215"/>
      <c r="G138" s="35"/>
      <c r="H138" s="238"/>
      <c r="I138" s="215"/>
      <c r="J138" s="5"/>
    </row>
    <row r="139" spans="1:10" x14ac:dyDescent="0.2">
      <c r="A139" s="35"/>
      <c r="B139" s="238"/>
      <c r="C139" s="215"/>
      <c r="D139" s="35"/>
      <c r="E139" s="238"/>
      <c r="F139" s="215"/>
      <c r="G139" s="35"/>
      <c r="H139" s="238"/>
      <c r="I139" s="215"/>
      <c r="J139" s="5"/>
    </row>
    <row r="140" spans="1:10" x14ac:dyDescent="0.2">
      <c r="A140" s="35"/>
      <c r="B140" s="238"/>
      <c r="C140" s="215"/>
      <c r="D140" s="35"/>
      <c r="E140" s="238"/>
      <c r="F140" s="215"/>
      <c r="G140" s="35"/>
      <c r="H140" s="238"/>
      <c r="I140" s="215"/>
      <c r="J140" s="5"/>
    </row>
    <row r="141" spans="1:10" x14ac:dyDescent="0.2">
      <c r="A141" s="35"/>
      <c r="B141" s="238"/>
      <c r="C141" s="215"/>
      <c r="D141" s="35"/>
      <c r="E141" s="238"/>
      <c r="F141" s="215"/>
      <c r="G141" s="35"/>
      <c r="H141" s="238"/>
      <c r="I141" s="215"/>
      <c r="J141" s="5"/>
    </row>
    <row r="142" spans="1:10" x14ac:dyDescent="0.2">
      <c r="A142" s="35"/>
      <c r="B142" s="238"/>
      <c r="C142" s="215"/>
      <c r="D142" s="35"/>
      <c r="E142" s="238"/>
      <c r="F142" s="215"/>
      <c r="G142" s="35"/>
      <c r="H142" s="238"/>
      <c r="I142" s="215"/>
      <c r="J142" s="5"/>
    </row>
    <row r="143" spans="1:10" x14ac:dyDescent="0.2">
      <c r="A143" s="35"/>
      <c r="B143" s="238"/>
      <c r="C143" s="215"/>
      <c r="D143" s="35"/>
      <c r="E143" s="238"/>
      <c r="F143" s="215"/>
      <c r="G143" s="35"/>
      <c r="H143" s="238"/>
      <c r="I143" s="215"/>
      <c r="J143" s="5"/>
    </row>
    <row r="144" spans="1:10" x14ac:dyDescent="0.2">
      <c r="A144" s="35"/>
      <c r="B144" s="238"/>
      <c r="C144" s="215"/>
      <c r="D144" s="35"/>
      <c r="E144" s="238"/>
      <c r="F144" s="215"/>
      <c r="G144" s="35"/>
      <c r="H144" s="238"/>
      <c r="I144" s="215"/>
      <c r="J144" s="5"/>
    </row>
    <row r="145" spans="1:10" x14ac:dyDescent="0.2">
      <c r="A145" s="35"/>
      <c r="B145" s="238"/>
      <c r="C145" s="215"/>
      <c r="D145" s="35"/>
      <c r="E145" s="238"/>
      <c r="F145" s="215"/>
      <c r="G145" s="35"/>
      <c r="H145" s="238"/>
      <c r="I145" s="215"/>
      <c r="J145" s="5"/>
    </row>
    <row r="146" spans="1:10" x14ac:dyDescent="0.2">
      <c r="A146" s="35"/>
      <c r="B146" s="238"/>
      <c r="C146" s="215"/>
      <c r="D146" s="35"/>
      <c r="E146" s="238"/>
      <c r="F146" s="215"/>
      <c r="G146" s="35"/>
      <c r="H146" s="238"/>
      <c r="I146" s="215"/>
      <c r="J146" s="5"/>
    </row>
    <row r="147" spans="1:10" x14ac:dyDescent="0.2">
      <c r="A147" s="35"/>
      <c r="B147" s="238"/>
      <c r="C147" s="215"/>
      <c r="D147" s="35"/>
      <c r="E147" s="238"/>
      <c r="F147" s="215"/>
      <c r="G147" s="35"/>
      <c r="H147" s="238"/>
      <c r="I147" s="215"/>
      <c r="J147" s="5"/>
    </row>
    <row r="148" spans="1:10" x14ac:dyDescent="0.2">
      <c r="A148" s="35"/>
      <c r="B148" s="238"/>
      <c r="C148" s="215"/>
      <c r="D148" s="35"/>
      <c r="E148" s="238"/>
      <c r="F148" s="215"/>
      <c r="G148" s="35"/>
      <c r="H148" s="238"/>
      <c r="I148" s="215"/>
      <c r="J148" s="5"/>
    </row>
    <row r="149" spans="1:10" x14ac:dyDescent="0.2">
      <c r="A149" s="35"/>
      <c r="B149" s="238"/>
      <c r="C149" s="215"/>
      <c r="D149" s="35"/>
      <c r="E149" s="238"/>
      <c r="F149" s="215"/>
      <c r="G149" s="35"/>
      <c r="H149" s="238"/>
      <c r="I149" s="215"/>
      <c r="J149" s="5"/>
    </row>
    <row r="150" spans="1:10" x14ac:dyDescent="0.2">
      <c r="A150" s="35"/>
      <c r="B150" s="238"/>
      <c r="C150" s="215"/>
      <c r="D150" s="35"/>
      <c r="E150" s="238"/>
      <c r="F150" s="215"/>
      <c r="G150" s="35"/>
      <c r="H150" s="238"/>
      <c r="I150" s="215"/>
      <c r="J150" s="5"/>
    </row>
    <row r="151" spans="1:10" x14ac:dyDescent="0.2">
      <c r="A151" s="35"/>
      <c r="B151" s="238"/>
      <c r="C151" s="215"/>
      <c r="D151" s="35"/>
      <c r="E151" s="238"/>
      <c r="F151" s="215"/>
      <c r="G151" s="35"/>
      <c r="H151" s="238"/>
      <c r="I151" s="215"/>
      <c r="J151" s="5"/>
    </row>
    <row r="152" spans="1:10" x14ac:dyDescent="0.2">
      <c r="A152" s="35"/>
      <c r="B152" s="238"/>
      <c r="C152" s="215"/>
      <c r="D152" s="35"/>
      <c r="E152" s="238"/>
      <c r="F152" s="215"/>
      <c r="G152" s="35"/>
      <c r="H152" s="238"/>
      <c r="I152" s="215"/>
      <c r="J152" s="5"/>
    </row>
    <row r="153" spans="1:10" x14ac:dyDescent="0.2">
      <c r="A153" s="35"/>
      <c r="B153" s="238"/>
      <c r="C153" s="215"/>
      <c r="D153" s="35"/>
      <c r="E153" s="238"/>
      <c r="F153" s="215"/>
      <c r="G153" s="35"/>
      <c r="H153" s="238"/>
      <c r="I153" s="215"/>
      <c r="J153" s="5"/>
    </row>
    <row r="154" spans="1:10" x14ac:dyDescent="0.2">
      <c r="A154" s="35"/>
      <c r="B154" s="238"/>
      <c r="C154" s="215"/>
      <c r="D154" s="35"/>
      <c r="E154" s="238"/>
      <c r="F154" s="215"/>
      <c r="G154" s="35"/>
      <c r="H154" s="238"/>
      <c r="I154" s="215"/>
      <c r="J154" s="5"/>
    </row>
    <row r="155" spans="1:10" x14ac:dyDescent="0.2">
      <c r="A155" s="35"/>
      <c r="B155" s="238"/>
      <c r="C155" s="215"/>
      <c r="D155" s="35"/>
      <c r="E155" s="238"/>
      <c r="F155" s="215"/>
      <c r="G155" s="35"/>
      <c r="H155" s="238"/>
      <c r="I155" s="215"/>
      <c r="J155" s="5"/>
    </row>
    <row r="156" spans="1:10" x14ac:dyDescent="0.2">
      <c r="A156" s="35"/>
      <c r="B156" s="238"/>
      <c r="C156" s="215"/>
      <c r="D156" s="35"/>
      <c r="E156" s="238"/>
      <c r="F156" s="215"/>
      <c r="G156" s="35"/>
      <c r="H156" s="238"/>
      <c r="I156" s="215"/>
      <c r="J156" s="5"/>
    </row>
    <row r="157" spans="1:10" x14ac:dyDescent="0.2">
      <c r="A157" s="35"/>
      <c r="B157" s="238"/>
      <c r="C157" s="215"/>
      <c r="D157" s="35"/>
      <c r="E157" s="238"/>
      <c r="F157" s="215"/>
      <c r="G157" s="35"/>
      <c r="H157" s="238"/>
      <c r="I157" s="215"/>
      <c r="J157" s="5"/>
    </row>
    <row r="158" spans="1:10" x14ac:dyDescent="0.2">
      <c r="A158" s="35"/>
      <c r="B158" s="238"/>
      <c r="C158" s="215"/>
      <c r="D158" s="35"/>
      <c r="E158" s="238"/>
      <c r="F158" s="215"/>
      <c r="G158" s="35"/>
      <c r="H158" s="238"/>
      <c r="I158" s="215"/>
      <c r="J158" s="5"/>
    </row>
    <row r="159" spans="1:10" x14ac:dyDescent="0.2">
      <c r="A159" s="35"/>
      <c r="B159" s="238"/>
      <c r="C159" s="215"/>
      <c r="D159" s="35"/>
      <c r="E159" s="238"/>
      <c r="F159" s="215"/>
      <c r="G159" s="35"/>
      <c r="H159" s="238"/>
      <c r="I159" s="215"/>
      <c r="J159" s="5"/>
    </row>
    <row r="160" spans="1:10" x14ac:dyDescent="0.2">
      <c r="A160" s="35"/>
      <c r="B160" s="238"/>
      <c r="C160" s="215"/>
      <c r="D160" s="35"/>
      <c r="E160" s="238"/>
      <c r="F160" s="215"/>
      <c r="G160" s="35"/>
      <c r="H160" s="238"/>
      <c r="I160" s="215"/>
      <c r="J160" s="5"/>
    </row>
    <row r="161" spans="1:10" x14ac:dyDescent="0.2">
      <c r="A161" s="35"/>
      <c r="B161" s="238"/>
      <c r="C161" s="215"/>
      <c r="D161" s="35"/>
      <c r="E161" s="238"/>
      <c r="F161" s="215"/>
      <c r="G161" s="35"/>
      <c r="H161" s="238"/>
      <c r="I161" s="215"/>
      <c r="J161" s="5"/>
    </row>
    <row r="162" spans="1:10" x14ac:dyDescent="0.2">
      <c r="A162" s="35"/>
      <c r="B162" s="238"/>
      <c r="C162" s="215"/>
      <c r="D162" s="35"/>
      <c r="E162" s="238"/>
      <c r="F162" s="215"/>
      <c r="G162" s="35"/>
      <c r="H162" s="238"/>
      <c r="I162" s="215"/>
      <c r="J162" s="5"/>
    </row>
    <row r="163" spans="1:10" x14ac:dyDescent="0.2">
      <c r="A163" s="35"/>
      <c r="B163" s="238"/>
      <c r="C163" s="215"/>
      <c r="D163" s="35"/>
      <c r="E163" s="238"/>
      <c r="F163" s="215"/>
      <c r="G163" s="35"/>
      <c r="H163" s="238"/>
      <c r="I163" s="215"/>
      <c r="J163" s="5"/>
    </row>
    <row r="164" spans="1:10" x14ac:dyDescent="0.2">
      <c r="A164" s="35"/>
      <c r="B164" s="238"/>
      <c r="C164" s="215"/>
      <c r="D164" s="35"/>
      <c r="E164" s="238"/>
      <c r="F164" s="215"/>
      <c r="G164" s="35"/>
      <c r="H164" s="238"/>
      <c r="I164" s="215"/>
      <c r="J164" s="5"/>
    </row>
    <row r="165" spans="1:10" x14ac:dyDescent="0.2">
      <c r="A165" s="35"/>
      <c r="B165" s="238"/>
      <c r="C165" s="215"/>
      <c r="D165" s="35"/>
      <c r="E165" s="238"/>
      <c r="F165" s="215"/>
      <c r="G165" s="35"/>
      <c r="H165" s="238"/>
      <c r="I165" s="215"/>
      <c r="J165" s="5"/>
    </row>
    <row r="166" spans="1:10" x14ac:dyDescent="0.2">
      <c r="A166" s="35"/>
      <c r="B166" s="238"/>
      <c r="C166" s="215"/>
      <c r="D166" s="35"/>
      <c r="E166" s="238"/>
      <c r="F166" s="215"/>
      <c r="G166" s="35"/>
      <c r="H166" s="238"/>
      <c r="I166" s="215"/>
      <c r="J166" s="5"/>
    </row>
    <row r="167" spans="1:10" x14ac:dyDescent="0.2">
      <c r="A167" s="35"/>
      <c r="B167" s="238"/>
      <c r="C167" s="215"/>
      <c r="D167" s="35"/>
      <c r="E167" s="238"/>
      <c r="F167" s="215"/>
      <c r="G167" s="35"/>
      <c r="H167" s="238"/>
      <c r="I167" s="215"/>
      <c r="J167" s="5"/>
    </row>
    <row r="168" spans="1:10" x14ac:dyDescent="0.2">
      <c r="A168" s="35"/>
      <c r="B168" s="238"/>
      <c r="C168" s="215"/>
      <c r="D168" s="35"/>
      <c r="E168" s="238"/>
      <c r="F168" s="215"/>
      <c r="G168" s="35"/>
      <c r="H168" s="238"/>
      <c r="I168" s="215"/>
      <c r="J168" s="5"/>
    </row>
    <row r="169" spans="1:10" x14ac:dyDescent="0.2">
      <c r="A169" s="35"/>
      <c r="B169" s="238"/>
      <c r="C169" s="215"/>
      <c r="D169" s="35"/>
      <c r="E169" s="238"/>
      <c r="F169" s="215"/>
      <c r="G169" s="35"/>
      <c r="H169" s="238"/>
      <c r="I169" s="215"/>
      <c r="J169" s="5"/>
    </row>
    <row r="170" spans="1:10" x14ac:dyDescent="0.2">
      <c r="A170" s="35"/>
      <c r="B170" s="238"/>
      <c r="C170" s="215"/>
      <c r="D170" s="35"/>
      <c r="E170" s="238"/>
      <c r="F170" s="215"/>
      <c r="G170" s="35"/>
      <c r="H170" s="238"/>
      <c r="I170" s="215"/>
      <c r="J170" s="5"/>
    </row>
    <row r="171" spans="1:10" x14ac:dyDescent="0.2">
      <c r="A171" s="35"/>
      <c r="B171" s="238"/>
      <c r="C171" s="215"/>
      <c r="D171" s="35"/>
      <c r="E171" s="238"/>
      <c r="F171" s="215"/>
      <c r="G171" s="35"/>
      <c r="H171" s="238"/>
      <c r="I171" s="215"/>
      <c r="J171" s="5"/>
    </row>
    <row r="172" spans="1:10" x14ac:dyDescent="0.2">
      <c r="A172" s="35"/>
      <c r="B172" s="238"/>
      <c r="C172" s="215"/>
      <c r="D172" s="35"/>
      <c r="E172" s="238"/>
      <c r="F172" s="215"/>
      <c r="G172" s="35"/>
      <c r="H172" s="238"/>
      <c r="I172" s="215"/>
      <c r="J172" s="5"/>
    </row>
    <row r="173" spans="1:10" x14ac:dyDescent="0.2">
      <c r="A173" s="35"/>
      <c r="B173" s="238"/>
      <c r="C173" s="215"/>
      <c r="D173" s="35"/>
      <c r="E173" s="238"/>
      <c r="F173" s="215"/>
      <c r="G173" s="35"/>
      <c r="H173" s="238"/>
      <c r="I173" s="215"/>
      <c r="J173" s="5"/>
    </row>
    <row r="174" spans="1:10" x14ac:dyDescent="0.2">
      <c r="A174" s="35"/>
      <c r="B174" s="238"/>
      <c r="C174" s="215"/>
      <c r="D174" s="35"/>
      <c r="E174" s="238"/>
      <c r="F174" s="215"/>
      <c r="G174" s="35"/>
      <c r="H174" s="238"/>
      <c r="I174" s="215"/>
      <c r="J174" s="5"/>
    </row>
    <row r="175" spans="1:10" x14ac:dyDescent="0.2">
      <c r="A175" s="35"/>
      <c r="B175" s="238"/>
      <c r="C175" s="215"/>
      <c r="D175" s="35"/>
      <c r="E175" s="238"/>
      <c r="F175" s="215"/>
      <c r="G175" s="35"/>
      <c r="H175" s="238"/>
      <c r="I175" s="215"/>
      <c r="J175" s="5"/>
    </row>
    <row r="176" spans="1:10" x14ac:dyDescent="0.2">
      <c r="A176" s="35"/>
      <c r="B176" s="238"/>
      <c r="C176" s="215"/>
      <c r="D176" s="35"/>
      <c r="E176" s="238"/>
      <c r="F176" s="215"/>
      <c r="G176" s="35"/>
      <c r="H176" s="238"/>
      <c r="I176" s="215"/>
      <c r="J176" s="5"/>
    </row>
    <row r="177" spans="1:10" x14ac:dyDescent="0.2">
      <c r="A177" s="35"/>
      <c r="B177" s="238"/>
      <c r="C177" s="215"/>
      <c r="D177" s="35"/>
      <c r="E177" s="238"/>
      <c r="F177" s="215"/>
      <c r="G177" s="35"/>
      <c r="H177" s="238"/>
      <c r="I177" s="215"/>
      <c r="J177" s="5"/>
    </row>
    <row r="178" spans="1:10" x14ac:dyDescent="0.2">
      <c r="A178" s="35"/>
      <c r="B178" s="238"/>
      <c r="C178" s="215"/>
      <c r="D178" s="35"/>
      <c r="E178" s="238"/>
      <c r="F178" s="215"/>
      <c r="G178" s="35"/>
      <c r="H178" s="238"/>
      <c r="I178" s="215"/>
      <c r="J178" s="5"/>
    </row>
    <row r="179" spans="1:10" x14ac:dyDescent="0.2">
      <c r="A179" s="35"/>
      <c r="B179" s="238"/>
      <c r="C179" s="215"/>
      <c r="D179" s="35"/>
      <c r="E179" s="238"/>
      <c r="F179" s="215"/>
      <c r="G179" s="35"/>
      <c r="H179" s="238"/>
      <c r="I179" s="215"/>
      <c r="J179" s="5"/>
    </row>
    <row r="180" spans="1:10" x14ac:dyDescent="0.2">
      <c r="A180" s="35"/>
      <c r="B180" s="238"/>
      <c r="C180" s="215"/>
      <c r="D180" s="35"/>
      <c r="E180" s="238"/>
      <c r="F180" s="215"/>
      <c r="G180" s="35"/>
      <c r="H180" s="238"/>
      <c r="I180" s="215"/>
      <c r="J180" s="5"/>
    </row>
    <row r="181" spans="1:10" x14ac:dyDescent="0.2">
      <c r="A181" s="35"/>
      <c r="B181" s="238"/>
      <c r="C181" s="215"/>
      <c r="D181" s="35"/>
      <c r="E181" s="238"/>
      <c r="F181" s="215"/>
      <c r="G181" s="35"/>
      <c r="H181" s="238"/>
      <c r="I181" s="215"/>
      <c r="J181" s="5"/>
    </row>
    <row r="182" spans="1:10" x14ac:dyDescent="0.2">
      <c r="A182" s="35"/>
      <c r="B182" s="238"/>
      <c r="C182" s="215"/>
      <c r="D182" s="35"/>
      <c r="E182" s="238"/>
      <c r="F182" s="215"/>
      <c r="G182" s="35"/>
      <c r="H182" s="238"/>
      <c r="I182" s="215"/>
      <c r="J182" s="5"/>
    </row>
    <row r="183" spans="1:10" x14ac:dyDescent="0.2">
      <c r="A183" s="35"/>
      <c r="B183" s="238"/>
      <c r="C183" s="215"/>
      <c r="D183" s="35"/>
      <c r="E183" s="238"/>
      <c r="F183" s="215"/>
      <c r="G183" s="35"/>
      <c r="H183" s="238"/>
      <c r="I183" s="215"/>
      <c r="J183" s="5"/>
    </row>
    <row r="184" spans="1:10" x14ac:dyDescent="0.2">
      <c r="A184" s="35"/>
      <c r="B184" s="238"/>
      <c r="C184" s="215"/>
      <c r="D184" s="35"/>
      <c r="E184" s="238"/>
      <c r="F184" s="215"/>
      <c r="G184" s="35"/>
      <c r="H184" s="238"/>
      <c r="I184" s="215"/>
      <c r="J184" s="5"/>
    </row>
    <row r="185" spans="1:10" x14ac:dyDescent="0.2">
      <c r="A185" s="35"/>
      <c r="B185" s="238"/>
      <c r="C185" s="215"/>
      <c r="D185" s="35"/>
      <c r="E185" s="238"/>
      <c r="F185" s="215"/>
      <c r="G185" s="35"/>
      <c r="H185" s="238"/>
      <c r="I185" s="215"/>
      <c r="J185" s="5"/>
    </row>
    <row r="186" spans="1:10" x14ac:dyDescent="0.2">
      <c r="A186" s="35"/>
      <c r="B186" s="238"/>
      <c r="C186" s="215"/>
      <c r="D186" s="35"/>
      <c r="E186" s="238"/>
      <c r="F186" s="215"/>
      <c r="G186" s="35"/>
      <c r="H186" s="238"/>
      <c r="I186" s="215"/>
      <c r="J186" s="5"/>
    </row>
    <row r="187" spans="1:10" x14ac:dyDescent="0.2">
      <c r="A187" s="35"/>
      <c r="B187" s="238"/>
      <c r="C187" s="215"/>
      <c r="D187" s="35"/>
      <c r="E187" s="238"/>
      <c r="F187" s="215"/>
      <c r="G187" s="35"/>
      <c r="H187" s="238"/>
      <c r="I187" s="215"/>
      <c r="J187" s="5"/>
    </row>
    <row r="188" spans="1:10" x14ac:dyDescent="0.2">
      <c r="A188" s="35"/>
      <c r="B188" s="238"/>
      <c r="C188" s="215"/>
      <c r="D188" s="35"/>
      <c r="E188" s="238"/>
      <c r="F188" s="215"/>
      <c r="G188" s="35"/>
      <c r="H188" s="238"/>
      <c r="I188" s="215"/>
      <c r="J188" s="5"/>
    </row>
    <row r="189" spans="1:10" x14ac:dyDescent="0.2">
      <c r="A189" s="35"/>
      <c r="B189" s="238"/>
      <c r="C189" s="215"/>
      <c r="D189" s="35"/>
      <c r="E189" s="238"/>
      <c r="F189" s="215"/>
      <c r="G189" s="35"/>
      <c r="H189" s="238"/>
      <c r="I189" s="215"/>
      <c r="J189" s="5"/>
    </row>
    <row r="190" spans="1:10" x14ac:dyDescent="0.2">
      <c r="A190" s="35"/>
      <c r="B190" s="238"/>
      <c r="C190" s="215"/>
      <c r="D190" s="35"/>
      <c r="E190" s="238"/>
      <c r="F190" s="215"/>
      <c r="G190" s="35"/>
      <c r="H190" s="238"/>
      <c r="I190" s="215"/>
      <c r="J190" s="5"/>
    </row>
    <row r="191" spans="1:10" x14ac:dyDescent="0.2">
      <c r="A191" s="35"/>
      <c r="B191" s="238"/>
      <c r="C191" s="215"/>
      <c r="D191" s="35"/>
      <c r="E191" s="238"/>
      <c r="F191" s="215"/>
      <c r="G191" s="35"/>
      <c r="H191" s="238"/>
      <c r="I191" s="215"/>
      <c r="J191" s="5"/>
    </row>
    <row r="192" spans="1:10" x14ac:dyDescent="0.2">
      <c r="A192" s="35"/>
      <c r="B192" s="238"/>
      <c r="C192" s="215"/>
      <c r="D192" s="35"/>
      <c r="E192" s="238"/>
      <c r="F192" s="215"/>
      <c r="G192" s="35"/>
      <c r="H192" s="238"/>
      <c r="I192" s="215"/>
      <c r="J192" s="5"/>
    </row>
    <row r="193" spans="1:10" x14ac:dyDescent="0.2">
      <c r="A193" s="35"/>
      <c r="B193" s="238"/>
      <c r="C193" s="215"/>
      <c r="D193" s="35"/>
      <c r="E193" s="238"/>
      <c r="F193" s="215"/>
      <c r="G193" s="35"/>
      <c r="H193" s="238"/>
      <c r="I193" s="215"/>
      <c r="J193" s="5"/>
    </row>
    <row r="194" spans="1:10" x14ac:dyDescent="0.2">
      <c r="A194" s="35"/>
      <c r="B194" s="238"/>
      <c r="C194" s="215"/>
      <c r="D194" s="35"/>
      <c r="E194" s="238"/>
      <c r="F194" s="215"/>
      <c r="G194" s="35"/>
      <c r="H194" s="238"/>
      <c r="I194" s="215"/>
      <c r="J194" s="5"/>
    </row>
    <row r="195" spans="1:10" x14ac:dyDescent="0.2">
      <c r="A195" s="35"/>
      <c r="B195" s="238"/>
      <c r="C195" s="215"/>
      <c r="D195" s="35"/>
      <c r="E195" s="238"/>
      <c r="F195" s="215"/>
      <c r="G195" s="35"/>
      <c r="H195" s="238"/>
      <c r="I195" s="215"/>
      <c r="J195" s="5"/>
    </row>
    <row r="196" spans="1:10" x14ac:dyDescent="0.2">
      <c r="A196" s="35"/>
      <c r="B196" s="238"/>
      <c r="C196" s="215"/>
      <c r="D196" s="35"/>
      <c r="E196" s="238"/>
      <c r="F196" s="215"/>
      <c r="G196" s="35"/>
      <c r="H196" s="238"/>
      <c r="I196" s="215"/>
      <c r="J196" s="5"/>
    </row>
    <row r="197" spans="1:10" x14ac:dyDescent="0.2">
      <c r="A197" s="35"/>
      <c r="B197" s="238"/>
      <c r="C197" s="215"/>
      <c r="D197" s="35"/>
      <c r="E197" s="238"/>
      <c r="F197" s="215"/>
      <c r="G197" s="35"/>
      <c r="H197" s="238"/>
      <c r="I197" s="215"/>
      <c r="J197" s="5"/>
    </row>
    <row r="198" spans="1:10" x14ac:dyDescent="0.2">
      <c r="A198" s="35"/>
      <c r="B198" s="238"/>
      <c r="C198" s="215"/>
      <c r="D198" s="35"/>
      <c r="E198" s="238"/>
      <c r="F198" s="215"/>
      <c r="G198" s="35"/>
      <c r="H198" s="238"/>
      <c r="I198" s="215"/>
      <c r="J198" s="5"/>
    </row>
    <row r="199" spans="1:10" x14ac:dyDescent="0.2">
      <c r="A199" s="35"/>
      <c r="B199" s="238"/>
      <c r="C199" s="215"/>
      <c r="D199" s="35"/>
      <c r="E199" s="238"/>
      <c r="F199" s="215"/>
      <c r="G199" s="35"/>
      <c r="H199" s="238"/>
      <c r="I199" s="215"/>
      <c r="J199" s="5"/>
    </row>
    <row r="200" spans="1:10" x14ac:dyDescent="0.2">
      <c r="A200" s="35"/>
      <c r="B200" s="238"/>
      <c r="C200" s="215"/>
      <c r="D200" s="35"/>
      <c r="E200" s="238"/>
      <c r="F200" s="215"/>
      <c r="G200" s="35"/>
      <c r="H200" s="238"/>
      <c r="I200" s="215"/>
      <c r="J200" s="5"/>
    </row>
    <row r="201" spans="1:10" x14ac:dyDescent="0.2">
      <c r="A201" s="35"/>
      <c r="B201" s="238"/>
      <c r="C201" s="215"/>
      <c r="D201" s="35"/>
      <c r="E201" s="238"/>
      <c r="F201" s="215"/>
      <c r="G201" s="35"/>
      <c r="H201" s="238"/>
      <c r="I201" s="215"/>
      <c r="J201" s="5"/>
    </row>
    <row r="202" spans="1:10" x14ac:dyDescent="0.2">
      <c r="A202" s="35"/>
      <c r="B202" s="238"/>
      <c r="C202" s="215"/>
      <c r="D202" s="35"/>
      <c r="E202" s="238"/>
      <c r="F202" s="215"/>
      <c r="G202" s="35"/>
      <c r="H202" s="238"/>
      <c r="I202" s="215"/>
      <c r="J202" s="5"/>
    </row>
    <row r="203" spans="1:10" x14ac:dyDescent="0.2">
      <c r="A203" s="35"/>
      <c r="B203" s="238"/>
      <c r="C203" s="215"/>
      <c r="D203" s="35"/>
      <c r="E203" s="238"/>
      <c r="F203" s="215"/>
      <c r="G203" s="35"/>
      <c r="H203" s="238"/>
      <c r="I203" s="215"/>
      <c r="J203" s="5"/>
    </row>
    <row r="204" spans="1:10" x14ac:dyDescent="0.2">
      <c r="A204" s="35"/>
      <c r="B204" s="238"/>
      <c r="C204" s="215"/>
      <c r="D204" s="35"/>
      <c r="E204" s="238"/>
      <c r="F204" s="215"/>
      <c r="G204" s="35"/>
      <c r="H204" s="238"/>
      <c r="I204" s="215"/>
      <c r="J204" s="5"/>
    </row>
    <row r="205" spans="1:10" x14ac:dyDescent="0.2">
      <c r="A205" s="35"/>
      <c r="B205" s="238"/>
      <c r="C205" s="215"/>
      <c r="D205" s="35"/>
      <c r="E205" s="238"/>
      <c r="F205" s="215"/>
      <c r="G205" s="35"/>
      <c r="H205" s="238"/>
      <c r="I205" s="215"/>
      <c r="J205" s="5"/>
    </row>
    <row r="206" spans="1:10" x14ac:dyDescent="0.2">
      <c r="A206" s="35"/>
      <c r="B206" s="238"/>
      <c r="C206" s="215"/>
      <c r="D206" s="35"/>
      <c r="E206" s="238"/>
      <c r="F206" s="215"/>
      <c r="G206" s="35"/>
      <c r="H206" s="238"/>
      <c r="I206" s="215"/>
      <c r="J206" s="5"/>
    </row>
    <row r="207" spans="1:10" x14ac:dyDescent="0.2">
      <c r="A207" s="35"/>
      <c r="B207" s="238"/>
      <c r="C207" s="215"/>
      <c r="D207" s="35"/>
      <c r="E207" s="238"/>
      <c r="F207" s="215"/>
      <c r="G207" s="35"/>
      <c r="H207" s="238"/>
      <c r="I207" s="215"/>
      <c r="J207" s="5"/>
    </row>
    <row r="208" spans="1:10" x14ac:dyDescent="0.2">
      <c r="A208" t="s">
        <v>511</v>
      </c>
      <c r="E208">
        <v>0</v>
      </c>
      <c r="H208" t="s">
        <v>625</v>
      </c>
      <c r="J208" t="s">
        <v>503</v>
      </c>
    </row>
    <row r="209" spans="1:10" x14ac:dyDescent="0.2">
      <c r="A209" t="s">
        <v>512</v>
      </c>
      <c r="E209">
        <v>0</v>
      </c>
      <c r="H209" t="s">
        <v>625</v>
      </c>
      <c r="J209" t="s">
        <v>503</v>
      </c>
    </row>
    <row r="210" spans="1:10" x14ac:dyDescent="0.2">
      <c r="A210" t="s">
        <v>513</v>
      </c>
      <c r="E210">
        <v>0</v>
      </c>
      <c r="H210" t="s">
        <v>625</v>
      </c>
      <c r="J210" t="s">
        <v>503</v>
      </c>
    </row>
    <row r="211" spans="1:10" x14ac:dyDescent="0.2">
      <c r="A211" t="s">
        <v>514</v>
      </c>
      <c r="E211">
        <v>0</v>
      </c>
      <c r="H211" t="s">
        <v>625</v>
      </c>
      <c r="J211" t="s">
        <v>503</v>
      </c>
    </row>
    <row r="212" spans="1:10" x14ac:dyDescent="0.2">
      <c r="A212" t="s">
        <v>515</v>
      </c>
      <c r="E212">
        <v>0</v>
      </c>
      <c r="H212" t="s">
        <v>625</v>
      </c>
      <c r="J212" t="s">
        <v>503</v>
      </c>
    </row>
    <row r="213" spans="1:10" x14ac:dyDescent="0.2">
      <c r="A213" t="s">
        <v>516</v>
      </c>
      <c r="E213">
        <v>0</v>
      </c>
      <c r="H213" t="s">
        <v>625</v>
      </c>
      <c r="J213" t="s">
        <v>503</v>
      </c>
    </row>
    <row r="214" spans="1:10" x14ac:dyDescent="0.2">
      <c r="A214" t="s">
        <v>517</v>
      </c>
      <c r="E214">
        <v>205469818</v>
      </c>
      <c r="H214" t="s">
        <v>625</v>
      </c>
      <c r="J214" t="s">
        <v>503</v>
      </c>
    </row>
    <row r="215" spans="1:10" x14ac:dyDescent="0.2">
      <c r="A215" t="s">
        <v>518</v>
      </c>
      <c r="E215">
        <v>0</v>
      </c>
      <c r="H215" t="s">
        <v>625</v>
      </c>
      <c r="J215" t="s">
        <v>503</v>
      </c>
    </row>
    <row r="216" spans="1:10" x14ac:dyDescent="0.2">
      <c r="A216" t="s">
        <v>519</v>
      </c>
      <c r="E216" t="s">
        <v>625</v>
      </c>
      <c r="H216" t="s">
        <v>625</v>
      </c>
      <c r="J216" t="s">
        <v>503</v>
      </c>
    </row>
    <row r="217" spans="1:10" x14ac:dyDescent="0.2">
      <c r="A217" t="s">
        <v>520</v>
      </c>
      <c r="E217">
        <v>0</v>
      </c>
      <c r="H217" t="s">
        <v>625</v>
      </c>
      <c r="J217" t="s">
        <v>503</v>
      </c>
    </row>
    <row r="218" spans="1:10" x14ac:dyDescent="0.2">
      <c r="A218" t="s">
        <v>521</v>
      </c>
      <c r="E218">
        <v>0</v>
      </c>
      <c r="H218" t="s">
        <v>625</v>
      </c>
      <c r="J218" t="s">
        <v>503</v>
      </c>
    </row>
    <row r="219" spans="1:10" x14ac:dyDescent="0.2">
      <c r="A219" t="s">
        <v>522</v>
      </c>
      <c r="E219">
        <v>0</v>
      </c>
      <c r="H219" t="s">
        <v>625</v>
      </c>
      <c r="J219" t="s">
        <v>503</v>
      </c>
    </row>
    <row r="220" spans="1:10" x14ac:dyDescent="0.2">
      <c r="A220" t="s">
        <v>523</v>
      </c>
      <c r="E220">
        <v>0</v>
      </c>
      <c r="H220" t="s">
        <v>625</v>
      </c>
      <c r="J220" t="s">
        <v>503</v>
      </c>
    </row>
    <row r="221" spans="1:10" x14ac:dyDescent="0.2">
      <c r="A221" t="s">
        <v>524</v>
      </c>
      <c r="E221">
        <v>205488235</v>
      </c>
      <c r="H221" t="s">
        <v>625</v>
      </c>
      <c r="J221" t="s">
        <v>503</v>
      </c>
    </row>
    <row r="222" spans="1:10" x14ac:dyDescent="0.2">
      <c r="A222" t="s">
        <v>525</v>
      </c>
      <c r="E222">
        <v>0</v>
      </c>
      <c r="H222" t="s">
        <v>625</v>
      </c>
      <c r="J222" t="s">
        <v>503</v>
      </c>
    </row>
    <row r="223" spans="1:10" x14ac:dyDescent="0.2">
      <c r="A223" t="s">
        <v>526</v>
      </c>
      <c r="E223">
        <v>0</v>
      </c>
      <c r="H223" t="s">
        <v>625</v>
      </c>
      <c r="J223" t="s">
        <v>503</v>
      </c>
    </row>
    <row r="224" spans="1:10" x14ac:dyDescent="0.2">
      <c r="A224" t="s">
        <v>504</v>
      </c>
      <c r="E224" t="s">
        <v>503</v>
      </c>
      <c r="H224" t="s">
        <v>43</v>
      </c>
      <c r="J224" t="s">
        <v>503</v>
      </c>
    </row>
    <row r="225" spans="1:10" x14ac:dyDescent="0.2">
      <c r="A225" t="s">
        <v>505</v>
      </c>
      <c r="E225">
        <v>32003.46</v>
      </c>
      <c r="H225" t="s">
        <v>43</v>
      </c>
      <c r="J225" t="s">
        <v>503</v>
      </c>
    </row>
    <row r="226" spans="1:10" x14ac:dyDescent="0.2">
      <c r="A226" t="s">
        <v>527</v>
      </c>
      <c r="E226">
        <v>0</v>
      </c>
      <c r="H226" t="s">
        <v>43</v>
      </c>
      <c r="J226" t="s">
        <v>503</v>
      </c>
    </row>
    <row r="227" spans="1:10" x14ac:dyDescent="0.2">
      <c r="A227" t="s">
        <v>528</v>
      </c>
      <c r="E227">
        <v>33274.22</v>
      </c>
      <c r="H227" t="s">
        <v>43</v>
      </c>
      <c r="J227" t="s">
        <v>503</v>
      </c>
    </row>
    <row r="228" spans="1:10" x14ac:dyDescent="0.2">
      <c r="A228" t="s">
        <v>529</v>
      </c>
      <c r="E228">
        <v>0</v>
      </c>
      <c r="H228" t="s">
        <v>43</v>
      </c>
      <c r="J228" t="s">
        <v>503</v>
      </c>
    </row>
    <row r="229" spans="1:10" x14ac:dyDescent="0.2">
      <c r="A229" t="s">
        <v>530</v>
      </c>
      <c r="E229">
        <v>0</v>
      </c>
      <c r="H229" t="s">
        <v>43</v>
      </c>
      <c r="J229" t="s">
        <v>503</v>
      </c>
    </row>
    <row r="230" spans="1:10" x14ac:dyDescent="0.2">
      <c r="A230" t="s">
        <v>531</v>
      </c>
      <c r="E230">
        <v>0</v>
      </c>
      <c r="H230" t="s">
        <v>43</v>
      </c>
      <c r="J230" t="s">
        <v>503</v>
      </c>
    </row>
    <row r="231" spans="1:10" x14ac:dyDescent="0.2">
      <c r="A231" t="s">
        <v>532</v>
      </c>
      <c r="E231">
        <v>199678210.13999999</v>
      </c>
      <c r="H231" t="s">
        <v>43</v>
      </c>
      <c r="J231" t="s">
        <v>503</v>
      </c>
    </row>
    <row r="232" spans="1:10" x14ac:dyDescent="0.2">
      <c r="A232" t="s">
        <v>533</v>
      </c>
      <c r="E232">
        <v>1779.91</v>
      </c>
      <c r="H232" t="s">
        <v>43</v>
      </c>
      <c r="J232" t="s">
        <v>503</v>
      </c>
    </row>
    <row r="233" spans="1:10" x14ac:dyDescent="0.2">
      <c r="A233" t="s">
        <v>534</v>
      </c>
      <c r="E233">
        <v>199676430.22</v>
      </c>
      <c r="H233" t="s">
        <v>43</v>
      </c>
      <c r="J233" t="s">
        <v>503</v>
      </c>
    </row>
    <row r="234" spans="1:10" x14ac:dyDescent="0.2">
      <c r="A234" t="s">
        <v>535</v>
      </c>
      <c r="E234">
        <v>0</v>
      </c>
      <c r="H234" t="s">
        <v>43</v>
      </c>
      <c r="J234" t="s">
        <v>503</v>
      </c>
    </row>
    <row r="235" spans="1:10" x14ac:dyDescent="0.2">
      <c r="A235" t="s">
        <v>536</v>
      </c>
      <c r="E235">
        <v>0</v>
      </c>
      <c r="H235" t="s">
        <v>43</v>
      </c>
      <c r="J235" t="s">
        <v>503</v>
      </c>
    </row>
    <row r="236" spans="1:10" x14ac:dyDescent="0.2">
      <c r="A236" t="s">
        <v>537</v>
      </c>
      <c r="E236">
        <v>0</v>
      </c>
      <c r="H236" t="s">
        <v>43</v>
      </c>
      <c r="J236" t="s">
        <v>503</v>
      </c>
    </row>
    <row r="237" spans="1:10" x14ac:dyDescent="0.2">
      <c r="A237" t="s">
        <v>538</v>
      </c>
      <c r="E237">
        <v>798720340.54999995</v>
      </c>
      <c r="H237" t="s">
        <v>43</v>
      </c>
      <c r="J237" t="s">
        <v>503</v>
      </c>
    </row>
    <row r="238" spans="1:10" x14ac:dyDescent="0.2">
      <c r="A238" t="s">
        <v>506</v>
      </c>
      <c r="E238">
        <v>202560661.6846</v>
      </c>
      <c r="H238" t="s">
        <v>43</v>
      </c>
      <c r="J238" t="s">
        <v>503</v>
      </c>
    </row>
    <row r="239" spans="1:10" x14ac:dyDescent="0.2">
      <c r="A239" t="s">
        <v>507</v>
      </c>
      <c r="E239">
        <v>0</v>
      </c>
      <c r="H239" t="s">
        <v>43</v>
      </c>
      <c r="J239" t="s">
        <v>503</v>
      </c>
    </row>
    <row r="240" spans="1:10" x14ac:dyDescent="0.2">
      <c r="A240" t="s">
        <v>40</v>
      </c>
      <c r="E240" t="s">
        <v>43</v>
      </c>
      <c r="H240" t="s">
        <v>43</v>
      </c>
      <c r="J240" t="s">
        <v>503</v>
      </c>
    </row>
    <row r="241" spans="1:10" x14ac:dyDescent="0.2">
      <c r="A241" t="s">
        <v>539</v>
      </c>
      <c r="E241">
        <v>201721084.71000001</v>
      </c>
      <c r="H241" t="s">
        <v>43</v>
      </c>
      <c r="J241" t="s">
        <v>503</v>
      </c>
    </row>
    <row r="242" spans="1:10" x14ac:dyDescent="0.2">
      <c r="A242" t="s">
        <v>540</v>
      </c>
      <c r="E242">
        <v>3690</v>
      </c>
      <c r="H242" t="s">
        <v>43</v>
      </c>
      <c r="J242" t="s">
        <v>503</v>
      </c>
    </row>
    <row r="243" spans="1:10" x14ac:dyDescent="0.2">
      <c r="A243" t="s">
        <v>541</v>
      </c>
      <c r="E243">
        <v>201717394.69999999</v>
      </c>
      <c r="H243" t="s">
        <v>43</v>
      </c>
      <c r="J243" t="s">
        <v>503</v>
      </c>
    </row>
    <row r="244" spans="1:10" x14ac:dyDescent="0.2">
      <c r="A244" t="s">
        <v>542</v>
      </c>
      <c r="E244">
        <v>199897212.47</v>
      </c>
      <c r="H244" t="s">
        <v>43</v>
      </c>
      <c r="J244" t="s">
        <v>503</v>
      </c>
    </row>
    <row r="245" spans="1:10" x14ac:dyDescent="0.2">
      <c r="A245" t="s">
        <v>543</v>
      </c>
      <c r="E245">
        <v>3690</v>
      </c>
      <c r="H245" t="s">
        <v>43</v>
      </c>
      <c r="J245" t="s">
        <v>503</v>
      </c>
    </row>
    <row r="246" spans="1:10" x14ac:dyDescent="0.2">
      <c r="A246" t="s">
        <v>544</v>
      </c>
      <c r="E246">
        <v>199893522.46000001</v>
      </c>
      <c r="H246" t="s">
        <v>43</v>
      </c>
      <c r="J246" t="s">
        <v>503</v>
      </c>
    </row>
    <row r="247" spans="1:10" x14ac:dyDescent="0.2">
      <c r="A247" t="s">
        <v>508</v>
      </c>
      <c r="E247">
        <v>1</v>
      </c>
      <c r="H247" t="s">
        <v>43</v>
      </c>
      <c r="J247" t="s">
        <v>503</v>
      </c>
    </row>
    <row r="248" spans="1:10" x14ac:dyDescent="0.2">
      <c r="A248" t="s">
        <v>545</v>
      </c>
      <c r="E248">
        <v>199678210.13999999</v>
      </c>
      <c r="H248" t="s">
        <v>43</v>
      </c>
      <c r="J248" t="s">
        <v>503</v>
      </c>
    </row>
    <row r="249" spans="1:10" x14ac:dyDescent="0.2">
      <c r="A249" t="s">
        <v>546</v>
      </c>
      <c r="E249">
        <v>1779.91</v>
      </c>
      <c r="H249" t="s">
        <v>43</v>
      </c>
      <c r="J249" t="s">
        <v>503</v>
      </c>
    </row>
    <row r="250" spans="1:10" x14ac:dyDescent="0.2">
      <c r="A250" t="s">
        <v>547</v>
      </c>
      <c r="E250">
        <v>199676430.22</v>
      </c>
      <c r="H250" t="s">
        <v>43</v>
      </c>
      <c r="J250" t="s">
        <v>503</v>
      </c>
    </row>
    <row r="251" spans="1:10" x14ac:dyDescent="0.2">
      <c r="A251" t="s">
        <v>548</v>
      </c>
      <c r="E251">
        <v>199897212.47</v>
      </c>
      <c r="H251" t="s">
        <v>43</v>
      </c>
      <c r="J251" t="s">
        <v>503</v>
      </c>
    </row>
    <row r="252" spans="1:10" x14ac:dyDescent="0.2">
      <c r="A252" t="s">
        <v>549</v>
      </c>
      <c r="E252">
        <v>3690</v>
      </c>
      <c r="H252" t="s">
        <v>43</v>
      </c>
      <c r="J252" t="s">
        <v>503</v>
      </c>
    </row>
    <row r="253" spans="1:10" x14ac:dyDescent="0.2">
      <c r="A253" t="s">
        <v>550</v>
      </c>
      <c r="E253">
        <v>199893522.46000001</v>
      </c>
      <c r="H253" t="s">
        <v>43</v>
      </c>
      <c r="J253" t="s">
        <v>503</v>
      </c>
    </row>
    <row r="254" spans="1:10" x14ac:dyDescent="0.2">
      <c r="A254" t="s">
        <v>551</v>
      </c>
      <c r="E254">
        <v>2050339.48</v>
      </c>
      <c r="H254" t="s">
        <v>43</v>
      </c>
      <c r="J254" t="s">
        <v>503</v>
      </c>
    </row>
    <row r="255" spans="1:10" x14ac:dyDescent="0.2">
      <c r="A255" t="s">
        <v>552</v>
      </c>
      <c r="E255">
        <v>9375</v>
      </c>
      <c r="H255" t="s">
        <v>43</v>
      </c>
      <c r="J255" t="s">
        <v>503</v>
      </c>
    </row>
    <row r="256" spans="1:10" x14ac:dyDescent="0.2">
      <c r="A256" t="s">
        <v>553</v>
      </c>
      <c r="E256">
        <v>2040964.48</v>
      </c>
      <c r="H256" t="s">
        <v>43</v>
      </c>
      <c r="J256" t="s">
        <v>503</v>
      </c>
    </row>
    <row r="257" spans="1:10" x14ac:dyDescent="0.2">
      <c r="A257" t="s">
        <v>554</v>
      </c>
      <c r="E257">
        <v>1831680.36</v>
      </c>
      <c r="H257" t="s">
        <v>43</v>
      </c>
      <c r="J257" t="s">
        <v>503</v>
      </c>
    </row>
    <row r="258" spans="1:10" x14ac:dyDescent="0.2">
      <c r="A258" t="s">
        <v>555</v>
      </c>
      <c r="E258">
        <v>7500</v>
      </c>
      <c r="H258" t="s">
        <v>43</v>
      </c>
      <c r="J258" t="s">
        <v>503</v>
      </c>
    </row>
    <row r="259" spans="1:10" x14ac:dyDescent="0.2">
      <c r="A259" t="s">
        <v>556</v>
      </c>
      <c r="E259">
        <v>1824180.36</v>
      </c>
      <c r="H259" t="s">
        <v>43</v>
      </c>
      <c r="J259" t="s">
        <v>503</v>
      </c>
    </row>
    <row r="260" spans="1:10" x14ac:dyDescent="0.2">
      <c r="A260" t="s">
        <v>509</v>
      </c>
      <c r="E260">
        <v>0</v>
      </c>
      <c r="H260" t="s">
        <v>43</v>
      </c>
      <c r="J260" t="s">
        <v>503</v>
      </c>
    </row>
    <row r="261" spans="1:10" x14ac:dyDescent="0.2">
      <c r="A261" t="s">
        <v>510</v>
      </c>
      <c r="E261">
        <v>0</v>
      </c>
      <c r="H261" t="s">
        <v>43</v>
      </c>
      <c r="J261" t="s">
        <v>503</v>
      </c>
    </row>
    <row r="262" spans="1:10" x14ac:dyDescent="0.2">
      <c r="A262" t="s">
        <v>511</v>
      </c>
      <c r="E262">
        <v>-525</v>
      </c>
      <c r="H262" t="s">
        <v>43</v>
      </c>
      <c r="J262" t="s">
        <v>503</v>
      </c>
    </row>
    <row r="263" spans="1:10" x14ac:dyDescent="0.2">
      <c r="A263" t="s">
        <v>512</v>
      </c>
      <c r="E263">
        <v>0</v>
      </c>
      <c r="H263" t="s">
        <v>43</v>
      </c>
      <c r="J263" t="s">
        <v>503</v>
      </c>
    </row>
    <row r="264" spans="1:10" x14ac:dyDescent="0.2">
      <c r="A264" t="s">
        <v>557</v>
      </c>
      <c r="E264">
        <v>2638186.27</v>
      </c>
      <c r="H264" t="s">
        <v>43</v>
      </c>
      <c r="J264" t="s">
        <v>503</v>
      </c>
    </row>
    <row r="265" spans="1:10" x14ac:dyDescent="0.2">
      <c r="A265" t="s">
        <v>558</v>
      </c>
      <c r="E265">
        <v>2638186.27</v>
      </c>
      <c r="H265" t="s">
        <v>43</v>
      </c>
      <c r="J265" t="s">
        <v>503</v>
      </c>
    </row>
    <row r="266" spans="1:10" x14ac:dyDescent="0.2">
      <c r="A266" t="s">
        <v>559</v>
      </c>
      <c r="E266">
        <v>0</v>
      </c>
      <c r="H266" t="s">
        <v>43</v>
      </c>
      <c r="J266" t="s">
        <v>503</v>
      </c>
    </row>
    <row r="267" spans="1:10" x14ac:dyDescent="0.2">
      <c r="A267" t="s">
        <v>560</v>
      </c>
      <c r="E267">
        <v>0</v>
      </c>
      <c r="H267" t="s">
        <v>43</v>
      </c>
      <c r="J267" t="s">
        <v>503</v>
      </c>
    </row>
    <row r="268" spans="1:10" x14ac:dyDescent="0.2">
      <c r="A268" t="s">
        <v>561</v>
      </c>
      <c r="E268">
        <v>0</v>
      </c>
      <c r="H268" t="s">
        <v>43</v>
      </c>
      <c r="J268" t="s">
        <v>503</v>
      </c>
    </row>
    <row r="269" spans="1:10" x14ac:dyDescent="0.2">
      <c r="A269" t="s">
        <v>562</v>
      </c>
      <c r="E269">
        <v>0</v>
      </c>
      <c r="H269" t="s">
        <v>43</v>
      </c>
      <c r="J269" t="s">
        <v>503</v>
      </c>
    </row>
    <row r="270" spans="1:10" x14ac:dyDescent="0.2">
      <c r="A270" t="s">
        <v>563</v>
      </c>
      <c r="E270">
        <v>0</v>
      </c>
      <c r="H270" t="s">
        <v>43</v>
      </c>
      <c r="J270" t="s">
        <v>503</v>
      </c>
    </row>
    <row r="271" spans="1:10" x14ac:dyDescent="0.2">
      <c r="A271" t="s">
        <v>564</v>
      </c>
      <c r="E271">
        <v>0</v>
      </c>
      <c r="H271" t="s">
        <v>43</v>
      </c>
      <c r="J271" t="s">
        <v>503</v>
      </c>
    </row>
    <row r="272" spans="1:10" x14ac:dyDescent="0.2">
      <c r="A272" t="s">
        <v>565</v>
      </c>
      <c r="E272">
        <v>2050339.48</v>
      </c>
      <c r="H272" t="s">
        <v>43</v>
      </c>
      <c r="J272" t="s">
        <v>503</v>
      </c>
    </row>
    <row r="273" spans="1:10" x14ac:dyDescent="0.2">
      <c r="A273" t="s">
        <v>566</v>
      </c>
      <c r="E273">
        <v>9375</v>
      </c>
      <c r="H273" t="s">
        <v>43</v>
      </c>
      <c r="J273" t="s">
        <v>503</v>
      </c>
    </row>
    <row r="274" spans="1:10" x14ac:dyDescent="0.2">
      <c r="A274" t="s">
        <v>567</v>
      </c>
      <c r="E274">
        <v>2040964.48</v>
      </c>
      <c r="H274" t="s">
        <v>43</v>
      </c>
      <c r="J274" t="s">
        <v>503</v>
      </c>
    </row>
    <row r="275" spans="1:10" x14ac:dyDescent="0.2">
      <c r="A275" t="s">
        <v>513</v>
      </c>
      <c r="E275">
        <v>0</v>
      </c>
      <c r="H275" t="s">
        <v>43</v>
      </c>
      <c r="J275" t="s">
        <v>503</v>
      </c>
    </row>
    <row r="276" spans="1:10" x14ac:dyDescent="0.2">
      <c r="A276" t="s">
        <v>568</v>
      </c>
      <c r="E276">
        <v>199678210.13999999</v>
      </c>
      <c r="H276" t="s">
        <v>43</v>
      </c>
      <c r="J276" t="s">
        <v>503</v>
      </c>
    </row>
    <row r="277" spans="1:10" x14ac:dyDescent="0.2">
      <c r="A277" t="s">
        <v>569</v>
      </c>
      <c r="E277">
        <v>1779.91</v>
      </c>
      <c r="H277" t="s">
        <v>43</v>
      </c>
      <c r="J277" t="s">
        <v>503</v>
      </c>
    </row>
    <row r="278" spans="1:10" x14ac:dyDescent="0.2">
      <c r="A278" t="s">
        <v>570</v>
      </c>
      <c r="E278">
        <v>199676430.22</v>
      </c>
      <c r="H278" t="s">
        <v>43</v>
      </c>
      <c r="J278" t="s">
        <v>503</v>
      </c>
    </row>
    <row r="279" spans="1:10" x14ac:dyDescent="0.2">
      <c r="A279" t="s">
        <v>571</v>
      </c>
      <c r="E279">
        <v>199897212.47</v>
      </c>
      <c r="H279" t="s">
        <v>43</v>
      </c>
      <c r="J279" t="s">
        <v>503</v>
      </c>
    </row>
    <row r="280" spans="1:10" x14ac:dyDescent="0.2">
      <c r="A280" t="s">
        <v>572</v>
      </c>
      <c r="E280">
        <v>3690</v>
      </c>
      <c r="H280" t="s">
        <v>43</v>
      </c>
      <c r="J280" t="s">
        <v>503</v>
      </c>
    </row>
    <row r="281" spans="1:10" x14ac:dyDescent="0.2">
      <c r="A281" t="s">
        <v>573</v>
      </c>
      <c r="E281">
        <v>199893522.46000001</v>
      </c>
      <c r="H281" t="s">
        <v>43</v>
      </c>
      <c r="J281" t="s">
        <v>503</v>
      </c>
    </row>
    <row r="282" spans="1:10" x14ac:dyDescent="0.2">
      <c r="A282" t="s">
        <v>574</v>
      </c>
      <c r="E282">
        <v>2050339.48</v>
      </c>
      <c r="H282" t="s">
        <v>43</v>
      </c>
      <c r="J282" t="s">
        <v>503</v>
      </c>
    </row>
    <row r="283" spans="1:10" x14ac:dyDescent="0.2">
      <c r="A283" t="s">
        <v>575</v>
      </c>
      <c r="E283">
        <v>9375</v>
      </c>
      <c r="H283" t="s">
        <v>43</v>
      </c>
      <c r="J283" t="s">
        <v>503</v>
      </c>
    </row>
    <row r="284" spans="1:10" x14ac:dyDescent="0.2">
      <c r="A284" t="s">
        <v>576</v>
      </c>
      <c r="E284">
        <v>2040964.48</v>
      </c>
      <c r="H284" t="s">
        <v>43</v>
      </c>
      <c r="J284" t="s">
        <v>503</v>
      </c>
    </row>
    <row r="285" spans="1:10" x14ac:dyDescent="0.2">
      <c r="A285" t="s">
        <v>577</v>
      </c>
      <c r="E285">
        <v>1831680.36</v>
      </c>
      <c r="H285" t="s">
        <v>43</v>
      </c>
      <c r="J285" t="s">
        <v>503</v>
      </c>
    </row>
    <row r="286" spans="1:10" x14ac:dyDescent="0.2">
      <c r="A286" t="s">
        <v>578</v>
      </c>
      <c r="E286">
        <v>7500</v>
      </c>
      <c r="H286" t="s">
        <v>43</v>
      </c>
      <c r="J286" t="s">
        <v>503</v>
      </c>
    </row>
    <row r="287" spans="1:10" x14ac:dyDescent="0.2">
      <c r="A287" t="s">
        <v>579</v>
      </c>
      <c r="E287">
        <v>1824180.36</v>
      </c>
      <c r="H287" t="s">
        <v>43</v>
      </c>
      <c r="J287" t="s">
        <v>503</v>
      </c>
    </row>
    <row r="288" spans="1:10" x14ac:dyDescent="0.2">
      <c r="A288" t="s">
        <v>580</v>
      </c>
      <c r="E288">
        <v>1831680.36</v>
      </c>
      <c r="H288" t="s">
        <v>43</v>
      </c>
      <c r="J288" t="s">
        <v>503</v>
      </c>
    </row>
    <row r="289" spans="1:10" x14ac:dyDescent="0.2">
      <c r="A289" t="s">
        <v>581</v>
      </c>
      <c r="E289">
        <v>7500</v>
      </c>
      <c r="H289" t="s">
        <v>43</v>
      </c>
      <c r="J289" t="s">
        <v>503</v>
      </c>
    </row>
    <row r="290" spans="1:10" x14ac:dyDescent="0.2">
      <c r="A290" t="s">
        <v>582</v>
      </c>
      <c r="E290">
        <v>1824180.36</v>
      </c>
      <c r="H290" t="s">
        <v>43</v>
      </c>
      <c r="J290" t="s">
        <v>503</v>
      </c>
    </row>
    <row r="291" spans="1:10" x14ac:dyDescent="0.2">
      <c r="A291" t="s">
        <v>514</v>
      </c>
      <c r="E291">
        <v>0</v>
      </c>
      <c r="H291" t="s">
        <v>43</v>
      </c>
      <c r="J291" t="s">
        <v>503</v>
      </c>
    </row>
    <row r="292" spans="1:10" x14ac:dyDescent="0.2">
      <c r="A292" t="s">
        <v>515</v>
      </c>
      <c r="E292">
        <v>0</v>
      </c>
      <c r="H292" t="s">
        <v>43</v>
      </c>
      <c r="J292" t="s">
        <v>503</v>
      </c>
    </row>
    <row r="293" spans="1:10" x14ac:dyDescent="0.2">
      <c r="A293" t="s">
        <v>516</v>
      </c>
      <c r="E293">
        <v>0</v>
      </c>
      <c r="H293" t="s">
        <v>43</v>
      </c>
      <c r="J293" t="s">
        <v>503</v>
      </c>
    </row>
    <row r="294" spans="1:10" x14ac:dyDescent="0.2">
      <c r="A294" t="s">
        <v>583</v>
      </c>
      <c r="E294">
        <v>201728892.81999999</v>
      </c>
      <c r="H294" t="s">
        <v>43</v>
      </c>
      <c r="J294" t="s">
        <v>503</v>
      </c>
    </row>
    <row r="295" spans="1:10" x14ac:dyDescent="0.2">
      <c r="A295" t="s">
        <v>584</v>
      </c>
      <c r="E295">
        <v>11190</v>
      </c>
      <c r="H295" t="s">
        <v>43</v>
      </c>
      <c r="J295" t="s">
        <v>503</v>
      </c>
    </row>
    <row r="296" spans="1:10" x14ac:dyDescent="0.2">
      <c r="A296" t="s">
        <v>585</v>
      </c>
      <c r="E296">
        <v>201717702.81999999</v>
      </c>
      <c r="H296" t="s">
        <v>43</v>
      </c>
      <c r="J296" t="s">
        <v>503</v>
      </c>
    </row>
    <row r="297" spans="1:10" x14ac:dyDescent="0.2">
      <c r="A297" t="s">
        <v>517</v>
      </c>
      <c r="E297">
        <v>202849839.75319999</v>
      </c>
      <c r="H297" t="s">
        <v>43</v>
      </c>
      <c r="J297" t="s">
        <v>503</v>
      </c>
    </row>
    <row r="298" spans="1:10" x14ac:dyDescent="0.2">
      <c r="A298" t="s">
        <v>586</v>
      </c>
      <c r="E298">
        <v>307.62</v>
      </c>
      <c r="H298" t="s">
        <v>43</v>
      </c>
      <c r="J298" t="s">
        <v>503</v>
      </c>
    </row>
    <row r="299" spans="1:10" x14ac:dyDescent="0.2">
      <c r="A299" t="s">
        <v>518</v>
      </c>
      <c r="E299">
        <v>0</v>
      </c>
      <c r="H299" t="s">
        <v>43</v>
      </c>
      <c r="J299" t="s">
        <v>503</v>
      </c>
    </row>
    <row r="300" spans="1:10" x14ac:dyDescent="0.2">
      <c r="A300" t="s">
        <v>587</v>
      </c>
      <c r="E300">
        <v>0</v>
      </c>
      <c r="H300" t="s">
        <v>43</v>
      </c>
      <c r="J300" t="s">
        <v>503</v>
      </c>
    </row>
    <row r="301" spans="1:10" x14ac:dyDescent="0.2">
      <c r="A301" t="s">
        <v>588</v>
      </c>
      <c r="E301">
        <v>0</v>
      </c>
      <c r="H301" t="s">
        <v>43</v>
      </c>
      <c r="J301" t="s">
        <v>503</v>
      </c>
    </row>
    <row r="302" spans="1:10" x14ac:dyDescent="0.2">
      <c r="A302" t="s">
        <v>589</v>
      </c>
      <c r="E302">
        <v>0</v>
      </c>
      <c r="H302" t="s">
        <v>43</v>
      </c>
      <c r="J302" t="s">
        <v>503</v>
      </c>
    </row>
    <row r="303" spans="1:10" x14ac:dyDescent="0.2">
      <c r="A303" t="s">
        <v>590</v>
      </c>
      <c r="E303">
        <v>0</v>
      </c>
      <c r="H303" t="s">
        <v>43</v>
      </c>
      <c r="J303" t="s">
        <v>503</v>
      </c>
    </row>
    <row r="304" spans="1:10" x14ac:dyDescent="0.2">
      <c r="A304" t="s">
        <v>591</v>
      </c>
      <c r="E304">
        <v>0</v>
      </c>
      <c r="H304" t="s">
        <v>43</v>
      </c>
      <c r="J304" t="s">
        <v>503</v>
      </c>
    </row>
    <row r="305" spans="1:10" x14ac:dyDescent="0.2">
      <c r="A305" t="s">
        <v>592</v>
      </c>
      <c r="E305">
        <v>0</v>
      </c>
      <c r="H305" t="s">
        <v>43</v>
      </c>
      <c r="J305" t="s">
        <v>503</v>
      </c>
    </row>
    <row r="306" spans="1:10" x14ac:dyDescent="0.2">
      <c r="A306" t="s">
        <v>593</v>
      </c>
      <c r="E306">
        <v>0</v>
      </c>
      <c r="H306" t="s">
        <v>43</v>
      </c>
      <c r="J306" t="s">
        <v>503</v>
      </c>
    </row>
    <row r="307" spans="1:10" x14ac:dyDescent="0.2">
      <c r="A307" t="s">
        <v>594</v>
      </c>
      <c r="E307">
        <v>0</v>
      </c>
      <c r="H307" t="s">
        <v>43</v>
      </c>
      <c r="J307" t="s">
        <v>503</v>
      </c>
    </row>
    <row r="308" spans="1:10" x14ac:dyDescent="0.2">
      <c r="A308" t="s">
        <v>595</v>
      </c>
      <c r="E308">
        <v>0</v>
      </c>
      <c r="H308" t="s">
        <v>43</v>
      </c>
      <c r="J308" t="s">
        <v>503</v>
      </c>
    </row>
    <row r="309" spans="1:10" x14ac:dyDescent="0.2">
      <c r="A309" t="s">
        <v>596</v>
      </c>
      <c r="E309">
        <v>201820777.81</v>
      </c>
      <c r="H309" t="s">
        <v>43</v>
      </c>
      <c r="J309" t="s">
        <v>503</v>
      </c>
    </row>
    <row r="310" spans="1:10" x14ac:dyDescent="0.2">
      <c r="A310" t="s">
        <v>597</v>
      </c>
      <c r="E310">
        <v>201820777.81</v>
      </c>
      <c r="H310" t="s">
        <v>43</v>
      </c>
      <c r="J310" t="s">
        <v>503</v>
      </c>
    </row>
    <row r="311" spans="1:10" x14ac:dyDescent="0.2">
      <c r="A311" t="s">
        <v>519</v>
      </c>
      <c r="E311" t="s">
        <v>43</v>
      </c>
      <c r="H311" t="s">
        <v>43</v>
      </c>
      <c r="J311" t="s">
        <v>503</v>
      </c>
    </row>
    <row r="312" spans="1:10" x14ac:dyDescent="0.2">
      <c r="A312" t="s">
        <v>520</v>
      </c>
      <c r="E312">
        <v>0</v>
      </c>
      <c r="H312" t="s">
        <v>43</v>
      </c>
      <c r="J312" t="s">
        <v>503</v>
      </c>
    </row>
    <row r="313" spans="1:10" x14ac:dyDescent="0.2">
      <c r="A313" t="s">
        <v>598</v>
      </c>
      <c r="E313">
        <v>201723945.30000001</v>
      </c>
      <c r="H313" t="s">
        <v>43</v>
      </c>
      <c r="J313" t="s">
        <v>503</v>
      </c>
    </row>
    <row r="314" spans="1:10" x14ac:dyDescent="0.2">
      <c r="A314" t="s">
        <v>599</v>
      </c>
      <c r="E314">
        <v>201723945.30000001</v>
      </c>
      <c r="H314" t="s">
        <v>43</v>
      </c>
      <c r="J314" t="s">
        <v>503</v>
      </c>
    </row>
    <row r="315" spans="1:10" x14ac:dyDescent="0.2">
      <c r="A315" t="s">
        <v>600</v>
      </c>
      <c r="E315">
        <v>1320925.97</v>
      </c>
      <c r="H315" t="s">
        <v>43</v>
      </c>
      <c r="J315" t="s">
        <v>503</v>
      </c>
    </row>
    <row r="316" spans="1:10" x14ac:dyDescent="0.2">
      <c r="A316" t="s">
        <v>601</v>
      </c>
      <c r="E316">
        <v>1320925.97</v>
      </c>
      <c r="H316" t="s">
        <v>43</v>
      </c>
      <c r="J316" t="s">
        <v>503</v>
      </c>
    </row>
    <row r="317" spans="1:10" x14ac:dyDescent="0.2">
      <c r="A317" t="s">
        <v>602</v>
      </c>
      <c r="E317">
        <v>201332655.97999999</v>
      </c>
      <c r="H317" t="s">
        <v>43</v>
      </c>
      <c r="J317" t="s">
        <v>503</v>
      </c>
    </row>
    <row r="318" spans="1:10" x14ac:dyDescent="0.2">
      <c r="A318" t="s">
        <v>603</v>
      </c>
      <c r="E318">
        <v>201332655.97999999</v>
      </c>
      <c r="H318" t="s">
        <v>43</v>
      </c>
      <c r="J318" t="s">
        <v>503</v>
      </c>
    </row>
    <row r="319" spans="1:10" x14ac:dyDescent="0.2">
      <c r="A319" t="s">
        <v>521</v>
      </c>
      <c r="E319">
        <v>257174.61</v>
      </c>
      <c r="H319" t="s">
        <v>43</v>
      </c>
      <c r="J319" t="s">
        <v>503</v>
      </c>
    </row>
    <row r="320" spans="1:10" x14ac:dyDescent="0.2">
      <c r="A320" t="s">
        <v>522</v>
      </c>
      <c r="E320">
        <v>0</v>
      </c>
      <c r="H320" t="s">
        <v>43</v>
      </c>
      <c r="J320" t="s">
        <v>503</v>
      </c>
    </row>
    <row r="321" spans="1:10" x14ac:dyDescent="0.2">
      <c r="A321" t="s">
        <v>523</v>
      </c>
      <c r="E321">
        <v>0</v>
      </c>
      <c r="H321" t="s">
        <v>43</v>
      </c>
      <c r="J321" t="s">
        <v>503</v>
      </c>
    </row>
    <row r="322" spans="1:10" x14ac:dyDescent="0.2">
      <c r="A322" t="s">
        <v>524</v>
      </c>
      <c r="E322">
        <v>202560661.6846</v>
      </c>
      <c r="H322" t="s">
        <v>43</v>
      </c>
      <c r="J322" t="s">
        <v>503</v>
      </c>
    </row>
    <row r="323" spans="1:10" x14ac:dyDescent="0.2">
      <c r="A323" t="s">
        <v>604</v>
      </c>
      <c r="E323">
        <v>199072814.27000001</v>
      </c>
      <c r="H323" t="s">
        <v>43</v>
      </c>
      <c r="J323" t="s">
        <v>503</v>
      </c>
    </row>
    <row r="324" spans="1:10" x14ac:dyDescent="0.2">
      <c r="A324" t="s">
        <v>605</v>
      </c>
      <c r="E324">
        <v>11190</v>
      </c>
      <c r="H324" t="s">
        <v>43</v>
      </c>
      <c r="J324" t="s">
        <v>503</v>
      </c>
    </row>
    <row r="325" spans="1:10" x14ac:dyDescent="0.2">
      <c r="A325" t="s">
        <v>606</v>
      </c>
      <c r="E325">
        <v>199061624.25999999</v>
      </c>
      <c r="H325" t="s">
        <v>43</v>
      </c>
      <c r="J325" t="s">
        <v>503</v>
      </c>
    </row>
    <row r="326" spans="1:10" x14ac:dyDescent="0.2">
      <c r="A326" t="s">
        <v>607</v>
      </c>
      <c r="E326">
        <v>0</v>
      </c>
      <c r="H326" t="s">
        <v>43</v>
      </c>
      <c r="J326" t="s">
        <v>503</v>
      </c>
    </row>
    <row r="327" spans="1:10" x14ac:dyDescent="0.2">
      <c r="A327" t="s">
        <v>608</v>
      </c>
      <c r="E327">
        <v>0</v>
      </c>
      <c r="H327" t="s">
        <v>43</v>
      </c>
      <c r="J327" t="s">
        <v>503</v>
      </c>
    </row>
    <row r="328" spans="1:10" x14ac:dyDescent="0.2">
      <c r="A328" t="s">
        <v>609</v>
      </c>
      <c r="E328">
        <v>0</v>
      </c>
      <c r="H328" t="s">
        <v>43</v>
      </c>
      <c r="J328" t="s">
        <v>503</v>
      </c>
    </row>
    <row r="329" spans="1:10" x14ac:dyDescent="0.2">
      <c r="A329" t="s">
        <v>525</v>
      </c>
      <c r="E329">
        <v>116665.47</v>
      </c>
      <c r="H329" t="s">
        <v>43</v>
      </c>
      <c r="J329" t="s">
        <v>503</v>
      </c>
    </row>
    <row r="330" spans="1:10" x14ac:dyDescent="0.2">
      <c r="A330" t="s">
        <v>526</v>
      </c>
      <c r="E330">
        <v>0</v>
      </c>
      <c r="H330" t="s">
        <v>43</v>
      </c>
      <c r="J330" t="s">
        <v>503</v>
      </c>
    </row>
    <row r="331" spans="1:10" x14ac:dyDescent="0.2">
      <c r="A331" t="s">
        <v>610</v>
      </c>
      <c r="E331" t="s">
        <v>503</v>
      </c>
      <c r="J331" t="s">
        <v>503</v>
      </c>
    </row>
    <row r="332" spans="1:10" x14ac:dyDescent="0.2">
      <c r="A332" t="s">
        <v>611</v>
      </c>
      <c r="E332" t="b">
        <v>1</v>
      </c>
      <c r="J332" t="s">
        <v>503</v>
      </c>
    </row>
    <row r="333" spans="1:10" x14ac:dyDescent="0.2">
      <c r="A333" t="s">
        <v>612</v>
      </c>
      <c r="E333" t="s">
        <v>626</v>
      </c>
      <c r="J333" t="s">
        <v>503</v>
      </c>
    </row>
    <row r="334" spans="1:10" x14ac:dyDescent="0.2">
      <c r="A334" t="s">
        <v>613</v>
      </c>
      <c r="E334">
        <v>0.99092000000000002</v>
      </c>
      <c r="J334" t="s">
        <v>503</v>
      </c>
    </row>
    <row r="335" spans="1:10" x14ac:dyDescent="0.2">
      <c r="A335" t="s">
        <v>614</v>
      </c>
      <c r="E335">
        <v>-1</v>
      </c>
      <c r="J335" t="s">
        <v>503</v>
      </c>
    </row>
    <row r="336" spans="1:10" x14ac:dyDescent="0.2">
      <c r="A336" t="s">
        <v>615</v>
      </c>
      <c r="E336">
        <v>-1</v>
      </c>
      <c r="J336" t="s">
        <v>503</v>
      </c>
    </row>
    <row r="337" spans="1:10" x14ac:dyDescent="0.2">
      <c r="A337" t="s">
        <v>616</v>
      </c>
      <c r="E337">
        <v>-1</v>
      </c>
      <c r="J337" t="s">
        <v>503</v>
      </c>
    </row>
    <row r="338" spans="1:10" x14ac:dyDescent="0.2">
      <c r="A338" t="s">
        <v>617</v>
      </c>
      <c r="E338">
        <v>-1</v>
      </c>
      <c r="J338" t="s">
        <v>503</v>
      </c>
    </row>
    <row r="339" spans="1:10" x14ac:dyDescent="0.2">
      <c r="A339" t="s">
        <v>618</v>
      </c>
      <c r="E339">
        <v>-1</v>
      </c>
      <c r="J339" t="s">
        <v>503</v>
      </c>
    </row>
    <row r="340" spans="1:10" x14ac:dyDescent="0.2">
      <c r="A340" t="s">
        <v>619</v>
      </c>
      <c r="E340">
        <v>0.01</v>
      </c>
      <c r="J340" t="s">
        <v>503</v>
      </c>
    </row>
    <row r="341" spans="1:10" x14ac:dyDescent="0.2">
      <c r="A341" t="s">
        <v>620</v>
      </c>
      <c r="E341">
        <v>1546871400</v>
      </c>
      <c r="J341" t="s">
        <v>503</v>
      </c>
    </row>
    <row r="342" spans="1:10" x14ac:dyDescent="0.2">
      <c r="A342" t="s">
        <v>621</v>
      </c>
      <c r="E342" t="b">
        <v>0</v>
      </c>
      <c r="J342" t="s">
        <v>503</v>
      </c>
    </row>
    <row r="343" spans="1:10" x14ac:dyDescent="0.2">
      <c r="A343" t="s">
        <v>622</v>
      </c>
      <c r="E343" t="s">
        <v>627</v>
      </c>
      <c r="J343" t="s">
        <v>503</v>
      </c>
    </row>
    <row r="344" spans="1:10" x14ac:dyDescent="0.2">
      <c r="A344" t="s">
        <v>623</v>
      </c>
      <c r="E344" t="s">
        <v>628</v>
      </c>
      <c r="J344" t="s">
        <v>503</v>
      </c>
    </row>
    <row r="345" spans="1:10" x14ac:dyDescent="0.2">
      <c r="A345" t="s">
        <v>624</v>
      </c>
      <c r="E345" t="s">
        <v>629</v>
      </c>
      <c r="J345" t="s">
        <v>503</v>
      </c>
    </row>
    <row r="346" spans="1:10" x14ac:dyDescent="0.2">
      <c r="A346" t="s">
        <v>474</v>
      </c>
      <c r="E346" t="b">
        <v>1</v>
      </c>
      <c r="J346" t="s">
        <v>503</v>
      </c>
    </row>
    <row r="347" spans="1:10" x14ac:dyDescent="0.2">
      <c r="A347" t="s">
        <v>474</v>
      </c>
      <c r="E347" t="b">
        <v>1</v>
      </c>
      <c r="J347" t="s">
        <v>472</v>
      </c>
    </row>
  </sheetData>
  <mergeCells count="9">
    <mergeCell ref="L6:M6"/>
    <mergeCell ref="A1:J1"/>
    <mergeCell ref="A2:J3"/>
    <mergeCell ref="A4:J4"/>
    <mergeCell ref="L2:M2"/>
    <mergeCell ref="A7:C7"/>
    <mergeCell ref="D7:F7"/>
    <mergeCell ref="G7:I7"/>
    <mergeCell ref="A6:J6"/>
  </mergeCells>
  <phoneticPr fontId="0" type="noConversion"/>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Sheet14.subscribeToAccts">
                <anchor moveWithCells="1">
                  <from>
                    <xdr:col>0</xdr:col>
                    <xdr:colOff>66675</xdr:colOff>
                    <xdr:row>1</xdr:row>
                    <xdr:rowOff>57150</xdr:rowOff>
                  </from>
                  <to>
                    <xdr:col>2</xdr:col>
                    <xdr:colOff>533400</xdr:colOff>
                    <xdr:row>2</xdr:row>
                    <xdr:rowOff>95250</xdr:rowOff>
                  </to>
                </anchor>
              </controlPr>
            </control>
          </mc:Choice>
        </mc:AlternateContent>
        <mc:AlternateContent xmlns:mc="http://schemas.openxmlformats.org/markup-compatibility/2006">
          <mc:Choice Requires="x14">
            <control shapeId="26626" r:id="rId5" name="Button 2">
              <controlPr defaultSize="0" print="0" autoFill="0" autoPict="0" macro="[0]!Sheet14.cancelAcctsSubscription">
                <anchor moveWithCells="1" sizeWithCells="1">
                  <from>
                    <xdr:col>2</xdr:col>
                    <xdr:colOff>638175</xdr:colOff>
                    <xdr:row>1</xdr:row>
                    <xdr:rowOff>57150</xdr:rowOff>
                  </from>
                  <to>
                    <xdr:col>5</xdr:col>
                    <xdr:colOff>304800</xdr:colOff>
                    <xdr:row>2</xdr:row>
                    <xdr:rowOff>95250</xdr:rowOff>
                  </to>
                </anchor>
              </controlPr>
            </control>
          </mc:Choice>
        </mc:AlternateContent>
        <mc:AlternateContent xmlns:mc="http://schemas.openxmlformats.org/markup-compatibility/2006">
          <mc:Choice Requires="x14">
            <control shapeId="26627" r:id="rId6" name="Button 3">
              <controlPr defaultSize="0" print="0" autoFill="0" autoPict="0" macro="[0]!Sheet14.clearAccts">
                <anchor moveWithCells="1" sizeWithCells="1">
                  <from>
                    <xdr:col>5</xdr:col>
                    <xdr:colOff>390525</xdr:colOff>
                    <xdr:row>1</xdr:row>
                    <xdr:rowOff>57150</xdr:rowOff>
                  </from>
                  <to>
                    <xdr:col>6</xdr:col>
                    <xdr:colOff>981075</xdr:colOff>
                    <xdr:row>2</xdr:row>
                    <xdr:rowOff>95250</xdr:rowOff>
                  </to>
                </anchor>
              </controlPr>
            </control>
          </mc:Choice>
        </mc:AlternateContent>
        <mc:AlternateContent xmlns:mc="http://schemas.openxmlformats.org/markup-compatibility/2006">
          <mc:Choice Requires="x14">
            <control shapeId="26628" r:id="rId7" name="Button 4">
              <controlPr defaultSize="0" print="0" autoFill="0" autoPict="0" macro="[0]!Sheet14.onShowError">
                <anchor moveWithCells="1" sizeWithCells="1">
                  <from>
                    <xdr:col>9</xdr:col>
                    <xdr:colOff>28575</xdr:colOff>
                    <xdr:row>1</xdr:row>
                    <xdr:rowOff>57150</xdr:rowOff>
                  </from>
                  <to>
                    <xdr:col>9</xdr:col>
                    <xdr:colOff>981075</xdr:colOff>
                    <xdr:row>2</xdr:row>
                    <xdr:rowOff>95250</xdr:rowOff>
                  </to>
                </anchor>
              </controlPr>
            </control>
          </mc:Choice>
        </mc:AlternateContent>
        <mc:AlternateContent xmlns:mc="http://schemas.openxmlformats.org/markup-compatibility/2006">
          <mc:Choice Requires="x14">
            <control shapeId="26629" r:id="rId8" name="Button 5">
              <controlPr defaultSize="0" print="0" autoFill="0" autoPict="0" macro="[0]!Sheet14.requestManagedAccts">
                <anchor moveWithCells="1" sizeWithCells="1">
                  <from>
                    <xdr:col>6</xdr:col>
                    <xdr:colOff>1066800</xdr:colOff>
                    <xdr:row>1</xdr:row>
                    <xdr:rowOff>57150</xdr:rowOff>
                  </from>
                  <to>
                    <xdr:col>8</xdr:col>
                    <xdr:colOff>904875</xdr:colOff>
                    <xdr:row>2</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W207"/>
  <sheetViews>
    <sheetView zoomScale="80" zoomScaleNormal="80" workbookViewId="0">
      <pane ySplit="5" topLeftCell="A6" activePane="bottomLeft" state="frozen"/>
      <selection pane="bottomLeft" activeCell="B5" sqref="B5"/>
    </sheetView>
  </sheetViews>
  <sheetFormatPr defaultRowHeight="12.75" x14ac:dyDescent="0.2"/>
  <cols>
    <col min="1" max="1" width="17.5703125" customWidth="1"/>
    <col min="2" max="2" width="17" customWidth="1"/>
    <col min="3" max="3" width="16.5703125" customWidth="1"/>
    <col min="4" max="4" width="11" customWidth="1"/>
    <col min="5" max="5" width="11.42578125" bestFit="1" customWidth="1"/>
    <col min="6" max="6" width="15.42578125" customWidth="1"/>
    <col min="7" max="7" width="16.7109375" bestFit="1" customWidth="1"/>
    <col min="8" max="8" width="25.7109375" customWidth="1"/>
    <col min="9" max="9" width="14.140625" customWidth="1"/>
    <col min="10" max="10" width="15.5703125" customWidth="1"/>
    <col min="11" max="14" width="14.28515625" customWidth="1"/>
    <col min="15" max="15" width="17" customWidth="1"/>
    <col min="16" max="16" width="16.85546875" customWidth="1"/>
    <col min="17" max="17" width="7" customWidth="1"/>
    <col min="19" max="19" width="12.42578125" customWidth="1"/>
    <col min="20" max="20" width="11.42578125" customWidth="1"/>
    <col min="21" max="21" width="10.7109375" customWidth="1"/>
  </cols>
  <sheetData>
    <row r="1" spans="1:23" x14ac:dyDescent="0.2">
      <c r="A1" s="445" t="s">
        <v>47</v>
      </c>
      <c r="B1" s="356"/>
      <c r="C1" s="356"/>
      <c r="D1" s="356"/>
      <c r="E1" s="356"/>
      <c r="F1" s="356"/>
      <c r="G1" s="356"/>
      <c r="H1" s="357"/>
      <c r="K1" s="7"/>
      <c r="N1" s="7"/>
      <c r="R1" s="7"/>
      <c r="U1" s="7"/>
      <c r="V1" s="7"/>
      <c r="W1" s="7"/>
    </row>
    <row r="2" spans="1:23" x14ac:dyDescent="0.2">
      <c r="A2" s="446"/>
      <c r="B2" s="276"/>
      <c r="C2" s="276"/>
      <c r="D2" s="276"/>
      <c r="E2" s="276"/>
      <c r="F2" s="276"/>
      <c r="G2" s="276"/>
      <c r="H2" s="277"/>
      <c r="J2" s="440" t="s">
        <v>304</v>
      </c>
      <c r="K2" s="440"/>
    </row>
    <row r="3" spans="1:23" x14ac:dyDescent="0.2">
      <c r="A3" s="278"/>
      <c r="B3" s="279"/>
      <c r="C3" s="279"/>
      <c r="D3" s="279"/>
      <c r="E3" s="279"/>
      <c r="F3" s="279"/>
      <c r="G3" s="279"/>
      <c r="H3" s="280"/>
      <c r="J3" s="125"/>
      <c r="K3" s="127"/>
    </row>
    <row r="4" spans="1:23" x14ac:dyDescent="0.2">
      <c r="A4" s="136" t="s">
        <v>51</v>
      </c>
      <c r="B4" s="137"/>
      <c r="C4" s="137"/>
      <c r="D4" s="137"/>
      <c r="E4" s="137"/>
      <c r="F4" s="137"/>
      <c r="G4" s="137"/>
      <c r="H4" s="135"/>
      <c r="K4" s="7"/>
    </row>
    <row r="5" spans="1:23" x14ac:dyDescent="0.2">
      <c r="A5" s="70" t="s">
        <v>58</v>
      </c>
      <c r="B5" s="198" t="s">
        <v>498</v>
      </c>
      <c r="C5" s="102"/>
      <c r="D5" s="128" t="s">
        <v>124</v>
      </c>
      <c r="E5" s="138"/>
      <c r="F5" s="112"/>
      <c r="G5" s="128" t="s">
        <v>317</v>
      </c>
      <c r="H5" s="139"/>
      <c r="N5" s="47"/>
    </row>
    <row r="6" spans="1:23" x14ac:dyDescent="0.2">
      <c r="A6" s="447" t="s">
        <v>320</v>
      </c>
      <c r="B6" s="256"/>
      <c r="C6" s="256"/>
      <c r="D6" s="256"/>
      <c r="E6" s="256"/>
      <c r="F6" s="256"/>
      <c r="G6" s="256"/>
      <c r="H6" s="256"/>
      <c r="I6" s="256"/>
      <c r="J6" s="256"/>
      <c r="K6" s="256"/>
      <c r="L6" s="256"/>
      <c r="M6" s="256"/>
      <c r="N6" s="256"/>
      <c r="O6" s="256"/>
    </row>
    <row r="7" spans="1:23" x14ac:dyDescent="0.2">
      <c r="A7" s="218" t="s">
        <v>9</v>
      </c>
      <c r="B7" s="218" t="s">
        <v>64</v>
      </c>
      <c r="C7" s="218" t="s">
        <v>497</v>
      </c>
      <c r="D7" s="218" t="s">
        <v>10</v>
      </c>
      <c r="E7" s="218" t="s">
        <v>65</v>
      </c>
      <c r="F7" s="218" t="s">
        <v>85</v>
      </c>
      <c r="G7" s="218" t="s">
        <v>40</v>
      </c>
      <c r="H7" s="218" t="s">
        <v>130</v>
      </c>
      <c r="I7" s="218" t="s">
        <v>66</v>
      </c>
      <c r="J7" s="218" t="s">
        <v>77</v>
      </c>
      <c r="K7" s="218" t="s">
        <v>131</v>
      </c>
      <c r="L7" s="218" t="s">
        <v>123</v>
      </c>
      <c r="M7" s="218" t="s">
        <v>122</v>
      </c>
      <c r="N7" s="218" t="s">
        <v>121</v>
      </c>
      <c r="O7" s="218" t="s">
        <v>321</v>
      </c>
    </row>
    <row r="8" spans="1:23" ht="13.5" customHeight="1" x14ac:dyDescent="0.2">
      <c r="A8" s="104"/>
      <c r="B8" s="104"/>
      <c r="C8" s="104"/>
      <c r="D8" s="104"/>
      <c r="E8" s="104"/>
      <c r="F8" s="104"/>
      <c r="G8" s="104"/>
      <c r="H8" s="104"/>
      <c r="I8" s="104"/>
      <c r="J8" s="104"/>
      <c r="K8" s="104"/>
      <c r="L8" s="104"/>
      <c r="M8" s="104"/>
      <c r="N8" s="104"/>
      <c r="O8" s="104"/>
    </row>
    <row r="9" spans="1:23" x14ac:dyDescent="0.2">
      <c r="A9" s="104"/>
      <c r="B9" s="104"/>
      <c r="C9" s="104"/>
      <c r="D9" s="104"/>
      <c r="E9" s="104"/>
      <c r="F9" s="104"/>
      <c r="G9" s="104"/>
      <c r="H9" s="104"/>
      <c r="I9" s="104"/>
      <c r="J9" s="104"/>
      <c r="K9" s="104"/>
      <c r="L9" s="104"/>
      <c r="M9" s="104"/>
      <c r="N9" s="104"/>
      <c r="O9" s="104"/>
    </row>
    <row r="10" spans="1:23" x14ac:dyDescent="0.2">
      <c r="A10" s="104"/>
      <c r="B10" s="104"/>
      <c r="C10" s="104"/>
      <c r="D10" s="104"/>
      <c r="E10" s="104"/>
      <c r="F10" s="104"/>
      <c r="G10" s="104"/>
      <c r="H10" s="104"/>
      <c r="I10" s="104"/>
      <c r="J10" s="104"/>
      <c r="K10" s="104"/>
      <c r="L10" s="104"/>
      <c r="M10" s="104"/>
      <c r="N10" s="104"/>
      <c r="O10" s="104"/>
    </row>
    <row r="11" spans="1:23" x14ac:dyDescent="0.2">
      <c r="A11" s="104"/>
      <c r="B11" s="104"/>
      <c r="C11" s="104"/>
      <c r="D11" s="104"/>
      <c r="E11" s="104"/>
      <c r="F11" s="104"/>
      <c r="G11" s="104"/>
      <c r="H11" s="104"/>
      <c r="I11" s="104"/>
      <c r="J11" s="104"/>
      <c r="K11" s="104"/>
      <c r="L11" s="104"/>
      <c r="M11" s="104"/>
      <c r="N11" s="104"/>
      <c r="O11" s="104"/>
    </row>
    <row r="12" spans="1:23" x14ac:dyDescent="0.2">
      <c r="A12" s="104"/>
      <c r="B12" s="104"/>
      <c r="C12" s="104"/>
      <c r="D12" s="104"/>
      <c r="E12" s="104"/>
      <c r="F12" s="104"/>
      <c r="G12" s="104"/>
      <c r="H12" s="104"/>
      <c r="I12" s="104"/>
      <c r="J12" s="104"/>
      <c r="K12" s="104"/>
      <c r="L12" s="104"/>
      <c r="M12" s="104"/>
      <c r="N12" s="104"/>
      <c r="O12" s="104"/>
    </row>
    <row r="13" spans="1:23" x14ac:dyDescent="0.2">
      <c r="A13" s="104"/>
      <c r="B13" s="104"/>
      <c r="C13" s="104"/>
      <c r="D13" s="104"/>
      <c r="E13" s="104"/>
      <c r="F13" s="104"/>
      <c r="G13" s="104"/>
      <c r="H13" s="104"/>
      <c r="I13" s="104"/>
      <c r="J13" s="104"/>
      <c r="K13" s="104"/>
      <c r="L13" s="104"/>
      <c r="M13" s="104"/>
      <c r="N13" s="104"/>
      <c r="O13" s="104"/>
    </row>
    <row r="14" spans="1:23" x14ac:dyDescent="0.2">
      <c r="A14" s="104"/>
      <c r="B14" s="104"/>
      <c r="C14" s="104"/>
      <c r="D14" s="104"/>
      <c r="E14" s="104"/>
      <c r="F14" s="104"/>
      <c r="G14" s="104"/>
      <c r="H14" s="104"/>
      <c r="I14" s="104"/>
      <c r="J14" s="104"/>
      <c r="K14" s="104"/>
      <c r="L14" s="104"/>
      <c r="M14" s="104"/>
      <c r="N14" s="104"/>
      <c r="O14" s="104"/>
    </row>
    <row r="15" spans="1:23" x14ac:dyDescent="0.2">
      <c r="A15" s="104"/>
      <c r="B15" s="104"/>
      <c r="C15" s="104"/>
      <c r="D15" s="104"/>
      <c r="E15" s="104"/>
      <c r="F15" s="104"/>
      <c r="G15" s="104"/>
      <c r="H15" s="104"/>
      <c r="I15" s="104"/>
      <c r="J15" s="104"/>
      <c r="K15" s="104"/>
      <c r="L15" s="104"/>
      <c r="M15" s="104"/>
      <c r="N15" s="104"/>
      <c r="O15" s="104"/>
    </row>
    <row r="16" spans="1:23" x14ac:dyDescent="0.2">
      <c r="A16" s="104"/>
      <c r="B16" s="104"/>
      <c r="C16" s="104"/>
      <c r="D16" s="104"/>
      <c r="E16" s="104"/>
      <c r="F16" s="104"/>
      <c r="G16" s="104"/>
      <c r="H16" s="104"/>
      <c r="I16" s="104"/>
      <c r="J16" s="104"/>
      <c r="K16" s="104"/>
      <c r="L16" s="104"/>
      <c r="M16" s="104"/>
      <c r="N16" s="104"/>
      <c r="O16" s="104"/>
    </row>
    <row r="17" spans="1:15" x14ac:dyDescent="0.2">
      <c r="A17" s="104"/>
      <c r="B17" s="104"/>
      <c r="C17" s="104"/>
      <c r="D17" s="104"/>
      <c r="E17" s="104"/>
      <c r="F17" s="104"/>
      <c r="G17" s="104"/>
      <c r="H17" s="104"/>
      <c r="I17" s="104"/>
      <c r="J17" s="104"/>
      <c r="K17" s="104"/>
      <c r="L17" s="104"/>
      <c r="M17" s="104"/>
      <c r="N17" s="104"/>
      <c r="O17" s="104"/>
    </row>
    <row r="18" spans="1:15" x14ac:dyDescent="0.2">
      <c r="A18" s="104"/>
      <c r="B18" s="104"/>
      <c r="C18" s="104"/>
      <c r="D18" s="104"/>
      <c r="E18" s="104"/>
      <c r="F18" s="104"/>
      <c r="G18" s="104"/>
      <c r="H18" s="104"/>
      <c r="I18" s="104"/>
      <c r="J18" s="104"/>
      <c r="K18" s="104"/>
      <c r="L18" s="104"/>
      <c r="M18" s="104"/>
      <c r="N18" s="104"/>
      <c r="O18" s="104"/>
    </row>
    <row r="19" spans="1:15" x14ac:dyDescent="0.2">
      <c r="A19" s="104"/>
      <c r="B19" s="104"/>
      <c r="C19" s="104"/>
      <c r="D19" s="104"/>
      <c r="E19" s="104"/>
      <c r="F19" s="104"/>
      <c r="G19" s="104"/>
      <c r="H19" s="104"/>
      <c r="I19" s="104"/>
      <c r="J19" s="104"/>
      <c r="K19" s="104"/>
      <c r="L19" s="104"/>
      <c r="M19" s="104"/>
      <c r="N19" s="104"/>
      <c r="O19" s="104"/>
    </row>
    <row r="20" spans="1:15" x14ac:dyDescent="0.2">
      <c r="A20" s="104"/>
      <c r="B20" s="104"/>
      <c r="C20" s="104"/>
      <c r="D20" s="104"/>
      <c r="E20" s="104"/>
      <c r="F20" s="104"/>
      <c r="G20" s="104"/>
      <c r="H20" s="104"/>
      <c r="I20" s="104"/>
      <c r="J20" s="104"/>
      <c r="K20" s="104"/>
      <c r="L20" s="104"/>
      <c r="M20" s="104"/>
      <c r="N20" s="104"/>
      <c r="O20" s="104"/>
    </row>
    <row r="21" spans="1:15" x14ac:dyDescent="0.2">
      <c r="A21" s="104"/>
      <c r="B21" s="104"/>
      <c r="C21" s="104"/>
      <c r="D21" s="104"/>
      <c r="E21" s="104"/>
      <c r="F21" s="104"/>
      <c r="G21" s="104"/>
      <c r="H21" s="104"/>
      <c r="I21" s="104"/>
      <c r="J21" s="104"/>
      <c r="K21" s="104"/>
      <c r="L21" s="104"/>
      <c r="M21" s="104"/>
      <c r="N21" s="104"/>
      <c r="O21" s="104"/>
    </row>
    <row r="22" spans="1:15" x14ac:dyDescent="0.2">
      <c r="A22" s="104"/>
      <c r="B22" s="104"/>
      <c r="C22" s="104"/>
      <c r="D22" s="104"/>
      <c r="E22" s="104"/>
      <c r="F22" s="104"/>
      <c r="G22" s="104"/>
      <c r="H22" s="104"/>
      <c r="I22" s="104"/>
      <c r="J22" s="104"/>
      <c r="K22" s="104"/>
      <c r="L22" s="104"/>
      <c r="M22" s="104"/>
      <c r="N22" s="104"/>
      <c r="O22" s="104"/>
    </row>
    <row r="23" spans="1:15" x14ac:dyDescent="0.2">
      <c r="A23" s="104"/>
      <c r="B23" s="104"/>
      <c r="C23" s="104"/>
      <c r="D23" s="104"/>
      <c r="E23" s="104"/>
      <c r="F23" s="104"/>
      <c r="G23" s="104"/>
      <c r="H23" s="104"/>
      <c r="I23" s="104"/>
      <c r="J23" s="104"/>
      <c r="K23" s="104"/>
      <c r="L23" s="104"/>
      <c r="M23" s="104"/>
      <c r="N23" s="104"/>
      <c r="O23" s="104"/>
    </row>
    <row r="24" spans="1:15" x14ac:dyDescent="0.2">
      <c r="A24" s="104"/>
      <c r="B24" s="104"/>
      <c r="C24" s="104"/>
      <c r="D24" s="104"/>
      <c r="E24" s="104"/>
      <c r="F24" s="104"/>
      <c r="G24" s="104"/>
      <c r="H24" s="104"/>
      <c r="I24" s="104"/>
      <c r="J24" s="104"/>
      <c r="K24" s="104"/>
      <c r="L24" s="104"/>
      <c r="M24" s="104"/>
      <c r="N24" s="104"/>
      <c r="O24" s="104"/>
    </row>
    <row r="25" spans="1:15" x14ac:dyDescent="0.2">
      <c r="A25" s="104"/>
      <c r="B25" s="104"/>
      <c r="C25" s="104"/>
      <c r="D25" s="104"/>
      <c r="E25" s="104"/>
      <c r="F25" s="104"/>
      <c r="G25" s="104"/>
      <c r="H25" s="104"/>
      <c r="I25" s="104"/>
      <c r="J25" s="104"/>
      <c r="K25" s="104"/>
      <c r="L25" s="104"/>
      <c r="M25" s="104"/>
      <c r="N25" s="104"/>
      <c r="O25" s="104"/>
    </row>
    <row r="26" spans="1:15" x14ac:dyDescent="0.2">
      <c r="A26" s="104"/>
      <c r="B26" s="104"/>
      <c r="C26" s="104"/>
      <c r="D26" s="104"/>
      <c r="E26" s="104"/>
      <c r="F26" s="104"/>
      <c r="G26" s="104"/>
      <c r="H26" s="104"/>
      <c r="I26" s="104"/>
      <c r="J26" s="104"/>
      <c r="K26" s="104"/>
      <c r="L26" s="104"/>
      <c r="M26" s="104"/>
      <c r="N26" s="104"/>
      <c r="O26" s="104"/>
    </row>
    <row r="27" spans="1:15" x14ac:dyDescent="0.2">
      <c r="A27" s="104"/>
      <c r="B27" s="104"/>
      <c r="C27" s="104"/>
      <c r="D27" s="104"/>
      <c r="E27" s="104"/>
      <c r="F27" s="104"/>
      <c r="G27" s="104"/>
      <c r="H27" s="104"/>
      <c r="I27" s="104"/>
      <c r="J27" s="104"/>
      <c r="K27" s="104"/>
      <c r="L27" s="104"/>
      <c r="M27" s="104"/>
      <c r="N27" s="104"/>
      <c r="O27" s="104"/>
    </row>
    <row r="28" spans="1:15" x14ac:dyDescent="0.2">
      <c r="A28" s="104"/>
      <c r="B28" s="104"/>
      <c r="C28" s="104"/>
      <c r="D28" s="104"/>
      <c r="E28" s="104"/>
      <c r="F28" s="104"/>
      <c r="G28" s="104"/>
      <c r="H28" s="104"/>
      <c r="I28" s="104"/>
      <c r="J28" s="104"/>
      <c r="K28" s="104"/>
      <c r="L28" s="104"/>
      <c r="M28" s="104"/>
      <c r="N28" s="104"/>
      <c r="O28" s="104"/>
    </row>
    <row r="29" spans="1:15" x14ac:dyDescent="0.2">
      <c r="A29" s="104"/>
      <c r="B29" s="104"/>
      <c r="C29" s="104"/>
      <c r="D29" s="104"/>
      <c r="E29" s="104"/>
      <c r="F29" s="104"/>
      <c r="G29" s="104"/>
      <c r="H29" s="104"/>
      <c r="I29" s="104"/>
      <c r="J29" s="104"/>
      <c r="K29" s="104"/>
      <c r="L29" s="104"/>
      <c r="M29" s="104"/>
      <c r="N29" s="104"/>
      <c r="O29" s="104"/>
    </row>
    <row r="30" spans="1:15" x14ac:dyDescent="0.2">
      <c r="A30" s="104"/>
      <c r="B30" s="104"/>
      <c r="C30" s="104"/>
      <c r="D30" s="104"/>
      <c r="E30" s="104"/>
      <c r="F30" s="104"/>
      <c r="G30" s="104"/>
      <c r="H30" s="104"/>
      <c r="I30" s="104"/>
      <c r="J30" s="104"/>
      <c r="K30" s="104"/>
      <c r="L30" s="104"/>
      <c r="M30" s="104"/>
      <c r="N30" s="104"/>
      <c r="O30" s="104"/>
    </row>
    <row r="31" spans="1:15" x14ac:dyDescent="0.2">
      <c r="A31" s="104"/>
      <c r="B31" s="104"/>
      <c r="C31" s="104"/>
      <c r="D31" s="104"/>
      <c r="E31" s="104"/>
      <c r="F31" s="104"/>
      <c r="G31" s="104"/>
      <c r="H31" s="104"/>
      <c r="I31" s="104"/>
      <c r="J31" s="104"/>
      <c r="K31" s="104"/>
      <c r="L31" s="104"/>
      <c r="M31" s="104"/>
      <c r="N31" s="104"/>
      <c r="O31" s="104"/>
    </row>
    <row r="32" spans="1:15" x14ac:dyDescent="0.2">
      <c r="A32" s="104"/>
      <c r="B32" s="104"/>
      <c r="C32" s="104"/>
      <c r="D32" s="104"/>
      <c r="E32" s="104"/>
      <c r="F32" s="104"/>
      <c r="G32" s="104"/>
      <c r="H32" s="104"/>
      <c r="I32" s="104"/>
      <c r="J32" s="104"/>
      <c r="K32" s="104"/>
      <c r="L32" s="104"/>
      <c r="M32" s="104"/>
      <c r="N32" s="104"/>
      <c r="O32" s="104"/>
    </row>
    <row r="33" spans="1:15" x14ac:dyDescent="0.2">
      <c r="A33" s="104"/>
      <c r="B33" s="104"/>
      <c r="C33" s="104"/>
      <c r="D33" s="104"/>
      <c r="E33" s="104"/>
      <c r="F33" s="104"/>
      <c r="G33" s="104"/>
      <c r="H33" s="104"/>
      <c r="I33" s="104"/>
      <c r="J33" s="104"/>
      <c r="K33" s="104"/>
      <c r="L33" s="104"/>
      <c r="M33" s="104"/>
      <c r="N33" s="104"/>
      <c r="O33" s="104"/>
    </row>
    <row r="34" spans="1:15" x14ac:dyDescent="0.2">
      <c r="A34" s="104"/>
      <c r="B34" s="104"/>
      <c r="C34" s="104"/>
      <c r="D34" s="104"/>
      <c r="E34" s="104"/>
      <c r="F34" s="104"/>
      <c r="G34" s="104"/>
      <c r="H34" s="104"/>
      <c r="I34" s="104"/>
      <c r="J34" s="104"/>
      <c r="K34" s="104"/>
      <c r="L34" s="104"/>
      <c r="M34" s="104"/>
      <c r="N34" s="104"/>
      <c r="O34" s="104"/>
    </row>
    <row r="35" spans="1:15" x14ac:dyDescent="0.2">
      <c r="A35" s="104"/>
      <c r="B35" s="104"/>
      <c r="C35" s="104"/>
      <c r="D35" s="104"/>
      <c r="E35" s="104"/>
      <c r="F35" s="104"/>
      <c r="G35" s="104"/>
      <c r="H35" s="104"/>
      <c r="I35" s="104"/>
      <c r="J35" s="104"/>
      <c r="K35" s="104"/>
      <c r="L35" s="104"/>
      <c r="M35" s="104"/>
      <c r="N35" s="104"/>
      <c r="O35" s="104"/>
    </row>
    <row r="36" spans="1:15" x14ac:dyDescent="0.2">
      <c r="A36" s="104"/>
      <c r="B36" s="104"/>
      <c r="C36" s="104"/>
      <c r="D36" s="104"/>
      <c r="E36" s="104"/>
      <c r="F36" s="104"/>
      <c r="G36" s="104"/>
      <c r="H36" s="104"/>
      <c r="I36" s="104"/>
      <c r="J36" s="104"/>
      <c r="K36" s="104"/>
      <c r="L36" s="104"/>
      <c r="M36" s="104"/>
      <c r="N36" s="104"/>
      <c r="O36" s="104"/>
    </row>
    <row r="37" spans="1:15" x14ac:dyDescent="0.2">
      <c r="A37" s="104"/>
      <c r="B37" s="104"/>
      <c r="C37" s="104"/>
      <c r="D37" s="104"/>
      <c r="E37" s="104"/>
      <c r="F37" s="104"/>
      <c r="G37" s="104"/>
      <c r="H37" s="104"/>
      <c r="I37" s="104"/>
      <c r="J37" s="104"/>
      <c r="K37" s="104"/>
      <c r="L37" s="104"/>
      <c r="M37" s="104"/>
      <c r="N37" s="104"/>
      <c r="O37" s="104"/>
    </row>
    <row r="38" spans="1:15" x14ac:dyDescent="0.2">
      <c r="A38" s="104"/>
      <c r="B38" s="104"/>
      <c r="C38" s="104"/>
      <c r="D38" s="104"/>
      <c r="E38" s="104"/>
      <c r="F38" s="104"/>
      <c r="G38" s="104"/>
      <c r="H38" s="104"/>
      <c r="I38" s="104"/>
      <c r="J38" s="104"/>
      <c r="K38" s="104"/>
      <c r="L38" s="104"/>
      <c r="M38" s="104"/>
      <c r="N38" s="104"/>
      <c r="O38" s="104"/>
    </row>
    <row r="39" spans="1:15" x14ac:dyDescent="0.2">
      <c r="A39" s="104"/>
      <c r="B39" s="104"/>
      <c r="C39" s="104"/>
      <c r="D39" s="104"/>
      <c r="E39" s="104"/>
      <c r="F39" s="104"/>
      <c r="G39" s="104"/>
      <c r="H39" s="104"/>
      <c r="I39" s="104"/>
      <c r="J39" s="104"/>
      <c r="K39" s="104"/>
      <c r="L39" s="104"/>
      <c r="M39" s="104"/>
      <c r="N39" s="104"/>
      <c r="O39" s="104"/>
    </row>
    <row r="40" spans="1:15" x14ac:dyDescent="0.2">
      <c r="A40" s="104"/>
      <c r="B40" s="104"/>
      <c r="C40" s="104"/>
      <c r="D40" s="104"/>
      <c r="E40" s="104"/>
      <c r="F40" s="104"/>
      <c r="G40" s="104"/>
      <c r="H40" s="104"/>
      <c r="I40" s="104"/>
      <c r="J40" s="104"/>
      <c r="K40" s="104"/>
      <c r="L40" s="104"/>
      <c r="M40" s="104"/>
      <c r="N40" s="104"/>
      <c r="O40" s="104"/>
    </row>
    <row r="41" spans="1:15" x14ac:dyDescent="0.2">
      <c r="A41" s="104"/>
      <c r="B41" s="104"/>
      <c r="C41" s="104"/>
      <c r="D41" s="104"/>
      <c r="E41" s="104"/>
      <c r="F41" s="104"/>
      <c r="G41" s="104"/>
      <c r="H41" s="104"/>
      <c r="I41" s="104"/>
      <c r="J41" s="104"/>
      <c r="K41" s="104"/>
      <c r="L41" s="104"/>
      <c r="M41" s="104"/>
      <c r="N41" s="104"/>
      <c r="O41" s="104"/>
    </row>
    <row r="42" spans="1:15" x14ac:dyDescent="0.2">
      <c r="A42" s="104"/>
      <c r="B42" s="104"/>
      <c r="C42" s="104"/>
      <c r="D42" s="104"/>
      <c r="E42" s="104"/>
      <c r="F42" s="104"/>
      <c r="G42" s="104"/>
      <c r="H42" s="104"/>
      <c r="I42" s="104"/>
      <c r="J42" s="104"/>
      <c r="K42" s="104"/>
      <c r="L42" s="104"/>
      <c r="M42" s="104"/>
      <c r="N42" s="104"/>
      <c r="O42" s="104"/>
    </row>
    <row r="43" spans="1:15" x14ac:dyDescent="0.2">
      <c r="A43" s="104"/>
      <c r="B43" s="104"/>
      <c r="C43" s="104"/>
      <c r="D43" s="104"/>
      <c r="E43" s="104"/>
      <c r="F43" s="104"/>
      <c r="G43" s="104"/>
      <c r="H43" s="104"/>
      <c r="I43" s="104"/>
      <c r="J43" s="104"/>
      <c r="K43" s="104"/>
      <c r="L43" s="104"/>
      <c r="M43" s="104"/>
      <c r="N43" s="104"/>
      <c r="O43" s="104"/>
    </row>
    <row r="44" spans="1:15" x14ac:dyDescent="0.2">
      <c r="A44" s="104"/>
      <c r="B44" s="104"/>
      <c r="C44" s="104"/>
      <c r="D44" s="104"/>
      <c r="E44" s="104"/>
      <c r="F44" s="104"/>
      <c r="G44" s="104"/>
      <c r="H44" s="104"/>
      <c r="I44" s="104"/>
      <c r="J44" s="104"/>
      <c r="K44" s="104"/>
      <c r="L44" s="104"/>
      <c r="M44" s="104"/>
      <c r="N44" s="104"/>
      <c r="O44" s="104"/>
    </row>
    <row r="45" spans="1:15" x14ac:dyDescent="0.2">
      <c r="A45" s="104"/>
      <c r="B45" s="104"/>
      <c r="C45" s="104"/>
      <c r="D45" s="104"/>
      <c r="E45" s="104"/>
      <c r="F45" s="104"/>
      <c r="G45" s="104"/>
      <c r="H45" s="104"/>
      <c r="I45" s="104"/>
      <c r="J45" s="104"/>
      <c r="K45" s="104"/>
      <c r="L45" s="104"/>
      <c r="M45" s="104"/>
      <c r="N45" s="104"/>
      <c r="O45" s="104"/>
    </row>
    <row r="46" spans="1:15" x14ac:dyDescent="0.2">
      <c r="A46" s="104"/>
      <c r="B46" s="104"/>
      <c r="C46" s="104"/>
      <c r="D46" s="104"/>
      <c r="E46" s="104"/>
      <c r="F46" s="104"/>
      <c r="G46" s="104"/>
      <c r="H46" s="104"/>
      <c r="I46" s="104"/>
      <c r="J46" s="104"/>
      <c r="K46" s="104"/>
      <c r="L46" s="104"/>
      <c r="M46" s="104"/>
      <c r="N46" s="104"/>
      <c r="O46" s="104"/>
    </row>
    <row r="47" spans="1:15" x14ac:dyDescent="0.2">
      <c r="A47" s="104"/>
      <c r="B47" s="104"/>
      <c r="C47" s="104"/>
      <c r="D47" s="104"/>
      <c r="E47" s="104"/>
      <c r="F47" s="104"/>
      <c r="G47" s="104"/>
      <c r="H47" s="104"/>
      <c r="I47" s="104"/>
      <c r="J47" s="104"/>
      <c r="K47" s="104"/>
      <c r="L47" s="104"/>
      <c r="M47" s="104"/>
      <c r="N47" s="104"/>
      <c r="O47" s="104"/>
    </row>
    <row r="48" spans="1:15" x14ac:dyDescent="0.2">
      <c r="A48" s="104"/>
      <c r="B48" s="104"/>
      <c r="C48" s="104"/>
      <c r="D48" s="104"/>
      <c r="E48" s="104"/>
      <c r="F48" s="104"/>
      <c r="G48" s="104"/>
      <c r="H48" s="104"/>
      <c r="I48" s="104"/>
      <c r="J48" s="104"/>
      <c r="K48" s="104"/>
      <c r="L48" s="104"/>
      <c r="M48" s="104"/>
      <c r="N48" s="104"/>
      <c r="O48" s="104"/>
    </row>
    <row r="49" spans="1:15" x14ac:dyDescent="0.2">
      <c r="A49" s="104"/>
      <c r="B49" s="104"/>
      <c r="C49" s="104"/>
      <c r="D49" s="104"/>
      <c r="E49" s="104"/>
      <c r="F49" s="104"/>
      <c r="G49" s="104"/>
      <c r="H49" s="104"/>
      <c r="I49" s="104"/>
      <c r="J49" s="104"/>
      <c r="K49" s="104"/>
      <c r="L49" s="104"/>
      <c r="M49" s="104"/>
      <c r="N49" s="104"/>
      <c r="O49" s="104"/>
    </row>
    <row r="50" spans="1:15" x14ac:dyDescent="0.2">
      <c r="A50" s="104"/>
      <c r="B50" s="104"/>
      <c r="C50" s="104"/>
      <c r="D50" s="104"/>
      <c r="E50" s="104"/>
      <c r="F50" s="104"/>
      <c r="G50" s="104"/>
      <c r="H50" s="104"/>
      <c r="I50" s="104"/>
      <c r="J50" s="104"/>
      <c r="K50" s="104"/>
      <c r="L50" s="104"/>
      <c r="M50" s="104"/>
      <c r="N50" s="104"/>
      <c r="O50" s="104"/>
    </row>
    <row r="51" spans="1:15" x14ac:dyDescent="0.2">
      <c r="A51" s="104"/>
      <c r="B51" s="104"/>
      <c r="C51" s="104"/>
      <c r="D51" s="104"/>
      <c r="E51" s="104"/>
      <c r="F51" s="104"/>
      <c r="G51" s="104"/>
      <c r="H51" s="104"/>
      <c r="I51" s="104"/>
      <c r="J51" s="104"/>
      <c r="K51" s="104"/>
      <c r="L51" s="104"/>
      <c r="M51" s="104"/>
      <c r="N51" s="104"/>
      <c r="O51" s="104"/>
    </row>
    <row r="52" spans="1:15" x14ac:dyDescent="0.2">
      <c r="A52" s="104"/>
      <c r="B52" s="104"/>
      <c r="C52" s="104"/>
      <c r="D52" s="104"/>
      <c r="E52" s="104"/>
      <c r="F52" s="104"/>
      <c r="G52" s="104"/>
      <c r="H52" s="104"/>
      <c r="I52" s="104"/>
      <c r="J52" s="104"/>
      <c r="K52" s="104"/>
      <c r="L52" s="104"/>
      <c r="M52" s="104"/>
      <c r="N52" s="104"/>
      <c r="O52" s="104"/>
    </row>
    <row r="53" spans="1:15" x14ac:dyDescent="0.2">
      <c r="A53" s="104"/>
      <c r="B53" s="104"/>
      <c r="C53" s="104"/>
      <c r="D53" s="104"/>
      <c r="E53" s="104"/>
      <c r="F53" s="104"/>
      <c r="G53" s="104"/>
      <c r="H53" s="104"/>
      <c r="I53" s="104"/>
      <c r="J53" s="104"/>
      <c r="K53" s="104"/>
      <c r="L53" s="104"/>
      <c r="M53" s="104"/>
      <c r="N53" s="104"/>
      <c r="O53" s="104"/>
    </row>
    <row r="54" spans="1:15" x14ac:dyDescent="0.2">
      <c r="A54" s="104"/>
      <c r="B54" s="104"/>
      <c r="C54" s="104"/>
      <c r="D54" s="104"/>
      <c r="E54" s="104"/>
      <c r="F54" s="104"/>
      <c r="G54" s="104"/>
      <c r="H54" s="104"/>
      <c r="I54" s="104"/>
      <c r="J54" s="104"/>
      <c r="K54" s="104"/>
      <c r="L54" s="104"/>
      <c r="M54" s="104"/>
      <c r="N54" s="104"/>
      <c r="O54" s="104"/>
    </row>
    <row r="55" spans="1:15" x14ac:dyDescent="0.2">
      <c r="A55" s="104"/>
      <c r="B55" s="104"/>
      <c r="C55" s="104"/>
      <c r="D55" s="104"/>
      <c r="E55" s="104"/>
      <c r="F55" s="104"/>
      <c r="G55" s="104"/>
      <c r="H55" s="104"/>
      <c r="I55" s="104"/>
      <c r="J55" s="104"/>
      <c r="K55" s="104"/>
      <c r="L55" s="104"/>
      <c r="M55" s="104"/>
      <c r="N55" s="104"/>
      <c r="O55" s="104"/>
    </row>
    <row r="56" spans="1:15" x14ac:dyDescent="0.2">
      <c r="A56" s="104"/>
      <c r="B56" s="104"/>
      <c r="C56" s="104"/>
      <c r="D56" s="104"/>
      <c r="E56" s="104"/>
      <c r="F56" s="104"/>
      <c r="G56" s="104"/>
      <c r="H56" s="104"/>
      <c r="I56" s="104"/>
      <c r="J56" s="104"/>
      <c r="K56" s="104"/>
      <c r="L56" s="104"/>
      <c r="M56" s="104"/>
      <c r="N56" s="104"/>
      <c r="O56" s="104"/>
    </row>
    <row r="57" spans="1:15" x14ac:dyDescent="0.2">
      <c r="A57" s="104"/>
      <c r="B57" s="104"/>
      <c r="C57" s="104"/>
      <c r="D57" s="104"/>
      <c r="E57" s="104"/>
      <c r="F57" s="104"/>
      <c r="G57" s="104"/>
      <c r="H57" s="104"/>
      <c r="I57" s="104"/>
      <c r="J57" s="104"/>
      <c r="K57" s="104"/>
      <c r="L57" s="104"/>
      <c r="M57" s="104"/>
      <c r="N57" s="104"/>
      <c r="O57" s="104"/>
    </row>
    <row r="58" spans="1:15" x14ac:dyDescent="0.2">
      <c r="A58" s="104"/>
      <c r="B58" s="104"/>
      <c r="C58" s="104"/>
      <c r="D58" s="104"/>
      <c r="E58" s="104"/>
      <c r="F58" s="104"/>
      <c r="G58" s="104"/>
      <c r="H58" s="104"/>
      <c r="I58" s="104"/>
      <c r="J58" s="104"/>
      <c r="K58" s="104"/>
      <c r="L58" s="104"/>
      <c r="M58" s="104"/>
      <c r="N58" s="104"/>
      <c r="O58" s="104"/>
    </row>
    <row r="59" spans="1:15" x14ac:dyDescent="0.2">
      <c r="A59" s="104"/>
      <c r="B59" s="104"/>
      <c r="C59" s="104"/>
      <c r="D59" s="104"/>
      <c r="E59" s="104"/>
      <c r="F59" s="104"/>
      <c r="G59" s="104"/>
      <c r="H59" s="104"/>
      <c r="I59" s="104"/>
      <c r="J59" s="104"/>
      <c r="K59" s="104"/>
      <c r="L59" s="104"/>
      <c r="M59" s="104"/>
      <c r="N59" s="104"/>
      <c r="O59" s="104"/>
    </row>
    <row r="60" spans="1:15" x14ac:dyDescent="0.2">
      <c r="A60" s="104"/>
      <c r="B60" s="104"/>
      <c r="C60" s="104"/>
      <c r="D60" s="104"/>
      <c r="E60" s="104"/>
      <c r="F60" s="104"/>
      <c r="G60" s="104"/>
      <c r="H60" s="104"/>
      <c r="I60" s="104"/>
      <c r="J60" s="104"/>
      <c r="K60" s="104"/>
      <c r="L60" s="104"/>
      <c r="M60" s="104"/>
      <c r="N60" s="104"/>
      <c r="O60" s="104"/>
    </row>
    <row r="61" spans="1:15" x14ac:dyDescent="0.2">
      <c r="A61" s="104"/>
      <c r="B61" s="104"/>
      <c r="C61" s="104"/>
      <c r="D61" s="104"/>
      <c r="E61" s="104"/>
      <c r="F61" s="104"/>
      <c r="G61" s="104"/>
      <c r="H61" s="104"/>
      <c r="I61" s="104"/>
      <c r="J61" s="104"/>
      <c r="K61" s="104"/>
      <c r="L61" s="104"/>
      <c r="M61" s="104"/>
      <c r="N61" s="104"/>
      <c r="O61" s="104"/>
    </row>
    <row r="62" spans="1:15" x14ac:dyDescent="0.2">
      <c r="A62" s="104"/>
      <c r="B62" s="104"/>
      <c r="C62" s="104"/>
      <c r="D62" s="104"/>
      <c r="E62" s="104"/>
      <c r="F62" s="104"/>
      <c r="G62" s="104"/>
      <c r="H62" s="104"/>
      <c r="I62" s="104"/>
      <c r="J62" s="104"/>
      <c r="K62" s="104"/>
      <c r="L62" s="104"/>
      <c r="M62" s="104"/>
      <c r="N62" s="104"/>
      <c r="O62" s="104"/>
    </row>
    <row r="63" spans="1:15" x14ac:dyDescent="0.2">
      <c r="A63" s="104"/>
      <c r="B63" s="104"/>
      <c r="C63" s="104"/>
      <c r="D63" s="104"/>
      <c r="E63" s="104"/>
      <c r="F63" s="104"/>
      <c r="G63" s="104"/>
      <c r="H63" s="104"/>
      <c r="I63" s="104"/>
      <c r="J63" s="104"/>
      <c r="K63" s="104"/>
      <c r="L63" s="104"/>
      <c r="M63" s="104"/>
      <c r="N63" s="104"/>
      <c r="O63" s="104"/>
    </row>
    <row r="64" spans="1:15" x14ac:dyDescent="0.2">
      <c r="A64" s="104"/>
      <c r="B64" s="104"/>
      <c r="C64" s="104"/>
      <c r="D64" s="104"/>
      <c r="E64" s="104"/>
      <c r="F64" s="104"/>
      <c r="G64" s="104"/>
      <c r="H64" s="104"/>
      <c r="I64" s="104"/>
      <c r="J64" s="104"/>
      <c r="K64" s="104"/>
      <c r="L64" s="104"/>
      <c r="M64" s="104"/>
      <c r="N64" s="104"/>
      <c r="O64" s="104"/>
    </row>
    <row r="65" spans="1:15" x14ac:dyDescent="0.2">
      <c r="A65" s="104"/>
      <c r="B65" s="104"/>
      <c r="C65" s="104"/>
      <c r="D65" s="104"/>
      <c r="E65" s="104"/>
      <c r="F65" s="104"/>
      <c r="G65" s="104"/>
      <c r="H65" s="104"/>
      <c r="I65" s="104"/>
      <c r="J65" s="104"/>
      <c r="K65" s="104"/>
      <c r="L65" s="104"/>
      <c r="M65" s="104"/>
      <c r="N65" s="104"/>
      <c r="O65" s="104"/>
    </row>
    <row r="66" spans="1:15" x14ac:dyDescent="0.2">
      <c r="A66" s="104"/>
      <c r="B66" s="104"/>
      <c r="C66" s="104"/>
      <c r="D66" s="104"/>
      <c r="E66" s="104"/>
      <c r="F66" s="104"/>
      <c r="G66" s="104"/>
      <c r="H66" s="104"/>
      <c r="I66" s="104"/>
      <c r="J66" s="104"/>
      <c r="K66" s="104"/>
      <c r="L66" s="104"/>
      <c r="M66" s="104"/>
      <c r="N66" s="104"/>
      <c r="O66" s="104"/>
    </row>
    <row r="67" spans="1:15" x14ac:dyDescent="0.2">
      <c r="A67" s="104"/>
      <c r="B67" s="104"/>
      <c r="C67" s="104"/>
      <c r="D67" s="104"/>
      <c r="E67" s="104"/>
      <c r="F67" s="104"/>
      <c r="G67" s="104"/>
      <c r="H67" s="104"/>
      <c r="I67" s="104"/>
      <c r="J67" s="104"/>
      <c r="K67" s="104"/>
      <c r="L67" s="104"/>
      <c r="M67" s="104"/>
      <c r="N67" s="104"/>
      <c r="O67" s="104"/>
    </row>
    <row r="68" spans="1:15" x14ac:dyDescent="0.2">
      <c r="A68" s="104"/>
      <c r="B68" s="104"/>
      <c r="C68" s="104"/>
      <c r="D68" s="104"/>
      <c r="E68" s="104"/>
      <c r="F68" s="104"/>
      <c r="G68" s="104"/>
      <c r="H68" s="104"/>
      <c r="I68" s="104"/>
      <c r="J68" s="104"/>
      <c r="K68" s="104"/>
      <c r="L68" s="104"/>
      <c r="M68" s="104"/>
      <c r="N68" s="104"/>
      <c r="O68" s="104"/>
    </row>
    <row r="69" spans="1:15" x14ac:dyDescent="0.2">
      <c r="A69" s="104"/>
      <c r="B69" s="104"/>
      <c r="C69" s="104"/>
      <c r="D69" s="104"/>
      <c r="E69" s="104"/>
      <c r="F69" s="104"/>
      <c r="G69" s="104"/>
      <c r="H69" s="104"/>
      <c r="I69" s="104"/>
      <c r="J69" s="104"/>
      <c r="K69" s="104"/>
      <c r="L69" s="104"/>
      <c r="M69" s="104"/>
      <c r="N69" s="104"/>
      <c r="O69" s="104"/>
    </row>
    <row r="70" spans="1:15" x14ac:dyDescent="0.2">
      <c r="A70" s="104"/>
      <c r="B70" s="104"/>
      <c r="C70" s="104"/>
      <c r="D70" s="104"/>
      <c r="E70" s="104"/>
      <c r="F70" s="104"/>
      <c r="G70" s="104"/>
      <c r="H70" s="104"/>
      <c r="I70" s="104"/>
      <c r="J70" s="104"/>
      <c r="K70" s="104"/>
      <c r="L70" s="104"/>
      <c r="M70" s="104"/>
      <c r="N70" s="104"/>
      <c r="O70" s="104"/>
    </row>
    <row r="71" spans="1:15" x14ac:dyDescent="0.2">
      <c r="A71" s="104"/>
      <c r="B71" s="104"/>
      <c r="C71" s="104"/>
      <c r="D71" s="104"/>
      <c r="E71" s="104"/>
      <c r="F71" s="104"/>
      <c r="G71" s="104"/>
      <c r="H71" s="104"/>
      <c r="I71" s="104"/>
      <c r="J71" s="104"/>
      <c r="K71" s="104"/>
      <c r="L71" s="104"/>
      <c r="M71" s="104"/>
      <c r="N71" s="104"/>
      <c r="O71" s="104"/>
    </row>
    <row r="72" spans="1:15" x14ac:dyDescent="0.2">
      <c r="A72" s="104"/>
      <c r="B72" s="104"/>
      <c r="C72" s="104"/>
      <c r="D72" s="104"/>
      <c r="E72" s="104"/>
      <c r="F72" s="104"/>
      <c r="G72" s="104"/>
      <c r="H72" s="104"/>
      <c r="I72" s="104"/>
      <c r="J72" s="104"/>
      <c r="K72" s="104"/>
      <c r="L72" s="104"/>
      <c r="M72" s="104"/>
      <c r="N72" s="104"/>
      <c r="O72" s="104"/>
    </row>
    <row r="73" spans="1:15" x14ac:dyDescent="0.2">
      <c r="A73" s="104"/>
      <c r="B73" s="104"/>
      <c r="C73" s="104"/>
      <c r="D73" s="104"/>
      <c r="E73" s="104"/>
      <c r="F73" s="104"/>
      <c r="G73" s="104"/>
      <c r="H73" s="104"/>
      <c r="I73" s="104"/>
      <c r="J73" s="104"/>
      <c r="K73" s="104"/>
      <c r="L73" s="104"/>
      <c r="M73" s="104"/>
      <c r="N73" s="104"/>
      <c r="O73" s="104"/>
    </row>
    <row r="74" spans="1:15" x14ac:dyDescent="0.2">
      <c r="A74" s="104"/>
      <c r="B74" s="104"/>
      <c r="C74" s="104"/>
      <c r="D74" s="104"/>
      <c r="E74" s="104"/>
      <c r="F74" s="104"/>
      <c r="G74" s="104"/>
      <c r="H74" s="104"/>
      <c r="I74" s="104"/>
      <c r="J74" s="104"/>
      <c r="K74" s="104"/>
      <c r="L74" s="104"/>
      <c r="M74" s="104"/>
      <c r="N74" s="104"/>
      <c r="O74" s="104"/>
    </row>
    <row r="75" spans="1:15" x14ac:dyDescent="0.2">
      <c r="A75" s="104"/>
      <c r="B75" s="104"/>
      <c r="C75" s="104"/>
      <c r="D75" s="104"/>
      <c r="E75" s="104"/>
      <c r="F75" s="104"/>
      <c r="G75" s="104"/>
      <c r="H75" s="104"/>
      <c r="I75" s="104"/>
      <c r="J75" s="104"/>
      <c r="K75" s="104"/>
      <c r="L75" s="104"/>
      <c r="M75" s="104"/>
      <c r="N75" s="104"/>
      <c r="O75" s="104"/>
    </row>
    <row r="76" spans="1:15" x14ac:dyDescent="0.2">
      <c r="A76" s="104"/>
      <c r="B76" s="104"/>
      <c r="C76" s="104"/>
      <c r="D76" s="104"/>
      <c r="E76" s="104"/>
      <c r="F76" s="104"/>
      <c r="G76" s="104"/>
      <c r="H76" s="104"/>
      <c r="I76" s="104"/>
      <c r="J76" s="104"/>
      <c r="K76" s="104"/>
      <c r="L76" s="104"/>
      <c r="M76" s="104"/>
      <c r="N76" s="104"/>
      <c r="O76" s="104"/>
    </row>
    <row r="77" spans="1:15" x14ac:dyDescent="0.2">
      <c r="A77" s="104"/>
      <c r="B77" s="104"/>
      <c r="C77" s="104"/>
      <c r="D77" s="104"/>
      <c r="E77" s="104"/>
      <c r="F77" s="104"/>
      <c r="G77" s="104"/>
      <c r="H77" s="104"/>
      <c r="I77" s="104"/>
      <c r="J77" s="104"/>
      <c r="K77" s="104"/>
      <c r="L77" s="104"/>
      <c r="M77" s="104"/>
      <c r="N77" s="104"/>
      <c r="O77" s="104"/>
    </row>
    <row r="78" spans="1:15" x14ac:dyDescent="0.2">
      <c r="A78" s="104"/>
      <c r="B78" s="104"/>
      <c r="C78" s="104"/>
      <c r="D78" s="104"/>
      <c r="E78" s="104"/>
      <c r="F78" s="104"/>
      <c r="G78" s="104"/>
      <c r="H78" s="104"/>
      <c r="I78" s="104"/>
      <c r="J78" s="104"/>
      <c r="K78" s="104"/>
      <c r="L78" s="104"/>
      <c r="M78" s="104"/>
      <c r="N78" s="104"/>
      <c r="O78" s="104"/>
    </row>
    <row r="79" spans="1:15" x14ac:dyDescent="0.2">
      <c r="A79" s="104"/>
      <c r="B79" s="104"/>
      <c r="C79" s="104"/>
      <c r="D79" s="104"/>
      <c r="E79" s="104"/>
      <c r="F79" s="104"/>
      <c r="G79" s="104"/>
      <c r="H79" s="104"/>
      <c r="I79" s="104"/>
      <c r="J79" s="104"/>
      <c r="K79" s="104"/>
      <c r="L79" s="104"/>
      <c r="M79" s="104"/>
      <c r="N79" s="104"/>
      <c r="O79" s="104"/>
    </row>
    <row r="80" spans="1:15" x14ac:dyDescent="0.2">
      <c r="A80" s="104"/>
      <c r="B80" s="104"/>
      <c r="C80" s="104"/>
      <c r="D80" s="104"/>
      <c r="E80" s="104"/>
      <c r="F80" s="104"/>
      <c r="G80" s="104"/>
      <c r="H80" s="104"/>
      <c r="I80" s="104"/>
      <c r="J80" s="104"/>
      <c r="K80" s="104"/>
      <c r="L80" s="104"/>
      <c r="M80" s="104"/>
      <c r="N80" s="104"/>
      <c r="O80" s="104"/>
    </row>
    <row r="81" spans="1:15" x14ac:dyDescent="0.2">
      <c r="A81" s="104"/>
      <c r="B81" s="104"/>
      <c r="C81" s="104"/>
      <c r="D81" s="104"/>
      <c r="E81" s="104"/>
      <c r="F81" s="104"/>
      <c r="G81" s="104"/>
      <c r="H81" s="104"/>
      <c r="I81" s="104"/>
      <c r="J81" s="104"/>
      <c r="K81" s="104"/>
      <c r="L81" s="104"/>
      <c r="M81" s="104"/>
      <c r="N81" s="104"/>
      <c r="O81" s="104"/>
    </row>
    <row r="82" spans="1:15" x14ac:dyDescent="0.2">
      <c r="A82" s="104"/>
      <c r="B82" s="104"/>
      <c r="C82" s="104"/>
      <c r="D82" s="104"/>
      <c r="E82" s="104"/>
      <c r="F82" s="104"/>
      <c r="G82" s="104"/>
      <c r="H82" s="104"/>
      <c r="I82" s="104"/>
      <c r="J82" s="104"/>
      <c r="K82" s="104"/>
      <c r="L82" s="104"/>
      <c r="M82" s="104"/>
      <c r="N82" s="104"/>
      <c r="O82" s="104"/>
    </row>
    <row r="83" spans="1:15" x14ac:dyDescent="0.2">
      <c r="A83" s="104"/>
      <c r="B83" s="104"/>
      <c r="C83" s="104"/>
      <c r="D83" s="104"/>
      <c r="E83" s="104"/>
      <c r="F83" s="104"/>
      <c r="G83" s="104"/>
      <c r="H83" s="104"/>
      <c r="I83" s="104"/>
      <c r="J83" s="104"/>
      <c r="K83" s="104"/>
      <c r="L83" s="104"/>
      <c r="M83" s="104"/>
      <c r="N83" s="104"/>
      <c r="O83" s="104"/>
    </row>
    <row r="84" spans="1:15" x14ac:dyDescent="0.2">
      <c r="A84" s="104"/>
      <c r="B84" s="104"/>
      <c r="C84" s="104"/>
      <c r="D84" s="104"/>
      <c r="E84" s="104"/>
      <c r="F84" s="104"/>
      <c r="G84" s="104"/>
      <c r="H84" s="104"/>
      <c r="I84" s="104"/>
      <c r="J84" s="104"/>
      <c r="K84" s="104"/>
      <c r="L84" s="104"/>
      <c r="M84" s="104"/>
      <c r="N84" s="104"/>
      <c r="O84" s="104"/>
    </row>
    <row r="85" spans="1:15" x14ac:dyDescent="0.2">
      <c r="A85" s="104"/>
      <c r="B85" s="104"/>
      <c r="C85" s="104"/>
      <c r="D85" s="104"/>
      <c r="E85" s="104"/>
      <c r="F85" s="104"/>
      <c r="G85" s="104"/>
      <c r="H85" s="104"/>
      <c r="I85" s="104"/>
      <c r="J85" s="104"/>
      <c r="K85" s="104"/>
      <c r="L85" s="104"/>
      <c r="M85" s="104"/>
      <c r="N85" s="104"/>
      <c r="O85" s="104"/>
    </row>
    <row r="86" spans="1:15" x14ac:dyDescent="0.2">
      <c r="A86" s="104"/>
      <c r="B86" s="104"/>
      <c r="C86" s="104"/>
      <c r="D86" s="104"/>
      <c r="E86" s="104"/>
      <c r="F86" s="104"/>
      <c r="G86" s="104"/>
      <c r="H86" s="104"/>
      <c r="I86" s="104"/>
      <c r="J86" s="104"/>
      <c r="K86" s="104"/>
      <c r="L86" s="104"/>
      <c r="M86" s="104"/>
      <c r="N86" s="104"/>
      <c r="O86" s="104"/>
    </row>
    <row r="87" spans="1:15" x14ac:dyDescent="0.2">
      <c r="A87" s="104"/>
      <c r="B87" s="104"/>
      <c r="C87" s="104"/>
      <c r="D87" s="104"/>
      <c r="E87" s="104"/>
      <c r="F87" s="104"/>
      <c r="G87" s="104"/>
      <c r="H87" s="104"/>
      <c r="I87" s="104"/>
      <c r="J87" s="104"/>
      <c r="K87" s="104"/>
      <c r="L87" s="104"/>
      <c r="M87" s="104"/>
      <c r="N87" s="104"/>
      <c r="O87" s="104"/>
    </row>
    <row r="88" spans="1:15" x14ac:dyDescent="0.2">
      <c r="A88" s="104"/>
      <c r="B88" s="104"/>
      <c r="C88" s="104"/>
      <c r="D88" s="104"/>
      <c r="E88" s="104"/>
      <c r="F88" s="104"/>
      <c r="G88" s="104"/>
      <c r="H88" s="104"/>
      <c r="I88" s="104"/>
      <c r="J88" s="104"/>
      <c r="K88" s="104"/>
      <c r="L88" s="104"/>
      <c r="M88" s="104"/>
      <c r="N88" s="104"/>
      <c r="O88" s="104"/>
    </row>
    <row r="89" spans="1:15" x14ac:dyDescent="0.2">
      <c r="A89" s="104"/>
      <c r="B89" s="104"/>
      <c r="C89" s="104"/>
      <c r="D89" s="104"/>
      <c r="E89" s="104"/>
      <c r="F89" s="104"/>
      <c r="G89" s="104"/>
      <c r="H89" s="104"/>
      <c r="I89" s="104"/>
      <c r="J89" s="104"/>
      <c r="K89" s="104"/>
      <c r="L89" s="104"/>
      <c r="M89" s="104"/>
      <c r="N89" s="104"/>
      <c r="O89" s="104"/>
    </row>
    <row r="90" spans="1:15" x14ac:dyDescent="0.2">
      <c r="A90" s="104"/>
      <c r="B90" s="104"/>
      <c r="C90" s="104"/>
      <c r="D90" s="104"/>
      <c r="E90" s="104"/>
      <c r="F90" s="104"/>
      <c r="G90" s="104"/>
      <c r="H90" s="104"/>
      <c r="I90" s="104"/>
      <c r="J90" s="104"/>
      <c r="K90" s="104"/>
      <c r="L90" s="104"/>
      <c r="M90" s="104"/>
      <c r="N90" s="104"/>
      <c r="O90" s="104"/>
    </row>
    <row r="91" spans="1:15" x14ac:dyDescent="0.2">
      <c r="A91" s="104"/>
      <c r="B91" s="104"/>
      <c r="C91" s="104"/>
      <c r="D91" s="104"/>
      <c r="E91" s="104"/>
      <c r="F91" s="104"/>
      <c r="G91" s="104"/>
      <c r="H91" s="104"/>
      <c r="I91" s="104"/>
      <c r="J91" s="104"/>
      <c r="K91" s="104"/>
      <c r="L91" s="104"/>
      <c r="M91" s="104"/>
      <c r="N91" s="104"/>
      <c r="O91" s="104"/>
    </row>
    <row r="92" spans="1:15" x14ac:dyDescent="0.2">
      <c r="A92" s="104"/>
      <c r="B92" s="104"/>
      <c r="C92" s="104"/>
      <c r="D92" s="104"/>
      <c r="E92" s="104"/>
      <c r="F92" s="104"/>
      <c r="G92" s="104"/>
      <c r="H92" s="104"/>
      <c r="I92" s="104"/>
      <c r="J92" s="104"/>
      <c r="K92" s="104"/>
      <c r="L92" s="104"/>
      <c r="M92" s="104"/>
      <c r="N92" s="104"/>
      <c r="O92" s="104"/>
    </row>
    <row r="93" spans="1:15" x14ac:dyDescent="0.2">
      <c r="A93" s="104"/>
      <c r="B93" s="104"/>
      <c r="C93" s="104"/>
      <c r="D93" s="104"/>
      <c r="E93" s="104"/>
      <c r="F93" s="104"/>
      <c r="G93" s="104"/>
      <c r="H93" s="104"/>
      <c r="I93" s="104"/>
      <c r="J93" s="104"/>
      <c r="K93" s="104"/>
      <c r="L93" s="104"/>
      <c r="M93" s="104"/>
      <c r="N93" s="104"/>
      <c r="O93" s="104"/>
    </row>
    <row r="94" spans="1:15" x14ac:dyDescent="0.2">
      <c r="A94" s="104"/>
      <c r="B94" s="104"/>
      <c r="C94" s="104"/>
      <c r="D94" s="104"/>
      <c r="E94" s="104"/>
      <c r="F94" s="104"/>
      <c r="G94" s="104"/>
      <c r="H94" s="104"/>
      <c r="I94" s="104"/>
      <c r="J94" s="104"/>
      <c r="K94" s="104"/>
      <c r="L94" s="104"/>
      <c r="M94" s="104"/>
      <c r="N94" s="104"/>
      <c r="O94" s="104"/>
    </row>
    <row r="95" spans="1:15" x14ac:dyDescent="0.2">
      <c r="A95" s="104"/>
      <c r="B95" s="104"/>
      <c r="C95" s="104"/>
      <c r="D95" s="104"/>
      <c r="E95" s="104"/>
      <c r="F95" s="104"/>
      <c r="G95" s="104"/>
      <c r="H95" s="104"/>
      <c r="I95" s="104"/>
      <c r="J95" s="104"/>
      <c r="K95" s="104"/>
      <c r="L95" s="104"/>
      <c r="M95" s="104"/>
      <c r="N95" s="104"/>
      <c r="O95" s="104"/>
    </row>
    <row r="96" spans="1:15" x14ac:dyDescent="0.2">
      <c r="A96" s="104"/>
      <c r="B96" s="104"/>
      <c r="C96" s="104"/>
      <c r="D96" s="104"/>
      <c r="E96" s="104"/>
      <c r="F96" s="104"/>
      <c r="G96" s="104"/>
      <c r="H96" s="104"/>
      <c r="I96" s="104"/>
      <c r="J96" s="104"/>
      <c r="K96" s="104"/>
      <c r="L96" s="104"/>
      <c r="M96" s="104"/>
      <c r="N96" s="104"/>
      <c r="O96" s="104"/>
    </row>
    <row r="97" spans="1:15" x14ac:dyDescent="0.2">
      <c r="A97" s="104"/>
      <c r="B97" s="104"/>
      <c r="C97" s="104"/>
      <c r="D97" s="104"/>
      <c r="E97" s="104"/>
      <c r="F97" s="104"/>
      <c r="G97" s="104"/>
      <c r="H97" s="104"/>
      <c r="I97" s="104"/>
      <c r="J97" s="104"/>
      <c r="K97" s="104"/>
      <c r="L97" s="104"/>
      <c r="M97" s="104"/>
      <c r="N97" s="104"/>
      <c r="O97" s="104"/>
    </row>
    <row r="98" spans="1:15" x14ac:dyDescent="0.2">
      <c r="A98" s="104"/>
      <c r="B98" s="104"/>
      <c r="C98" s="104"/>
      <c r="D98" s="104"/>
      <c r="E98" s="104"/>
      <c r="F98" s="104"/>
      <c r="G98" s="104"/>
      <c r="H98" s="104"/>
      <c r="I98" s="104"/>
      <c r="J98" s="104"/>
      <c r="K98" s="104"/>
      <c r="L98" s="104"/>
      <c r="M98" s="104"/>
      <c r="N98" s="104"/>
      <c r="O98" s="104"/>
    </row>
    <row r="99" spans="1:15" x14ac:dyDescent="0.2">
      <c r="A99" s="104"/>
      <c r="B99" s="104"/>
      <c r="C99" s="104"/>
      <c r="D99" s="104"/>
      <c r="E99" s="104"/>
      <c r="F99" s="104"/>
      <c r="G99" s="104"/>
      <c r="H99" s="104"/>
      <c r="I99" s="104"/>
      <c r="J99" s="104"/>
      <c r="K99" s="104"/>
      <c r="L99" s="104"/>
      <c r="M99" s="104"/>
      <c r="N99" s="104"/>
      <c r="O99" s="104"/>
    </row>
    <row r="100" spans="1:15" x14ac:dyDescent="0.2">
      <c r="A100" s="104"/>
      <c r="B100" s="104"/>
      <c r="C100" s="104"/>
      <c r="D100" s="104"/>
      <c r="E100" s="104"/>
      <c r="F100" s="104"/>
      <c r="G100" s="104"/>
      <c r="H100" s="104"/>
      <c r="I100" s="104"/>
      <c r="J100" s="104"/>
      <c r="K100" s="104"/>
      <c r="L100" s="104"/>
      <c r="M100" s="104"/>
      <c r="N100" s="104"/>
      <c r="O100" s="104"/>
    </row>
    <row r="101" spans="1:15" x14ac:dyDescent="0.2">
      <c r="A101" s="104"/>
      <c r="B101" s="104"/>
      <c r="C101" s="104"/>
      <c r="D101" s="104"/>
      <c r="E101" s="104"/>
      <c r="F101" s="104"/>
      <c r="G101" s="104"/>
      <c r="H101" s="104"/>
      <c r="I101" s="104"/>
      <c r="J101" s="104"/>
      <c r="K101" s="104"/>
      <c r="L101" s="104"/>
      <c r="M101" s="104"/>
      <c r="N101" s="104"/>
      <c r="O101" s="104"/>
    </row>
    <row r="102" spans="1:15" x14ac:dyDescent="0.2">
      <c r="A102" s="104"/>
      <c r="B102" s="104"/>
      <c r="C102" s="104"/>
      <c r="D102" s="104"/>
      <c r="E102" s="104"/>
      <c r="F102" s="104"/>
      <c r="G102" s="104"/>
      <c r="H102" s="104"/>
      <c r="I102" s="104"/>
      <c r="J102" s="104"/>
      <c r="K102" s="104"/>
      <c r="L102" s="104"/>
      <c r="M102" s="104"/>
      <c r="N102" s="104"/>
      <c r="O102" s="104"/>
    </row>
    <row r="103" spans="1:15" x14ac:dyDescent="0.2">
      <c r="A103" s="104"/>
      <c r="B103" s="104"/>
      <c r="C103" s="104"/>
      <c r="D103" s="104"/>
      <c r="E103" s="104"/>
      <c r="F103" s="104"/>
      <c r="G103" s="104"/>
      <c r="H103" s="104"/>
      <c r="I103" s="104"/>
      <c r="J103" s="104"/>
      <c r="K103" s="104"/>
      <c r="L103" s="104"/>
      <c r="M103" s="104"/>
      <c r="N103" s="104"/>
      <c r="O103" s="104"/>
    </row>
    <row r="104" spans="1:15" x14ac:dyDescent="0.2">
      <c r="A104" s="104"/>
      <c r="B104" s="104"/>
      <c r="C104" s="104"/>
      <c r="D104" s="104"/>
      <c r="E104" s="104"/>
      <c r="F104" s="104"/>
      <c r="G104" s="104"/>
      <c r="H104" s="104"/>
      <c r="I104" s="104"/>
      <c r="J104" s="104"/>
      <c r="K104" s="104"/>
      <c r="L104" s="104"/>
      <c r="M104" s="104"/>
      <c r="N104" s="104"/>
      <c r="O104" s="104"/>
    </row>
    <row r="105" spans="1:15" x14ac:dyDescent="0.2">
      <c r="A105" s="104"/>
      <c r="B105" s="104"/>
      <c r="C105" s="104"/>
      <c r="D105" s="104"/>
      <c r="E105" s="104"/>
      <c r="F105" s="104"/>
      <c r="G105" s="104"/>
      <c r="H105" s="104"/>
      <c r="I105" s="104"/>
      <c r="J105" s="104"/>
      <c r="K105" s="104"/>
      <c r="L105" s="104"/>
      <c r="M105" s="104"/>
      <c r="N105" s="104"/>
      <c r="O105" s="104"/>
    </row>
    <row r="106" spans="1:15" x14ac:dyDescent="0.2">
      <c r="A106" s="104"/>
      <c r="B106" s="104"/>
      <c r="C106" s="104"/>
      <c r="D106" s="104"/>
      <c r="E106" s="104"/>
      <c r="F106" s="104"/>
      <c r="G106" s="104"/>
      <c r="H106" s="104"/>
      <c r="I106" s="104"/>
      <c r="J106" s="104"/>
      <c r="K106" s="104"/>
      <c r="L106" s="104"/>
      <c r="M106" s="104"/>
      <c r="N106" s="104"/>
      <c r="O106" s="104"/>
    </row>
    <row r="107" spans="1:15" x14ac:dyDescent="0.2">
      <c r="A107" s="104"/>
      <c r="B107" s="104"/>
      <c r="C107" s="104"/>
      <c r="D107" s="104"/>
      <c r="E107" s="104"/>
      <c r="F107" s="104"/>
      <c r="G107" s="104"/>
      <c r="H107" s="104"/>
      <c r="I107" s="104"/>
      <c r="J107" s="104"/>
      <c r="K107" s="104"/>
      <c r="L107" s="104"/>
      <c r="M107" s="104"/>
      <c r="N107" s="104"/>
      <c r="O107" s="104"/>
    </row>
    <row r="108" spans="1:15" x14ac:dyDescent="0.2">
      <c r="A108" s="104"/>
      <c r="B108" s="104"/>
      <c r="C108" s="104"/>
      <c r="D108" s="104"/>
      <c r="E108" s="104"/>
      <c r="F108" s="104"/>
      <c r="G108" s="104"/>
      <c r="H108" s="104"/>
      <c r="I108" s="104"/>
      <c r="J108" s="104"/>
      <c r="K108" s="104"/>
      <c r="L108" s="104"/>
      <c r="M108" s="104"/>
      <c r="N108" s="104"/>
      <c r="O108" s="104"/>
    </row>
    <row r="109" spans="1:15" x14ac:dyDescent="0.2">
      <c r="A109" s="104"/>
      <c r="B109" s="104"/>
      <c r="C109" s="104"/>
      <c r="D109" s="104"/>
      <c r="E109" s="104"/>
      <c r="F109" s="104"/>
      <c r="G109" s="104"/>
      <c r="H109" s="104"/>
      <c r="I109" s="104"/>
      <c r="J109" s="104"/>
      <c r="K109" s="104"/>
      <c r="L109" s="104"/>
      <c r="M109" s="104"/>
      <c r="N109" s="104"/>
      <c r="O109" s="104"/>
    </row>
    <row r="110" spans="1:15" x14ac:dyDescent="0.2">
      <c r="A110" s="104"/>
      <c r="B110" s="104"/>
      <c r="C110" s="104"/>
      <c r="D110" s="104"/>
      <c r="E110" s="104"/>
      <c r="F110" s="104"/>
      <c r="G110" s="104"/>
      <c r="H110" s="104"/>
      <c r="I110" s="104"/>
      <c r="J110" s="104"/>
      <c r="K110" s="104"/>
      <c r="L110" s="104"/>
      <c r="M110" s="104"/>
      <c r="N110" s="104"/>
      <c r="O110" s="104"/>
    </row>
    <row r="111" spans="1:15" x14ac:dyDescent="0.2">
      <c r="A111" s="104"/>
      <c r="B111" s="104"/>
      <c r="C111" s="104"/>
      <c r="D111" s="104"/>
      <c r="E111" s="104"/>
      <c r="F111" s="104"/>
      <c r="G111" s="104"/>
      <c r="H111" s="104"/>
      <c r="I111" s="104"/>
      <c r="J111" s="104"/>
      <c r="K111" s="104"/>
      <c r="L111" s="104"/>
      <c r="M111" s="104"/>
      <c r="N111" s="104"/>
      <c r="O111" s="104"/>
    </row>
    <row r="112" spans="1:15" x14ac:dyDescent="0.2">
      <c r="A112" s="104"/>
      <c r="B112" s="104"/>
      <c r="C112" s="104"/>
      <c r="D112" s="104"/>
      <c r="E112" s="104"/>
      <c r="F112" s="104"/>
      <c r="G112" s="104"/>
      <c r="H112" s="104"/>
      <c r="I112" s="104"/>
      <c r="J112" s="104"/>
      <c r="K112" s="104"/>
      <c r="L112" s="104"/>
      <c r="M112" s="104"/>
      <c r="N112" s="104"/>
      <c r="O112" s="104"/>
    </row>
    <row r="113" spans="1:15" x14ac:dyDescent="0.2">
      <c r="A113" s="104"/>
      <c r="B113" s="104"/>
      <c r="C113" s="104"/>
      <c r="D113" s="104"/>
      <c r="E113" s="104"/>
      <c r="F113" s="104"/>
      <c r="G113" s="104"/>
      <c r="H113" s="104"/>
      <c r="I113" s="104"/>
      <c r="J113" s="104"/>
      <c r="K113" s="104"/>
      <c r="L113" s="104"/>
      <c r="M113" s="104"/>
      <c r="N113" s="104"/>
      <c r="O113" s="104"/>
    </row>
    <row r="114" spans="1:15" x14ac:dyDescent="0.2">
      <c r="A114" s="104"/>
      <c r="B114" s="104"/>
      <c r="C114" s="104"/>
      <c r="D114" s="104"/>
      <c r="E114" s="104"/>
      <c r="F114" s="104"/>
      <c r="G114" s="104"/>
      <c r="H114" s="104"/>
      <c r="I114" s="104"/>
      <c r="J114" s="104"/>
      <c r="K114" s="104"/>
      <c r="L114" s="104"/>
      <c r="M114" s="104"/>
      <c r="N114" s="104"/>
      <c r="O114" s="104"/>
    </row>
    <row r="115" spans="1:15" x14ac:dyDescent="0.2">
      <c r="A115" s="104"/>
      <c r="B115" s="104"/>
      <c r="C115" s="104"/>
      <c r="D115" s="104"/>
      <c r="E115" s="104"/>
      <c r="F115" s="104"/>
      <c r="G115" s="104"/>
      <c r="H115" s="104"/>
      <c r="I115" s="104"/>
      <c r="J115" s="104"/>
      <c r="K115" s="104"/>
      <c r="L115" s="104"/>
      <c r="M115" s="104"/>
      <c r="N115" s="104"/>
      <c r="O115" s="104"/>
    </row>
    <row r="116" spans="1:15" x14ac:dyDescent="0.2">
      <c r="A116" s="104"/>
      <c r="B116" s="104"/>
      <c r="C116" s="104"/>
      <c r="D116" s="104"/>
      <c r="E116" s="104"/>
      <c r="F116" s="104"/>
      <c r="G116" s="104"/>
      <c r="H116" s="104"/>
      <c r="I116" s="104"/>
      <c r="J116" s="104"/>
      <c r="K116" s="104"/>
      <c r="L116" s="104"/>
      <c r="M116" s="104"/>
      <c r="N116" s="104"/>
      <c r="O116" s="104"/>
    </row>
    <row r="117" spans="1:15" x14ac:dyDescent="0.2">
      <c r="A117" s="104"/>
      <c r="B117" s="104"/>
      <c r="C117" s="104"/>
      <c r="D117" s="104"/>
      <c r="E117" s="104"/>
      <c r="F117" s="104"/>
      <c r="G117" s="104"/>
      <c r="H117" s="104"/>
      <c r="I117" s="104"/>
      <c r="J117" s="104"/>
      <c r="K117" s="104"/>
      <c r="L117" s="104"/>
      <c r="M117" s="104"/>
      <c r="N117" s="104"/>
      <c r="O117" s="104"/>
    </row>
    <row r="118" spans="1:15" x14ac:dyDescent="0.2">
      <c r="A118" s="104"/>
      <c r="B118" s="104"/>
      <c r="C118" s="104"/>
      <c r="D118" s="104"/>
      <c r="E118" s="104"/>
      <c r="F118" s="104"/>
      <c r="G118" s="104"/>
      <c r="H118" s="104"/>
      <c r="I118" s="104"/>
      <c r="J118" s="104"/>
      <c r="K118" s="104"/>
      <c r="L118" s="104"/>
      <c r="M118" s="104"/>
      <c r="N118" s="104"/>
      <c r="O118" s="104"/>
    </row>
    <row r="119" spans="1:15" x14ac:dyDescent="0.2">
      <c r="A119" s="104"/>
      <c r="B119" s="104"/>
      <c r="C119" s="104"/>
      <c r="D119" s="104"/>
      <c r="E119" s="104"/>
      <c r="F119" s="104"/>
      <c r="G119" s="104"/>
      <c r="H119" s="104"/>
      <c r="I119" s="104"/>
      <c r="J119" s="104"/>
      <c r="K119" s="104"/>
      <c r="L119" s="104"/>
      <c r="M119" s="104"/>
      <c r="N119" s="104"/>
      <c r="O119" s="104"/>
    </row>
    <row r="120" spans="1:15" x14ac:dyDescent="0.2">
      <c r="A120" s="104"/>
      <c r="B120" s="104"/>
      <c r="C120" s="104"/>
      <c r="D120" s="104"/>
      <c r="E120" s="104"/>
      <c r="F120" s="104"/>
      <c r="G120" s="104"/>
      <c r="H120" s="104"/>
      <c r="I120" s="104"/>
      <c r="J120" s="104"/>
      <c r="K120" s="104"/>
      <c r="L120" s="104"/>
      <c r="M120" s="104"/>
      <c r="N120" s="104"/>
      <c r="O120" s="104"/>
    </row>
    <row r="121" spans="1:15" x14ac:dyDescent="0.2">
      <c r="A121" s="104"/>
      <c r="B121" s="104"/>
      <c r="C121" s="104"/>
      <c r="D121" s="104"/>
      <c r="E121" s="104"/>
      <c r="F121" s="104"/>
      <c r="G121" s="104"/>
      <c r="H121" s="104"/>
      <c r="I121" s="104"/>
      <c r="J121" s="104"/>
      <c r="K121" s="104"/>
      <c r="L121" s="104"/>
      <c r="M121" s="104"/>
      <c r="N121" s="104"/>
      <c r="O121" s="104"/>
    </row>
    <row r="122" spans="1:15" x14ac:dyDescent="0.2">
      <c r="A122" s="104"/>
      <c r="B122" s="104"/>
      <c r="C122" s="104"/>
      <c r="D122" s="104"/>
      <c r="E122" s="104"/>
      <c r="F122" s="104"/>
      <c r="G122" s="104"/>
      <c r="H122" s="104"/>
      <c r="I122" s="104"/>
      <c r="J122" s="104"/>
      <c r="K122" s="104"/>
      <c r="L122" s="104"/>
      <c r="M122" s="104"/>
      <c r="N122" s="104"/>
      <c r="O122" s="104"/>
    </row>
    <row r="123" spans="1:15" x14ac:dyDescent="0.2">
      <c r="A123" s="104"/>
      <c r="B123" s="104"/>
      <c r="C123" s="104"/>
      <c r="D123" s="104"/>
      <c r="E123" s="104"/>
      <c r="F123" s="104"/>
      <c r="G123" s="104"/>
      <c r="H123" s="104"/>
      <c r="I123" s="104"/>
      <c r="J123" s="104"/>
      <c r="K123" s="104"/>
      <c r="L123" s="104"/>
      <c r="M123" s="104"/>
      <c r="N123" s="104"/>
      <c r="O123" s="104"/>
    </row>
    <row r="124" spans="1:15" x14ac:dyDescent="0.2">
      <c r="A124" s="104"/>
      <c r="B124" s="104"/>
      <c r="C124" s="104"/>
      <c r="D124" s="104"/>
      <c r="E124" s="104"/>
      <c r="F124" s="104"/>
      <c r="G124" s="104"/>
      <c r="H124" s="104"/>
      <c r="I124" s="104"/>
      <c r="J124" s="104"/>
      <c r="K124" s="104"/>
      <c r="L124" s="104"/>
      <c r="M124" s="104"/>
      <c r="N124" s="104"/>
      <c r="O124" s="104"/>
    </row>
    <row r="125" spans="1:15" x14ac:dyDescent="0.2">
      <c r="A125" s="104"/>
      <c r="B125" s="104"/>
      <c r="C125" s="104"/>
      <c r="D125" s="104"/>
      <c r="E125" s="104"/>
      <c r="F125" s="104"/>
      <c r="G125" s="104"/>
      <c r="H125" s="104"/>
      <c r="I125" s="104"/>
      <c r="J125" s="104"/>
      <c r="K125" s="104"/>
      <c r="L125" s="104"/>
      <c r="M125" s="104"/>
      <c r="N125" s="104"/>
      <c r="O125" s="104"/>
    </row>
    <row r="126" spans="1:15" x14ac:dyDescent="0.2">
      <c r="A126" s="104"/>
      <c r="B126" s="104"/>
      <c r="C126" s="104"/>
      <c r="D126" s="104"/>
      <c r="E126" s="104"/>
      <c r="F126" s="104"/>
      <c r="G126" s="104"/>
      <c r="H126" s="104"/>
      <c r="I126" s="104"/>
      <c r="J126" s="104"/>
      <c r="K126" s="104"/>
      <c r="L126" s="104"/>
      <c r="M126" s="104"/>
      <c r="N126" s="104"/>
      <c r="O126" s="104"/>
    </row>
    <row r="127" spans="1:15" x14ac:dyDescent="0.2">
      <c r="A127" s="104"/>
      <c r="B127" s="104"/>
      <c r="C127" s="104"/>
      <c r="D127" s="104"/>
      <c r="E127" s="104"/>
      <c r="F127" s="104"/>
      <c r="G127" s="104"/>
      <c r="H127" s="104"/>
      <c r="I127" s="104"/>
      <c r="J127" s="104"/>
      <c r="K127" s="104"/>
      <c r="L127" s="104"/>
      <c r="M127" s="104"/>
      <c r="N127" s="104"/>
      <c r="O127" s="104"/>
    </row>
    <row r="128" spans="1:15" x14ac:dyDescent="0.2">
      <c r="A128" s="104"/>
      <c r="B128" s="104"/>
      <c r="C128" s="104"/>
      <c r="D128" s="104"/>
      <c r="E128" s="104"/>
      <c r="F128" s="104"/>
      <c r="G128" s="104"/>
      <c r="H128" s="104"/>
      <c r="I128" s="104"/>
      <c r="J128" s="104"/>
      <c r="K128" s="104"/>
      <c r="L128" s="104"/>
      <c r="M128" s="104"/>
      <c r="N128" s="104"/>
      <c r="O128" s="104"/>
    </row>
    <row r="129" spans="1:15" x14ac:dyDescent="0.2">
      <c r="A129" s="104"/>
      <c r="B129" s="104"/>
      <c r="C129" s="104"/>
      <c r="D129" s="104"/>
      <c r="E129" s="104"/>
      <c r="F129" s="104"/>
      <c r="G129" s="104"/>
      <c r="H129" s="104"/>
      <c r="I129" s="104"/>
      <c r="J129" s="104"/>
      <c r="K129" s="104"/>
      <c r="L129" s="104"/>
      <c r="M129" s="104"/>
      <c r="N129" s="104"/>
      <c r="O129" s="104"/>
    </row>
    <row r="130" spans="1:15" x14ac:dyDescent="0.2">
      <c r="A130" s="104"/>
      <c r="B130" s="104"/>
      <c r="C130" s="104"/>
      <c r="D130" s="104"/>
      <c r="E130" s="104"/>
      <c r="F130" s="104"/>
      <c r="G130" s="104"/>
      <c r="H130" s="104"/>
      <c r="I130" s="104"/>
      <c r="J130" s="104"/>
      <c r="K130" s="104"/>
      <c r="L130" s="104"/>
      <c r="M130" s="104"/>
      <c r="N130" s="104"/>
      <c r="O130" s="104"/>
    </row>
    <row r="131" spans="1:15" x14ac:dyDescent="0.2">
      <c r="A131" s="104"/>
      <c r="B131" s="104"/>
      <c r="C131" s="104"/>
      <c r="D131" s="104"/>
      <c r="E131" s="104"/>
      <c r="F131" s="104"/>
      <c r="G131" s="104"/>
      <c r="H131" s="104"/>
      <c r="I131" s="104"/>
      <c r="J131" s="104"/>
      <c r="K131" s="104"/>
      <c r="L131" s="104"/>
      <c r="M131" s="104"/>
      <c r="N131" s="104"/>
      <c r="O131" s="104"/>
    </row>
    <row r="132" spans="1:15" x14ac:dyDescent="0.2">
      <c r="A132" s="104"/>
      <c r="B132" s="104"/>
      <c r="C132" s="104"/>
      <c r="D132" s="104"/>
      <c r="E132" s="104"/>
      <c r="F132" s="104"/>
      <c r="G132" s="104"/>
      <c r="H132" s="104"/>
      <c r="I132" s="104"/>
      <c r="J132" s="104"/>
      <c r="K132" s="104"/>
      <c r="L132" s="104"/>
      <c r="M132" s="104"/>
      <c r="N132" s="104"/>
      <c r="O132" s="104"/>
    </row>
    <row r="133" spans="1:15" x14ac:dyDescent="0.2">
      <c r="A133" s="104"/>
      <c r="B133" s="104"/>
      <c r="C133" s="104"/>
      <c r="D133" s="104"/>
      <c r="E133" s="104"/>
      <c r="F133" s="104"/>
      <c r="G133" s="104"/>
      <c r="H133" s="104"/>
      <c r="I133" s="104"/>
      <c r="J133" s="104"/>
      <c r="K133" s="104"/>
      <c r="L133" s="104"/>
      <c r="M133" s="104"/>
      <c r="N133" s="104"/>
      <c r="O133" s="104"/>
    </row>
    <row r="134" spans="1:15" x14ac:dyDescent="0.2">
      <c r="A134" s="104"/>
      <c r="B134" s="104"/>
      <c r="C134" s="104"/>
      <c r="D134" s="104"/>
      <c r="E134" s="104"/>
      <c r="F134" s="104"/>
      <c r="G134" s="104"/>
      <c r="H134" s="104"/>
      <c r="I134" s="104"/>
      <c r="J134" s="104"/>
      <c r="K134" s="104"/>
      <c r="L134" s="104"/>
      <c r="M134" s="104"/>
      <c r="N134" s="104"/>
      <c r="O134" s="104"/>
    </row>
    <row r="135" spans="1:15" x14ac:dyDescent="0.2">
      <c r="A135" s="104"/>
      <c r="B135" s="104"/>
      <c r="C135" s="104"/>
      <c r="D135" s="104"/>
      <c r="E135" s="104"/>
      <c r="F135" s="104"/>
      <c r="G135" s="104"/>
      <c r="H135" s="104"/>
      <c r="I135" s="104"/>
      <c r="J135" s="104"/>
      <c r="K135" s="104"/>
      <c r="L135" s="104"/>
      <c r="M135" s="104"/>
      <c r="N135" s="104"/>
      <c r="O135" s="104"/>
    </row>
    <row r="136" spans="1:15" x14ac:dyDescent="0.2">
      <c r="A136" s="104"/>
      <c r="B136" s="104"/>
      <c r="C136" s="104"/>
      <c r="D136" s="104"/>
      <c r="E136" s="104"/>
      <c r="F136" s="104"/>
      <c r="G136" s="104"/>
      <c r="H136" s="104"/>
      <c r="I136" s="104"/>
      <c r="J136" s="104"/>
      <c r="K136" s="104"/>
      <c r="L136" s="104"/>
      <c r="M136" s="104"/>
      <c r="N136" s="104"/>
      <c r="O136" s="104"/>
    </row>
    <row r="137" spans="1:15" x14ac:dyDescent="0.2">
      <c r="A137" s="104"/>
      <c r="B137" s="104"/>
      <c r="C137" s="104"/>
      <c r="D137" s="104"/>
      <c r="E137" s="104"/>
      <c r="F137" s="104"/>
      <c r="G137" s="104"/>
      <c r="H137" s="104"/>
      <c r="I137" s="104"/>
      <c r="J137" s="104"/>
      <c r="K137" s="104"/>
      <c r="L137" s="104"/>
      <c r="M137" s="104"/>
      <c r="N137" s="104"/>
      <c r="O137" s="104"/>
    </row>
    <row r="138" spans="1:15" x14ac:dyDescent="0.2">
      <c r="A138" s="104"/>
      <c r="B138" s="104"/>
      <c r="C138" s="104"/>
      <c r="D138" s="104"/>
      <c r="E138" s="104"/>
      <c r="F138" s="104"/>
      <c r="G138" s="104"/>
      <c r="H138" s="104"/>
      <c r="I138" s="104"/>
      <c r="J138" s="104"/>
      <c r="K138" s="104"/>
      <c r="L138" s="104"/>
      <c r="M138" s="104"/>
      <c r="N138" s="104"/>
      <c r="O138" s="104"/>
    </row>
    <row r="139" spans="1:15" x14ac:dyDescent="0.2">
      <c r="A139" s="104"/>
      <c r="B139" s="104"/>
      <c r="C139" s="104"/>
      <c r="D139" s="104"/>
      <c r="E139" s="104"/>
      <c r="F139" s="104"/>
      <c r="G139" s="104"/>
      <c r="H139" s="104"/>
      <c r="I139" s="104"/>
      <c r="J139" s="104"/>
      <c r="K139" s="104"/>
      <c r="L139" s="104"/>
      <c r="M139" s="104"/>
      <c r="N139" s="104"/>
      <c r="O139" s="104"/>
    </row>
    <row r="140" spans="1:15" x14ac:dyDescent="0.2">
      <c r="A140" s="104"/>
      <c r="B140" s="104"/>
      <c r="C140" s="104"/>
      <c r="D140" s="104"/>
      <c r="E140" s="104"/>
      <c r="F140" s="104"/>
      <c r="G140" s="104"/>
      <c r="H140" s="104"/>
      <c r="I140" s="104"/>
      <c r="J140" s="104"/>
      <c r="K140" s="104"/>
      <c r="L140" s="104"/>
      <c r="M140" s="104"/>
      <c r="N140" s="104"/>
      <c r="O140" s="104"/>
    </row>
    <row r="141" spans="1:15" x14ac:dyDescent="0.2">
      <c r="A141" s="104"/>
      <c r="B141" s="104"/>
      <c r="C141" s="104"/>
      <c r="D141" s="104"/>
      <c r="E141" s="104"/>
      <c r="F141" s="104"/>
      <c r="G141" s="104"/>
      <c r="H141" s="104"/>
      <c r="I141" s="104"/>
      <c r="J141" s="104"/>
      <c r="K141" s="104"/>
      <c r="L141" s="104"/>
      <c r="M141" s="104"/>
      <c r="N141" s="104"/>
      <c r="O141" s="104"/>
    </row>
    <row r="142" spans="1:15" x14ac:dyDescent="0.2">
      <c r="A142" s="104"/>
      <c r="B142" s="104"/>
      <c r="C142" s="104"/>
      <c r="D142" s="104"/>
      <c r="E142" s="104"/>
      <c r="F142" s="104"/>
      <c r="G142" s="104"/>
      <c r="H142" s="104"/>
      <c r="I142" s="104"/>
      <c r="J142" s="104"/>
      <c r="K142" s="104"/>
      <c r="L142" s="104"/>
      <c r="M142" s="104"/>
      <c r="N142" s="104"/>
      <c r="O142" s="104"/>
    </row>
    <row r="143" spans="1:15" x14ac:dyDescent="0.2">
      <c r="A143" s="104"/>
      <c r="B143" s="104"/>
      <c r="C143" s="104"/>
      <c r="D143" s="104"/>
      <c r="E143" s="104"/>
      <c r="F143" s="104"/>
      <c r="G143" s="104"/>
      <c r="H143" s="104"/>
      <c r="I143" s="104"/>
      <c r="J143" s="104"/>
      <c r="K143" s="104"/>
      <c r="L143" s="104"/>
      <c r="M143" s="104"/>
      <c r="N143" s="104"/>
      <c r="O143" s="104"/>
    </row>
    <row r="144" spans="1:15" x14ac:dyDescent="0.2">
      <c r="A144" s="104"/>
      <c r="B144" s="104"/>
      <c r="C144" s="104"/>
      <c r="D144" s="104"/>
      <c r="E144" s="104"/>
      <c r="F144" s="104"/>
      <c r="G144" s="104"/>
      <c r="H144" s="104"/>
      <c r="I144" s="104"/>
      <c r="J144" s="104"/>
      <c r="K144" s="104"/>
      <c r="L144" s="104"/>
      <c r="M144" s="104"/>
      <c r="N144" s="104"/>
      <c r="O144" s="104"/>
    </row>
    <row r="145" spans="1:15" x14ac:dyDescent="0.2">
      <c r="A145" s="104"/>
      <c r="B145" s="104"/>
      <c r="C145" s="104"/>
      <c r="D145" s="104"/>
      <c r="E145" s="104"/>
      <c r="F145" s="104"/>
      <c r="G145" s="104"/>
      <c r="H145" s="104"/>
      <c r="I145" s="104"/>
      <c r="J145" s="104"/>
      <c r="K145" s="104"/>
      <c r="L145" s="104"/>
      <c r="M145" s="104"/>
      <c r="N145" s="104"/>
      <c r="O145" s="104"/>
    </row>
    <row r="146" spans="1:15" x14ac:dyDescent="0.2">
      <c r="A146" s="104"/>
      <c r="B146" s="104"/>
      <c r="C146" s="104"/>
      <c r="D146" s="104"/>
      <c r="E146" s="104"/>
      <c r="F146" s="104"/>
      <c r="G146" s="104"/>
      <c r="H146" s="104"/>
      <c r="I146" s="104"/>
      <c r="J146" s="104"/>
      <c r="K146" s="104"/>
      <c r="L146" s="104"/>
      <c r="M146" s="104"/>
      <c r="N146" s="104"/>
      <c r="O146" s="104"/>
    </row>
    <row r="147" spans="1:15" x14ac:dyDescent="0.2">
      <c r="A147" s="104"/>
      <c r="B147" s="104"/>
      <c r="C147" s="104"/>
      <c r="D147" s="104"/>
      <c r="E147" s="104"/>
      <c r="F147" s="104"/>
      <c r="G147" s="104"/>
      <c r="H147" s="104"/>
      <c r="I147" s="104"/>
      <c r="J147" s="104"/>
      <c r="K147" s="104"/>
      <c r="L147" s="104"/>
      <c r="M147" s="104"/>
      <c r="N147" s="104"/>
      <c r="O147" s="104"/>
    </row>
    <row r="148" spans="1:15" x14ac:dyDescent="0.2">
      <c r="A148" s="104"/>
      <c r="B148" s="104"/>
      <c r="C148" s="104"/>
      <c r="D148" s="104"/>
      <c r="E148" s="104"/>
      <c r="F148" s="104"/>
      <c r="G148" s="104"/>
      <c r="H148" s="104"/>
      <c r="I148" s="104"/>
      <c r="J148" s="104"/>
      <c r="K148" s="104"/>
      <c r="L148" s="104"/>
      <c r="M148" s="104"/>
      <c r="N148" s="104"/>
      <c r="O148" s="104"/>
    </row>
    <row r="149" spans="1:15" x14ac:dyDescent="0.2">
      <c r="A149" s="104"/>
      <c r="B149" s="104"/>
      <c r="C149" s="104"/>
      <c r="D149" s="104"/>
      <c r="E149" s="104"/>
      <c r="F149" s="104"/>
      <c r="G149" s="104"/>
      <c r="H149" s="104"/>
      <c r="I149" s="104"/>
      <c r="J149" s="104"/>
      <c r="K149" s="104"/>
      <c r="L149" s="104"/>
      <c r="M149" s="104"/>
      <c r="N149" s="104"/>
      <c r="O149" s="104"/>
    </row>
    <row r="150" spans="1:15" x14ac:dyDescent="0.2">
      <c r="A150" s="104"/>
      <c r="B150" s="104"/>
      <c r="C150" s="104"/>
      <c r="D150" s="104"/>
      <c r="E150" s="104"/>
      <c r="F150" s="104"/>
      <c r="G150" s="104"/>
      <c r="H150" s="104"/>
      <c r="I150" s="104"/>
      <c r="J150" s="104"/>
      <c r="K150" s="104"/>
      <c r="L150" s="104"/>
      <c r="M150" s="104"/>
      <c r="N150" s="104"/>
      <c r="O150" s="104"/>
    </row>
    <row r="151" spans="1:15" x14ac:dyDescent="0.2">
      <c r="A151" s="104"/>
      <c r="B151" s="104"/>
      <c r="C151" s="104"/>
      <c r="D151" s="104"/>
      <c r="E151" s="104"/>
      <c r="F151" s="104"/>
      <c r="G151" s="104"/>
      <c r="H151" s="104"/>
      <c r="I151" s="104"/>
      <c r="J151" s="104"/>
      <c r="K151" s="104"/>
      <c r="L151" s="104"/>
      <c r="M151" s="104"/>
      <c r="N151" s="104"/>
      <c r="O151" s="104"/>
    </row>
    <row r="152" spans="1:15" x14ac:dyDescent="0.2">
      <c r="A152" s="104"/>
      <c r="B152" s="104"/>
      <c r="C152" s="104"/>
      <c r="D152" s="104"/>
      <c r="E152" s="104"/>
      <c r="F152" s="104"/>
      <c r="G152" s="104"/>
      <c r="H152" s="104"/>
      <c r="I152" s="104"/>
      <c r="J152" s="104"/>
      <c r="K152" s="104"/>
      <c r="L152" s="104"/>
      <c r="M152" s="104"/>
      <c r="N152" s="104"/>
      <c r="O152" s="104"/>
    </row>
    <row r="153" spans="1:15" x14ac:dyDescent="0.2">
      <c r="A153" s="104"/>
      <c r="B153" s="104"/>
      <c r="C153" s="104"/>
      <c r="D153" s="104"/>
      <c r="E153" s="104"/>
      <c r="F153" s="104"/>
      <c r="G153" s="104"/>
      <c r="H153" s="104"/>
      <c r="I153" s="104"/>
      <c r="J153" s="104"/>
      <c r="K153" s="104"/>
      <c r="L153" s="104"/>
      <c r="M153" s="104"/>
      <c r="N153" s="104"/>
      <c r="O153" s="104"/>
    </row>
    <row r="154" spans="1:15" x14ac:dyDescent="0.2">
      <c r="A154" s="104"/>
      <c r="B154" s="104"/>
      <c r="C154" s="104"/>
      <c r="D154" s="104"/>
      <c r="E154" s="104"/>
      <c r="F154" s="104"/>
      <c r="G154" s="104"/>
      <c r="H154" s="104"/>
      <c r="I154" s="104"/>
      <c r="J154" s="104"/>
      <c r="K154" s="104"/>
      <c r="L154" s="104"/>
      <c r="M154" s="104"/>
      <c r="N154" s="104"/>
      <c r="O154" s="104"/>
    </row>
    <row r="155" spans="1:15" x14ac:dyDescent="0.2">
      <c r="A155" s="104"/>
      <c r="B155" s="104"/>
      <c r="C155" s="104"/>
      <c r="D155" s="104"/>
      <c r="E155" s="104"/>
      <c r="F155" s="104"/>
      <c r="G155" s="104"/>
      <c r="H155" s="104"/>
      <c r="I155" s="104"/>
      <c r="J155" s="104"/>
      <c r="K155" s="104"/>
      <c r="L155" s="104"/>
      <c r="M155" s="104"/>
      <c r="N155" s="104"/>
      <c r="O155" s="104"/>
    </row>
    <row r="156" spans="1:15" x14ac:dyDescent="0.2">
      <c r="A156" s="104"/>
      <c r="B156" s="104"/>
      <c r="C156" s="104"/>
      <c r="D156" s="104"/>
      <c r="E156" s="104"/>
      <c r="F156" s="104"/>
      <c r="G156" s="104"/>
      <c r="H156" s="104"/>
      <c r="I156" s="104"/>
      <c r="J156" s="104"/>
      <c r="K156" s="104"/>
      <c r="L156" s="104"/>
      <c r="M156" s="104"/>
      <c r="N156" s="104"/>
      <c r="O156" s="104"/>
    </row>
    <row r="157" spans="1:15" x14ac:dyDescent="0.2">
      <c r="A157" s="104"/>
      <c r="B157" s="104"/>
      <c r="C157" s="104"/>
      <c r="D157" s="104"/>
      <c r="E157" s="104"/>
      <c r="F157" s="104"/>
      <c r="G157" s="104"/>
      <c r="H157" s="104"/>
      <c r="I157" s="104"/>
      <c r="J157" s="104"/>
      <c r="K157" s="104"/>
      <c r="L157" s="104"/>
      <c r="M157" s="104"/>
      <c r="N157" s="104"/>
      <c r="O157" s="104"/>
    </row>
    <row r="158" spans="1:15" x14ac:dyDescent="0.2">
      <c r="A158" s="104"/>
      <c r="B158" s="104"/>
      <c r="C158" s="104"/>
      <c r="D158" s="104"/>
      <c r="E158" s="104"/>
      <c r="F158" s="104"/>
      <c r="G158" s="104"/>
      <c r="H158" s="104"/>
      <c r="I158" s="104"/>
      <c r="J158" s="104"/>
      <c r="K158" s="104"/>
      <c r="L158" s="104"/>
      <c r="M158" s="104"/>
      <c r="N158" s="104"/>
      <c r="O158" s="104"/>
    </row>
    <row r="159" spans="1:15" x14ac:dyDescent="0.2">
      <c r="A159" s="104"/>
      <c r="B159" s="104"/>
      <c r="C159" s="104"/>
      <c r="D159" s="104"/>
      <c r="E159" s="104"/>
      <c r="F159" s="104"/>
      <c r="G159" s="104"/>
      <c r="H159" s="104"/>
      <c r="I159" s="104"/>
      <c r="J159" s="104"/>
      <c r="K159" s="104"/>
      <c r="L159" s="104"/>
      <c r="M159" s="104"/>
      <c r="N159" s="104"/>
      <c r="O159" s="104"/>
    </row>
    <row r="160" spans="1:15" x14ac:dyDescent="0.2">
      <c r="A160" s="104"/>
      <c r="B160" s="104"/>
      <c r="C160" s="104"/>
      <c r="D160" s="104"/>
      <c r="E160" s="104"/>
      <c r="F160" s="104"/>
      <c r="G160" s="104"/>
      <c r="H160" s="104"/>
      <c r="I160" s="104"/>
      <c r="J160" s="104"/>
      <c r="K160" s="104"/>
      <c r="L160" s="104"/>
      <c r="M160" s="104"/>
      <c r="N160" s="104"/>
      <c r="O160" s="104"/>
    </row>
    <row r="161" spans="1:15" x14ac:dyDescent="0.2">
      <c r="A161" s="104"/>
      <c r="B161" s="104"/>
      <c r="C161" s="104"/>
      <c r="D161" s="104"/>
      <c r="E161" s="104"/>
      <c r="F161" s="104"/>
      <c r="G161" s="104"/>
      <c r="H161" s="104"/>
      <c r="I161" s="104"/>
      <c r="J161" s="104"/>
      <c r="K161" s="104"/>
      <c r="L161" s="104"/>
      <c r="M161" s="104"/>
      <c r="N161" s="104"/>
      <c r="O161" s="104"/>
    </row>
    <row r="162" spans="1:15" x14ac:dyDescent="0.2">
      <c r="A162" s="104"/>
      <c r="B162" s="104"/>
      <c r="C162" s="104"/>
      <c r="D162" s="104"/>
      <c r="E162" s="104"/>
      <c r="F162" s="104"/>
      <c r="G162" s="104"/>
      <c r="H162" s="104"/>
      <c r="I162" s="104"/>
      <c r="J162" s="104"/>
      <c r="K162" s="104"/>
      <c r="L162" s="104"/>
      <c r="M162" s="104"/>
      <c r="N162" s="104"/>
      <c r="O162" s="104"/>
    </row>
    <row r="163" spans="1:15" x14ac:dyDescent="0.2">
      <c r="A163" s="104"/>
      <c r="B163" s="104"/>
      <c r="C163" s="104"/>
      <c r="D163" s="104"/>
      <c r="E163" s="104"/>
      <c r="F163" s="104"/>
      <c r="G163" s="104"/>
      <c r="H163" s="104"/>
      <c r="I163" s="104"/>
      <c r="J163" s="104"/>
      <c r="K163" s="104"/>
      <c r="L163" s="104"/>
      <c r="M163" s="104"/>
      <c r="N163" s="104"/>
      <c r="O163" s="104"/>
    </row>
    <row r="164" spans="1:15" x14ac:dyDescent="0.2">
      <c r="A164" s="104"/>
      <c r="B164" s="104"/>
      <c r="C164" s="104"/>
      <c r="D164" s="104"/>
      <c r="E164" s="104"/>
      <c r="F164" s="104"/>
      <c r="G164" s="104"/>
      <c r="H164" s="104"/>
      <c r="I164" s="104"/>
      <c r="J164" s="104"/>
      <c r="K164" s="104"/>
      <c r="L164" s="104"/>
      <c r="M164" s="104"/>
      <c r="N164" s="104"/>
      <c r="O164" s="104"/>
    </row>
    <row r="165" spans="1:15" x14ac:dyDescent="0.2">
      <c r="A165" s="104"/>
      <c r="B165" s="104"/>
      <c r="C165" s="104"/>
      <c r="D165" s="104"/>
      <c r="E165" s="104"/>
      <c r="F165" s="104"/>
      <c r="G165" s="104"/>
      <c r="H165" s="104"/>
      <c r="I165" s="104"/>
      <c r="J165" s="104"/>
      <c r="K165" s="104"/>
      <c r="L165" s="104"/>
      <c r="M165" s="104"/>
      <c r="N165" s="104"/>
      <c r="O165" s="104"/>
    </row>
    <row r="166" spans="1:15" x14ac:dyDescent="0.2">
      <c r="A166" s="104"/>
      <c r="B166" s="104"/>
      <c r="C166" s="104"/>
      <c r="D166" s="104"/>
      <c r="E166" s="104"/>
      <c r="F166" s="104"/>
      <c r="G166" s="104"/>
      <c r="H166" s="104"/>
      <c r="I166" s="104"/>
      <c r="J166" s="104"/>
      <c r="K166" s="104"/>
      <c r="L166" s="104"/>
      <c r="M166" s="104"/>
      <c r="N166" s="104"/>
      <c r="O166" s="104"/>
    </row>
    <row r="167" spans="1:15" x14ac:dyDescent="0.2">
      <c r="A167" s="104"/>
      <c r="B167" s="104"/>
      <c r="C167" s="104"/>
      <c r="D167" s="104"/>
      <c r="E167" s="104"/>
      <c r="F167" s="104"/>
      <c r="G167" s="104"/>
      <c r="H167" s="104"/>
      <c r="I167" s="104"/>
      <c r="J167" s="104"/>
      <c r="K167" s="104"/>
      <c r="L167" s="104"/>
      <c r="M167" s="104"/>
      <c r="N167" s="104"/>
      <c r="O167" s="104"/>
    </row>
    <row r="168" spans="1:15" x14ac:dyDescent="0.2">
      <c r="A168" s="104"/>
      <c r="B168" s="104"/>
      <c r="C168" s="104"/>
      <c r="D168" s="104"/>
      <c r="E168" s="104"/>
      <c r="F168" s="104"/>
      <c r="G168" s="104"/>
      <c r="H168" s="104"/>
      <c r="I168" s="104"/>
      <c r="J168" s="104"/>
      <c r="K168" s="104"/>
      <c r="L168" s="104"/>
      <c r="M168" s="104"/>
      <c r="N168" s="104"/>
      <c r="O168" s="104"/>
    </row>
    <row r="169" spans="1:15" x14ac:dyDescent="0.2">
      <c r="A169" s="104"/>
      <c r="B169" s="104"/>
      <c r="C169" s="104"/>
      <c r="D169" s="104"/>
      <c r="E169" s="104"/>
      <c r="F169" s="104"/>
      <c r="G169" s="104"/>
      <c r="H169" s="104"/>
      <c r="I169" s="104"/>
      <c r="J169" s="104"/>
      <c r="K169" s="104"/>
      <c r="L169" s="104"/>
      <c r="M169" s="104"/>
      <c r="N169" s="104"/>
      <c r="O169" s="104"/>
    </row>
    <row r="170" spans="1:15" x14ac:dyDescent="0.2">
      <c r="A170" s="104"/>
      <c r="B170" s="104"/>
      <c r="C170" s="104"/>
      <c r="D170" s="104"/>
      <c r="E170" s="104"/>
      <c r="F170" s="104"/>
      <c r="G170" s="104"/>
      <c r="H170" s="104"/>
      <c r="I170" s="104"/>
      <c r="J170" s="104"/>
      <c r="K170" s="104"/>
      <c r="L170" s="104"/>
      <c r="M170" s="104"/>
      <c r="N170" s="104"/>
      <c r="O170" s="104"/>
    </row>
    <row r="171" spans="1:15" x14ac:dyDescent="0.2">
      <c r="A171" s="104"/>
      <c r="B171" s="104"/>
      <c r="C171" s="104"/>
      <c r="D171" s="104"/>
      <c r="E171" s="104"/>
      <c r="F171" s="104"/>
      <c r="G171" s="104"/>
      <c r="H171" s="104"/>
      <c r="I171" s="104"/>
      <c r="J171" s="104"/>
      <c r="K171" s="104"/>
      <c r="L171" s="104"/>
      <c r="M171" s="104"/>
      <c r="N171" s="104"/>
      <c r="O171" s="104"/>
    </row>
    <row r="172" spans="1:15" x14ac:dyDescent="0.2">
      <c r="A172" s="104"/>
      <c r="B172" s="104"/>
      <c r="C172" s="104"/>
      <c r="D172" s="104"/>
      <c r="E172" s="104"/>
      <c r="F172" s="104"/>
      <c r="G172" s="104"/>
      <c r="H172" s="104"/>
      <c r="I172" s="104"/>
      <c r="J172" s="104"/>
      <c r="K172" s="104"/>
      <c r="L172" s="104"/>
      <c r="M172" s="104"/>
      <c r="N172" s="104"/>
      <c r="O172" s="104"/>
    </row>
    <row r="173" spans="1:15" x14ac:dyDescent="0.2">
      <c r="A173" s="104"/>
      <c r="B173" s="104"/>
      <c r="C173" s="104"/>
      <c r="D173" s="104"/>
      <c r="E173" s="104"/>
      <c r="F173" s="104"/>
      <c r="G173" s="104"/>
      <c r="H173" s="104"/>
      <c r="I173" s="104"/>
      <c r="J173" s="104"/>
      <c r="K173" s="104"/>
      <c r="L173" s="104"/>
      <c r="M173" s="104"/>
      <c r="N173" s="104"/>
      <c r="O173" s="104"/>
    </row>
    <row r="174" spans="1:15" x14ac:dyDescent="0.2">
      <c r="A174" s="104"/>
      <c r="B174" s="104"/>
      <c r="C174" s="104"/>
      <c r="D174" s="104"/>
      <c r="E174" s="104"/>
      <c r="F174" s="104"/>
      <c r="G174" s="104"/>
      <c r="H174" s="104"/>
      <c r="I174" s="104"/>
      <c r="J174" s="104"/>
      <c r="K174" s="104"/>
      <c r="L174" s="104"/>
      <c r="M174" s="104"/>
      <c r="N174" s="104"/>
      <c r="O174" s="104"/>
    </row>
    <row r="175" spans="1:15" x14ac:dyDescent="0.2">
      <c r="A175" s="104"/>
      <c r="B175" s="104"/>
      <c r="C175" s="104"/>
      <c r="D175" s="104"/>
      <c r="E175" s="104"/>
      <c r="F175" s="104"/>
      <c r="G175" s="104"/>
      <c r="H175" s="104"/>
      <c r="I175" s="104"/>
      <c r="J175" s="104"/>
      <c r="K175" s="104"/>
      <c r="L175" s="104"/>
      <c r="M175" s="104"/>
      <c r="N175" s="104"/>
      <c r="O175" s="104"/>
    </row>
    <row r="176" spans="1:15" x14ac:dyDescent="0.2">
      <c r="A176" s="104"/>
      <c r="B176" s="104"/>
      <c r="C176" s="104"/>
      <c r="D176" s="104"/>
      <c r="E176" s="104"/>
      <c r="F176" s="104"/>
      <c r="G176" s="104"/>
      <c r="H176" s="104"/>
      <c r="I176" s="104"/>
      <c r="J176" s="104"/>
      <c r="K176" s="104"/>
      <c r="L176" s="104"/>
      <c r="M176" s="104"/>
      <c r="N176" s="104"/>
      <c r="O176" s="104"/>
    </row>
    <row r="177" spans="1:15" x14ac:dyDescent="0.2">
      <c r="A177" s="104"/>
      <c r="B177" s="104"/>
      <c r="C177" s="104"/>
      <c r="D177" s="104"/>
      <c r="E177" s="104"/>
      <c r="F177" s="104"/>
      <c r="G177" s="104"/>
      <c r="H177" s="104"/>
      <c r="I177" s="104"/>
      <c r="J177" s="104"/>
      <c r="K177" s="104"/>
      <c r="L177" s="104"/>
      <c r="M177" s="104"/>
      <c r="N177" s="104"/>
      <c r="O177" s="104"/>
    </row>
    <row r="178" spans="1:15" x14ac:dyDescent="0.2">
      <c r="A178" s="104"/>
      <c r="B178" s="104"/>
      <c r="C178" s="104"/>
      <c r="D178" s="104"/>
      <c r="E178" s="104"/>
      <c r="F178" s="104"/>
      <c r="G178" s="104"/>
      <c r="H178" s="104"/>
      <c r="I178" s="104"/>
      <c r="J178" s="104"/>
      <c r="K178" s="104"/>
      <c r="L178" s="104"/>
      <c r="M178" s="104"/>
      <c r="N178" s="104"/>
      <c r="O178" s="104"/>
    </row>
    <row r="179" spans="1:15" x14ac:dyDescent="0.2">
      <c r="A179" s="104"/>
      <c r="B179" s="104"/>
      <c r="C179" s="104"/>
      <c r="D179" s="104"/>
      <c r="E179" s="104"/>
      <c r="F179" s="104"/>
      <c r="G179" s="104"/>
      <c r="H179" s="104"/>
      <c r="I179" s="104"/>
      <c r="J179" s="104"/>
      <c r="K179" s="104"/>
      <c r="L179" s="104"/>
      <c r="M179" s="104"/>
      <c r="N179" s="104"/>
      <c r="O179" s="104"/>
    </row>
    <row r="180" spans="1:15" x14ac:dyDescent="0.2">
      <c r="A180" s="104"/>
      <c r="B180" s="104"/>
      <c r="C180" s="104"/>
      <c r="D180" s="104"/>
      <c r="E180" s="104"/>
      <c r="F180" s="104"/>
      <c r="G180" s="104"/>
      <c r="H180" s="104"/>
      <c r="I180" s="104"/>
      <c r="J180" s="104"/>
      <c r="K180" s="104"/>
      <c r="L180" s="104"/>
      <c r="M180" s="104"/>
      <c r="N180" s="104"/>
      <c r="O180" s="104"/>
    </row>
    <row r="181" spans="1:15" x14ac:dyDescent="0.2">
      <c r="A181" s="104"/>
      <c r="B181" s="104"/>
      <c r="C181" s="104"/>
      <c r="D181" s="104"/>
      <c r="E181" s="104"/>
      <c r="F181" s="104"/>
      <c r="G181" s="104"/>
      <c r="H181" s="104"/>
      <c r="I181" s="104"/>
      <c r="J181" s="104"/>
      <c r="K181" s="104"/>
      <c r="L181" s="104"/>
      <c r="M181" s="104"/>
      <c r="N181" s="104"/>
      <c r="O181" s="104"/>
    </row>
    <row r="182" spans="1:15" x14ac:dyDescent="0.2">
      <c r="A182" s="104"/>
      <c r="B182" s="104"/>
      <c r="C182" s="104"/>
      <c r="D182" s="104"/>
      <c r="E182" s="104"/>
      <c r="F182" s="104"/>
      <c r="G182" s="104"/>
      <c r="H182" s="104"/>
      <c r="I182" s="104"/>
      <c r="J182" s="104"/>
      <c r="K182" s="104"/>
      <c r="L182" s="104"/>
      <c r="M182" s="104"/>
      <c r="N182" s="104"/>
      <c r="O182" s="104"/>
    </row>
    <row r="183" spans="1:15" x14ac:dyDescent="0.2">
      <c r="A183" s="104"/>
      <c r="B183" s="104"/>
      <c r="C183" s="104"/>
      <c r="D183" s="104"/>
      <c r="E183" s="104"/>
      <c r="F183" s="104"/>
      <c r="G183" s="104"/>
      <c r="H183" s="104"/>
      <c r="I183" s="104"/>
      <c r="J183" s="104"/>
      <c r="K183" s="104"/>
      <c r="L183" s="104"/>
      <c r="M183" s="104"/>
      <c r="N183" s="104"/>
      <c r="O183" s="104"/>
    </row>
    <row r="184" spans="1:15" x14ac:dyDescent="0.2">
      <c r="A184" s="104"/>
      <c r="B184" s="104"/>
      <c r="C184" s="104"/>
      <c r="D184" s="104"/>
      <c r="E184" s="104"/>
      <c r="F184" s="104"/>
      <c r="G184" s="104"/>
      <c r="H184" s="104"/>
      <c r="I184" s="104"/>
      <c r="J184" s="104"/>
      <c r="K184" s="104"/>
      <c r="L184" s="104"/>
      <c r="M184" s="104"/>
      <c r="N184" s="104"/>
      <c r="O184" s="104"/>
    </row>
    <row r="185" spans="1:15" x14ac:dyDescent="0.2">
      <c r="A185" s="104"/>
      <c r="B185" s="104"/>
      <c r="C185" s="104"/>
      <c r="D185" s="104"/>
      <c r="E185" s="104"/>
      <c r="F185" s="104"/>
      <c r="G185" s="104"/>
      <c r="H185" s="104"/>
      <c r="I185" s="104"/>
      <c r="J185" s="104"/>
      <c r="K185" s="104"/>
      <c r="L185" s="104"/>
      <c r="M185" s="104"/>
      <c r="N185" s="104"/>
      <c r="O185" s="104"/>
    </row>
    <row r="186" spans="1:15" x14ac:dyDescent="0.2">
      <c r="A186" s="104"/>
      <c r="B186" s="104"/>
      <c r="C186" s="104"/>
      <c r="D186" s="104"/>
      <c r="E186" s="104"/>
      <c r="F186" s="104"/>
      <c r="G186" s="104"/>
      <c r="H186" s="104"/>
      <c r="I186" s="104"/>
      <c r="J186" s="104"/>
      <c r="K186" s="104"/>
      <c r="L186" s="104"/>
      <c r="M186" s="104"/>
      <c r="N186" s="104"/>
      <c r="O186" s="104"/>
    </row>
    <row r="187" spans="1:15" x14ac:dyDescent="0.2">
      <c r="A187" s="104"/>
      <c r="B187" s="104"/>
      <c r="C187" s="104"/>
      <c r="D187" s="104"/>
      <c r="E187" s="104"/>
      <c r="F187" s="104"/>
      <c r="G187" s="104"/>
      <c r="H187" s="104"/>
      <c r="I187" s="104"/>
      <c r="J187" s="104"/>
      <c r="K187" s="104"/>
      <c r="L187" s="104"/>
      <c r="M187" s="104"/>
      <c r="N187" s="104"/>
      <c r="O187" s="104"/>
    </row>
    <row r="188" spans="1:15" x14ac:dyDescent="0.2">
      <c r="A188" s="104"/>
      <c r="B188" s="104"/>
      <c r="C188" s="104"/>
      <c r="D188" s="104"/>
      <c r="E188" s="104"/>
      <c r="F188" s="104"/>
      <c r="G188" s="104"/>
      <c r="H188" s="104"/>
      <c r="I188" s="104"/>
      <c r="J188" s="104"/>
      <c r="K188" s="104"/>
      <c r="L188" s="104"/>
      <c r="M188" s="104"/>
      <c r="N188" s="104"/>
      <c r="O188" s="104"/>
    </row>
    <row r="189" spans="1:15" x14ac:dyDescent="0.2">
      <c r="A189" s="104"/>
      <c r="B189" s="104"/>
      <c r="C189" s="104"/>
      <c r="D189" s="104"/>
      <c r="E189" s="104"/>
      <c r="F189" s="104"/>
      <c r="G189" s="104"/>
      <c r="H189" s="104"/>
      <c r="I189" s="104"/>
      <c r="J189" s="104"/>
      <c r="K189" s="104"/>
      <c r="L189" s="104"/>
      <c r="M189" s="104"/>
      <c r="N189" s="104"/>
      <c r="O189" s="104"/>
    </row>
    <row r="190" spans="1:15" x14ac:dyDescent="0.2">
      <c r="A190" s="104"/>
      <c r="B190" s="104"/>
      <c r="C190" s="104"/>
      <c r="D190" s="104"/>
      <c r="E190" s="104"/>
      <c r="F190" s="104"/>
      <c r="G190" s="104"/>
      <c r="H190" s="104"/>
      <c r="I190" s="104"/>
      <c r="J190" s="104"/>
      <c r="K190" s="104"/>
      <c r="L190" s="104"/>
      <c r="M190" s="104"/>
      <c r="N190" s="104"/>
      <c r="O190" s="104"/>
    </row>
    <row r="191" spans="1:15" x14ac:dyDescent="0.2">
      <c r="A191" s="104"/>
      <c r="B191" s="104"/>
      <c r="C191" s="104"/>
      <c r="D191" s="104"/>
      <c r="E191" s="104"/>
      <c r="F191" s="104"/>
      <c r="G191" s="104"/>
      <c r="H191" s="104"/>
      <c r="I191" s="104"/>
      <c r="J191" s="104"/>
      <c r="K191" s="104"/>
      <c r="L191" s="104"/>
      <c r="M191" s="104"/>
      <c r="N191" s="104"/>
      <c r="O191" s="104"/>
    </row>
    <row r="192" spans="1:15" x14ac:dyDescent="0.2">
      <c r="A192" s="104"/>
      <c r="B192" s="104"/>
      <c r="C192" s="104"/>
      <c r="D192" s="104"/>
      <c r="E192" s="104"/>
      <c r="F192" s="104"/>
      <c r="G192" s="104"/>
      <c r="H192" s="104"/>
      <c r="I192" s="104"/>
      <c r="J192" s="104"/>
      <c r="K192" s="104"/>
      <c r="L192" s="104"/>
      <c r="M192" s="104"/>
      <c r="N192" s="104"/>
      <c r="O192" s="104"/>
    </row>
    <row r="193" spans="1:15" x14ac:dyDescent="0.2">
      <c r="A193" s="104"/>
      <c r="B193" s="104"/>
      <c r="C193" s="104"/>
      <c r="D193" s="104"/>
      <c r="E193" s="104"/>
      <c r="F193" s="104"/>
      <c r="G193" s="104"/>
      <c r="H193" s="104"/>
      <c r="I193" s="104"/>
      <c r="J193" s="104"/>
      <c r="K193" s="104"/>
      <c r="L193" s="104"/>
      <c r="M193" s="104"/>
      <c r="N193" s="104"/>
      <c r="O193" s="104"/>
    </row>
    <row r="194" spans="1:15" x14ac:dyDescent="0.2">
      <c r="A194" s="104"/>
      <c r="B194" s="104"/>
      <c r="C194" s="104"/>
      <c r="D194" s="104"/>
      <c r="E194" s="104"/>
      <c r="F194" s="104"/>
      <c r="G194" s="104"/>
      <c r="H194" s="104"/>
      <c r="I194" s="104"/>
      <c r="J194" s="104"/>
      <c r="K194" s="104"/>
      <c r="L194" s="104"/>
      <c r="M194" s="104"/>
      <c r="N194" s="104"/>
      <c r="O194" s="104"/>
    </row>
    <row r="195" spans="1:15" x14ac:dyDescent="0.2">
      <c r="A195" s="104"/>
      <c r="B195" s="104"/>
      <c r="C195" s="104"/>
      <c r="D195" s="104"/>
      <c r="E195" s="104"/>
      <c r="F195" s="104"/>
      <c r="G195" s="104"/>
      <c r="H195" s="104"/>
      <c r="I195" s="104"/>
      <c r="J195" s="104"/>
      <c r="K195" s="104"/>
      <c r="L195" s="104"/>
      <c r="M195" s="104"/>
      <c r="N195" s="104"/>
      <c r="O195" s="104"/>
    </row>
    <row r="196" spans="1:15" x14ac:dyDescent="0.2">
      <c r="A196" s="104"/>
      <c r="B196" s="104"/>
      <c r="C196" s="104"/>
      <c r="D196" s="104"/>
      <c r="E196" s="104"/>
      <c r="F196" s="104"/>
      <c r="G196" s="104"/>
      <c r="H196" s="104"/>
      <c r="I196" s="104"/>
      <c r="J196" s="104"/>
      <c r="K196" s="104"/>
      <c r="L196" s="104"/>
      <c r="M196" s="104"/>
      <c r="N196" s="104"/>
      <c r="O196" s="104"/>
    </row>
    <row r="197" spans="1:15" x14ac:dyDescent="0.2">
      <c r="A197" s="104"/>
      <c r="B197" s="104"/>
      <c r="C197" s="104"/>
      <c r="D197" s="104"/>
      <c r="E197" s="104"/>
      <c r="F197" s="104"/>
      <c r="G197" s="104"/>
      <c r="H197" s="104"/>
      <c r="I197" s="104"/>
      <c r="J197" s="104"/>
      <c r="K197" s="104"/>
      <c r="L197" s="104"/>
      <c r="M197" s="104"/>
      <c r="N197" s="104"/>
      <c r="O197" s="104"/>
    </row>
    <row r="198" spans="1:15" x14ac:dyDescent="0.2">
      <c r="A198" s="104"/>
      <c r="B198" s="104"/>
      <c r="C198" s="104"/>
      <c r="D198" s="104"/>
      <c r="E198" s="104"/>
      <c r="F198" s="104"/>
      <c r="G198" s="104"/>
      <c r="H198" s="104"/>
      <c r="I198" s="104"/>
      <c r="J198" s="104"/>
      <c r="K198" s="104"/>
      <c r="L198" s="104"/>
      <c r="M198" s="104"/>
      <c r="N198" s="104"/>
      <c r="O198" s="104"/>
    </row>
    <row r="199" spans="1:15" x14ac:dyDescent="0.2">
      <c r="A199" s="104"/>
      <c r="B199" s="104"/>
      <c r="C199" s="104"/>
      <c r="D199" s="104"/>
      <c r="E199" s="104"/>
      <c r="F199" s="104"/>
      <c r="G199" s="104"/>
      <c r="H199" s="104"/>
      <c r="I199" s="104"/>
      <c r="J199" s="104"/>
      <c r="K199" s="104"/>
      <c r="L199" s="104"/>
      <c r="M199" s="104"/>
      <c r="N199" s="104"/>
      <c r="O199" s="104"/>
    </row>
    <row r="200" spans="1:15" x14ac:dyDescent="0.2">
      <c r="A200" s="239"/>
      <c r="B200" s="239"/>
      <c r="C200" s="239"/>
      <c r="D200" s="239"/>
      <c r="E200" s="239"/>
      <c r="F200" s="239"/>
      <c r="G200" s="239"/>
      <c r="H200" s="239"/>
      <c r="I200" s="239"/>
      <c r="J200" s="239"/>
      <c r="K200" s="239"/>
      <c r="L200" s="239"/>
      <c r="M200" s="239"/>
      <c r="N200" s="239"/>
      <c r="O200" s="239"/>
    </row>
    <row r="201" spans="1:15" x14ac:dyDescent="0.2">
      <c r="A201" s="104"/>
      <c r="B201" s="104"/>
      <c r="C201" s="104"/>
      <c r="D201" s="104"/>
      <c r="E201" s="104"/>
      <c r="F201" s="104"/>
      <c r="G201" s="104"/>
      <c r="H201" s="104"/>
      <c r="I201" s="104"/>
      <c r="J201" s="104"/>
      <c r="K201" s="104"/>
      <c r="L201" s="104"/>
      <c r="M201" s="104"/>
      <c r="N201" s="104"/>
      <c r="O201" s="104"/>
    </row>
    <row r="202" spans="1:15" x14ac:dyDescent="0.2">
      <c r="A202" s="104"/>
      <c r="B202" s="104"/>
      <c r="C202" s="104"/>
      <c r="D202" s="104"/>
      <c r="E202" s="104"/>
      <c r="F202" s="104"/>
      <c r="G202" s="104"/>
      <c r="H202" s="104"/>
      <c r="I202" s="104"/>
      <c r="J202" s="104"/>
      <c r="K202" s="104"/>
      <c r="L202" s="104"/>
      <c r="M202" s="104"/>
      <c r="N202" s="104"/>
      <c r="O202" s="104"/>
    </row>
    <row r="203" spans="1:15" x14ac:dyDescent="0.2">
      <c r="A203" s="104"/>
      <c r="B203" s="104"/>
      <c r="C203" s="104"/>
      <c r="D203" s="104"/>
      <c r="E203" s="104"/>
      <c r="F203" s="104"/>
      <c r="G203" s="104"/>
      <c r="H203" s="104"/>
      <c r="I203" s="104"/>
      <c r="J203" s="104"/>
      <c r="K203" s="104"/>
      <c r="L203" s="104"/>
      <c r="M203" s="104"/>
      <c r="N203" s="104"/>
      <c r="O203" s="104"/>
    </row>
    <row r="204" spans="1:15" x14ac:dyDescent="0.2">
      <c r="A204" s="104"/>
      <c r="B204" s="104"/>
      <c r="C204" s="104"/>
      <c r="D204" s="104"/>
      <c r="E204" s="104"/>
      <c r="F204" s="104"/>
      <c r="G204" s="104"/>
      <c r="H204" s="104"/>
      <c r="I204" s="104"/>
      <c r="J204" s="104"/>
      <c r="K204" s="104"/>
      <c r="L204" s="104"/>
      <c r="M204" s="104"/>
      <c r="N204" s="104"/>
      <c r="O204" s="104"/>
    </row>
    <row r="205" spans="1:15" x14ac:dyDescent="0.2">
      <c r="A205" s="104"/>
      <c r="B205" s="104"/>
      <c r="C205" s="104"/>
      <c r="D205" s="104"/>
      <c r="E205" s="104"/>
      <c r="F205" s="104"/>
      <c r="G205" s="104"/>
      <c r="H205" s="104"/>
      <c r="I205" s="104"/>
      <c r="J205" s="104"/>
      <c r="K205" s="104"/>
      <c r="L205" s="104"/>
      <c r="M205" s="104"/>
      <c r="N205" s="104"/>
      <c r="O205" s="104"/>
    </row>
    <row r="206" spans="1:15" x14ac:dyDescent="0.2">
      <c r="A206" s="104"/>
      <c r="B206" s="104"/>
      <c r="C206" s="104"/>
      <c r="D206" s="104"/>
      <c r="E206" s="104"/>
      <c r="F206" s="104"/>
      <c r="G206" s="104"/>
      <c r="H206" s="104"/>
      <c r="I206" s="104"/>
      <c r="J206" s="104"/>
      <c r="K206" s="104"/>
      <c r="L206" s="104"/>
      <c r="M206" s="104"/>
      <c r="N206" s="104"/>
      <c r="O206" s="104"/>
    </row>
    <row r="207" spans="1:15" x14ac:dyDescent="0.2">
      <c r="A207" s="104"/>
      <c r="B207" s="104"/>
      <c r="C207" s="104"/>
      <c r="D207" s="104"/>
      <c r="E207" s="104"/>
      <c r="F207" s="104"/>
      <c r="G207" s="104"/>
      <c r="H207" s="104"/>
      <c r="I207" s="104"/>
      <c r="J207" s="104"/>
      <c r="K207" s="104"/>
      <c r="L207" s="104"/>
      <c r="M207" s="104"/>
      <c r="N207" s="104"/>
      <c r="O207" s="104"/>
    </row>
  </sheetData>
  <mergeCells count="4">
    <mergeCell ref="J2:K2"/>
    <mergeCell ref="A1:H1"/>
    <mergeCell ref="A2:H3"/>
    <mergeCell ref="A6:O6"/>
  </mergeCells>
  <phoneticPr fontId="0" type="noConversion"/>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Sheet15.subscribeToPorts">
                <anchor moveWithCells="1">
                  <from>
                    <xdr:col>0</xdr:col>
                    <xdr:colOff>219075</xdr:colOff>
                    <xdr:row>1</xdr:row>
                    <xdr:rowOff>57150</xdr:rowOff>
                  </from>
                  <to>
                    <xdr:col>1</xdr:col>
                    <xdr:colOff>962025</xdr:colOff>
                    <xdr:row>2</xdr:row>
                    <xdr:rowOff>95250</xdr:rowOff>
                  </to>
                </anchor>
              </controlPr>
            </control>
          </mc:Choice>
        </mc:AlternateContent>
        <mc:AlternateContent xmlns:mc="http://schemas.openxmlformats.org/markup-compatibility/2006">
          <mc:Choice Requires="x14">
            <control shapeId="27650" r:id="rId5" name="Button 2">
              <controlPr defaultSize="0" print="0" autoFill="0" autoPict="0" macro="[0]!Sheet15.cancelPortsSubscription">
                <anchor moveWithCells="1" sizeWithCells="1">
                  <from>
                    <xdr:col>2</xdr:col>
                    <xdr:colOff>38100</xdr:colOff>
                    <xdr:row>1</xdr:row>
                    <xdr:rowOff>57150</xdr:rowOff>
                  </from>
                  <to>
                    <xdr:col>4</xdr:col>
                    <xdr:colOff>323850</xdr:colOff>
                    <xdr:row>2</xdr:row>
                    <xdr:rowOff>95250</xdr:rowOff>
                  </to>
                </anchor>
              </controlPr>
            </control>
          </mc:Choice>
        </mc:AlternateContent>
        <mc:AlternateContent xmlns:mc="http://schemas.openxmlformats.org/markup-compatibility/2006">
          <mc:Choice Requires="x14">
            <control shapeId="27651" r:id="rId6" name="Button 3">
              <controlPr defaultSize="0" print="0" autoFill="0" autoPict="0" macro="[0]!Sheet15.clearPorts">
                <anchor moveWithCells="1" sizeWithCells="1">
                  <from>
                    <xdr:col>4</xdr:col>
                    <xdr:colOff>638175</xdr:colOff>
                    <xdr:row>1</xdr:row>
                    <xdr:rowOff>57150</xdr:rowOff>
                  </from>
                  <to>
                    <xdr:col>6</xdr:col>
                    <xdr:colOff>466725</xdr:colOff>
                    <xdr:row>2</xdr:row>
                    <xdr:rowOff>95250</xdr:rowOff>
                  </to>
                </anchor>
              </controlPr>
            </control>
          </mc:Choice>
        </mc:AlternateContent>
        <mc:AlternateContent xmlns:mc="http://schemas.openxmlformats.org/markup-compatibility/2006">
          <mc:Choice Requires="x14">
            <control shapeId="27652" r:id="rId7" name="Button 4">
              <controlPr defaultSize="0" print="0" autoFill="0" autoPict="0" macro="[0]!Sheet15.onShowError">
                <anchor moveWithCells="1" sizeWithCells="1">
                  <from>
                    <xdr:col>6</xdr:col>
                    <xdr:colOff>790575</xdr:colOff>
                    <xdr:row>1</xdr:row>
                    <xdr:rowOff>57150</xdr:rowOff>
                  </from>
                  <to>
                    <xdr:col>7</xdr:col>
                    <xdr:colOff>628650</xdr:colOff>
                    <xdr:row>2</xdr:row>
                    <xdr:rowOff>95250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DV209"/>
  <sheetViews>
    <sheetView zoomScale="80" zoomScaleNormal="80" workbookViewId="0">
      <pane ySplit="9" topLeftCell="A10" activePane="bottomLeft" state="frozenSplit"/>
      <selection pane="bottomLeft" activeCell="D5" sqref="D5:E5"/>
    </sheetView>
  </sheetViews>
  <sheetFormatPr defaultRowHeight="12.75" x14ac:dyDescent="0.2"/>
  <cols>
    <col min="1" max="1" width="20" customWidth="1"/>
    <col min="3" max="3" width="15.42578125" customWidth="1"/>
    <col min="5" max="5" width="9.140625" style="54"/>
    <col min="7" max="7" width="12.42578125" customWidth="1"/>
    <col min="8" max="8" width="11" customWidth="1"/>
    <col min="9" max="9" width="16.42578125" customWidth="1"/>
    <col min="10" max="10" width="11.85546875" customWidth="1"/>
    <col min="11" max="11" width="11.5703125" customWidth="1"/>
    <col min="12" max="12" width="10" customWidth="1"/>
    <col min="13" max="13" width="23.42578125" style="68" customWidth="1"/>
    <col min="14" max="14" width="10.140625" style="64" customWidth="1"/>
    <col min="15" max="15" width="12.28515625" style="54" customWidth="1"/>
    <col min="16" max="16" width="15.5703125" style="64" customWidth="1"/>
    <col min="17" max="17" width="10.5703125" style="64" customWidth="1"/>
    <col min="18" max="18" width="16.42578125" style="57" customWidth="1"/>
    <col min="19" max="19" width="38.5703125" style="57" customWidth="1"/>
    <col min="20" max="20" width="12" style="26" customWidth="1"/>
    <col min="21" max="21" width="11.42578125" style="28" customWidth="1"/>
    <col min="22" max="22" width="11.5703125" style="57" customWidth="1"/>
    <col min="23" max="23" width="10" style="57" bestFit="1" customWidth="1"/>
  </cols>
  <sheetData>
    <row r="1" spans="1:126" x14ac:dyDescent="0.2">
      <c r="A1" s="342" t="s">
        <v>47</v>
      </c>
      <c r="B1" s="276"/>
      <c r="C1" s="276"/>
      <c r="D1" s="276"/>
      <c r="E1" s="276"/>
      <c r="F1" s="276"/>
      <c r="G1" s="276"/>
      <c r="H1" s="276"/>
      <c r="I1" s="276"/>
      <c r="J1" s="277"/>
      <c r="K1" s="25"/>
      <c r="L1" s="25"/>
      <c r="M1" s="25"/>
      <c r="N1" s="25"/>
      <c r="O1" s="25"/>
      <c r="P1" s="25"/>
      <c r="R1"/>
      <c r="S1"/>
      <c r="T1"/>
      <c r="U1"/>
      <c r="V1"/>
      <c r="W1"/>
    </row>
    <row r="2" spans="1:126" ht="28.5" customHeight="1" x14ac:dyDescent="0.2">
      <c r="A2" s="448"/>
      <c r="B2" s="279"/>
      <c r="C2" s="279"/>
      <c r="D2" s="279"/>
      <c r="E2" s="279"/>
      <c r="F2" s="279"/>
      <c r="G2" s="279"/>
      <c r="H2" s="279"/>
      <c r="I2" s="279"/>
      <c r="J2" s="280"/>
      <c r="K2" s="7"/>
      <c r="L2" s="449" t="s">
        <v>297</v>
      </c>
      <c r="M2" s="450"/>
      <c r="N2" s="450"/>
      <c r="O2" s="450"/>
      <c r="P2" s="450"/>
      <c r="Q2" s="451"/>
      <c r="R2" s="47"/>
      <c r="S2" s="81"/>
      <c r="T2"/>
      <c r="U2"/>
      <c r="V2"/>
      <c r="W2"/>
    </row>
    <row r="3" spans="1:126" x14ac:dyDescent="0.2">
      <c r="A3" s="257"/>
      <c r="B3" s="257"/>
      <c r="C3" s="257"/>
      <c r="D3" s="257"/>
      <c r="E3" s="257"/>
      <c r="F3" s="257"/>
      <c r="G3" s="257"/>
      <c r="H3" s="257"/>
      <c r="I3" s="257"/>
      <c r="J3" s="19"/>
      <c r="K3" s="19"/>
      <c r="L3" s="19"/>
      <c r="M3" s="19"/>
      <c r="N3" s="62"/>
      <c r="R3"/>
      <c r="S3"/>
      <c r="T3"/>
      <c r="U3"/>
      <c r="V3"/>
      <c r="W3"/>
    </row>
    <row r="4" spans="1:126" x14ac:dyDescent="0.2">
      <c r="A4" s="82" t="s">
        <v>51</v>
      </c>
      <c r="B4" s="83"/>
      <c r="C4" s="83"/>
      <c r="D4" s="83"/>
      <c r="E4" s="83"/>
      <c r="F4" s="84"/>
      <c r="H4" s="70" t="s">
        <v>152</v>
      </c>
      <c r="I4" s="48"/>
      <c r="J4" s="73">
        <v>12</v>
      </c>
      <c r="K4" s="18"/>
      <c r="L4" s="68"/>
      <c r="M4"/>
      <c r="N4"/>
      <c r="O4"/>
      <c r="P4"/>
      <c r="Q4"/>
      <c r="R4"/>
      <c r="S4"/>
      <c r="T4"/>
      <c r="U4"/>
      <c r="V4"/>
      <c r="W4"/>
    </row>
    <row r="5" spans="1:126" x14ac:dyDescent="0.2">
      <c r="A5" s="452" t="s">
        <v>58</v>
      </c>
      <c r="B5" s="436"/>
      <c r="C5" s="279"/>
      <c r="D5" s="341" t="s">
        <v>498</v>
      </c>
      <c r="E5" s="453"/>
      <c r="F5" s="85"/>
      <c r="H5" s="71" t="s">
        <v>153</v>
      </c>
      <c r="I5" s="72"/>
      <c r="J5" s="22">
        <v>60</v>
      </c>
      <c r="K5" s="85"/>
      <c r="L5" s="68"/>
      <c r="M5"/>
      <c r="N5"/>
      <c r="O5"/>
      <c r="P5"/>
      <c r="Q5"/>
      <c r="R5"/>
      <c r="S5"/>
      <c r="T5"/>
      <c r="U5"/>
      <c r="V5"/>
      <c r="W5"/>
    </row>
    <row r="6" spans="1:126" s="7" customFormat="1" x14ac:dyDescent="0.2">
      <c r="H6" s="47"/>
      <c r="I6"/>
      <c r="J6" s="47"/>
      <c r="K6" s="47"/>
      <c r="L6" s="47"/>
      <c r="M6"/>
      <c r="N6"/>
      <c r="O6"/>
      <c r="P6"/>
      <c r="Q6"/>
      <c r="R6"/>
      <c r="S6"/>
      <c r="T6"/>
      <c r="U6"/>
      <c r="V6"/>
      <c r="W6"/>
      <c r="X6"/>
      <c r="Y6"/>
      <c r="Z6"/>
      <c r="AA6"/>
      <c r="AB6"/>
      <c r="AC6"/>
      <c r="AD6"/>
      <c r="AE6"/>
    </row>
    <row r="7" spans="1:126" x14ac:dyDescent="0.2">
      <c r="A7" s="454" t="s">
        <v>213</v>
      </c>
      <c r="B7" s="305"/>
      <c r="C7" s="305"/>
      <c r="D7" s="305"/>
      <c r="E7" s="305"/>
      <c r="F7" s="305"/>
      <c r="G7" s="305"/>
      <c r="H7" s="305"/>
      <c r="I7" s="305"/>
      <c r="J7" s="305"/>
      <c r="K7" s="305"/>
      <c r="L7" s="305"/>
      <c r="M7" s="256"/>
      <c r="N7" s="256"/>
      <c r="O7" s="256"/>
      <c r="P7" s="305"/>
      <c r="Q7" s="305"/>
      <c r="R7" s="305"/>
      <c r="S7" s="305"/>
      <c r="T7" s="305"/>
      <c r="U7" s="305"/>
      <c r="V7" s="285"/>
      <c r="W7"/>
    </row>
    <row r="8" spans="1:126" x14ac:dyDescent="0.2">
      <c r="A8" s="329" t="s">
        <v>27</v>
      </c>
      <c r="B8" s="305"/>
      <c r="C8" s="305"/>
      <c r="D8" s="305"/>
      <c r="E8" s="305"/>
      <c r="F8" s="305"/>
      <c r="G8" s="305"/>
      <c r="H8" s="305"/>
      <c r="I8" s="305"/>
      <c r="J8" s="305"/>
      <c r="K8" s="285"/>
      <c r="L8" s="329" t="s">
        <v>214</v>
      </c>
      <c r="M8" s="330"/>
      <c r="N8" s="330"/>
      <c r="O8" s="330"/>
      <c r="P8" s="330"/>
      <c r="Q8" s="330"/>
      <c r="R8" s="330"/>
      <c r="S8" s="330"/>
      <c r="T8" s="330"/>
      <c r="U8" s="330"/>
      <c r="V8" s="422"/>
      <c r="W8"/>
    </row>
    <row r="9" spans="1:126" x14ac:dyDescent="0.2">
      <c r="A9" s="9" t="s">
        <v>9</v>
      </c>
      <c r="B9" s="9" t="s">
        <v>21</v>
      </c>
      <c r="C9" s="9" t="s">
        <v>497</v>
      </c>
      <c r="D9" s="9" t="s">
        <v>10</v>
      </c>
      <c r="E9" s="46" t="s">
        <v>23</v>
      </c>
      <c r="F9" s="9" t="s">
        <v>86</v>
      </c>
      <c r="G9" s="9" t="s">
        <v>85</v>
      </c>
      <c r="H9" s="9" t="s">
        <v>12</v>
      </c>
      <c r="I9" s="46" t="s">
        <v>143</v>
      </c>
      <c r="J9" s="9" t="s">
        <v>40</v>
      </c>
      <c r="K9" s="98" t="s">
        <v>117</v>
      </c>
      <c r="L9" s="100" t="s">
        <v>22</v>
      </c>
      <c r="M9" s="55" t="s">
        <v>221</v>
      </c>
      <c r="N9" s="55" t="s">
        <v>215</v>
      </c>
      <c r="O9" s="63" t="s">
        <v>216</v>
      </c>
      <c r="P9" s="55" t="s">
        <v>217</v>
      </c>
      <c r="Q9" s="63" t="s">
        <v>220</v>
      </c>
      <c r="R9" s="63" t="s">
        <v>218</v>
      </c>
      <c r="S9" s="56" t="s">
        <v>219</v>
      </c>
      <c r="T9" s="56" t="s">
        <v>335</v>
      </c>
      <c r="U9" s="56"/>
      <c r="V9" s="56"/>
      <c r="W9" s="155"/>
      <c r="X9" s="7"/>
      <c r="Y9" s="7"/>
      <c r="Z9" s="7"/>
      <c r="AA9" s="7"/>
      <c r="AB9" s="7"/>
      <c r="AC9" s="7"/>
      <c r="AD9" s="7"/>
      <c r="AE9" s="7"/>
      <c r="AF9" s="7"/>
      <c r="AG9" s="7"/>
      <c r="AH9" s="7"/>
      <c r="AI9" s="7"/>
      <c r="AJ9" s="7"/>
      <c r="AK9" s="7"/>
      <c r="AL9" s="7"/>
      <c r="AM9" s="7"/>
      <c r="AN9" s="7"/>
      <c r="AO9" s="7"/>
      <c r="AP9" s="7"/>
      <c r="AQ9" s="7"/>
      <c r="AR9" s="7"/>
      <c r="AS9" s="7"/>
      <c r="AT9" s="7"/>
      <c r="AU9" s="7"/>
      <c r="AV9" s="7"/>
      <c r="AW9" s="7"/>
      <c r="AX9" s="7"/>
      <c r="AY9" s="7"/>
      <c r="AZ9" s="7"/>
      <c r="BA9" s="7"/>
      <c r="BB9" s="7"/>
      <c r="BC9" s="7"/>
      <c r="BD9" s="7"/>
      <c r="BE9" s="7"/>
      <c r="BF9" s="7"/>
      <c r="BG9" s="7"/>
      <c r="BH9" s="7"/>
      <c r="BI9" s="7"/>
      <c r="BJ9" s="7"/>
      <c r="BK9" s="7"/>
      <c r="BL9" s="7"/>
      <c r="BM9" s="7"/>
      <c r="BN9" s="7"/>
      <c r="BO9" s="7"/>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row>
    <row r="10" spans="1:126" x14ac:dyDescent="0.2">
      <c r="A10" s="12"/>
      <c r="B10" s="13"/>
      <c r="C10" s="13"/>
      <c r="D10" s="13"/>
      <c r="E10" s="59"/>
      <c r="F10" s="13"/>
      <c r="G10" s="13"/>
      <c r="H10" s="13"/>
      <c r="I10" s="13"/>
      <c r="J10" s="13"/>
      <c r="K10" s="97"/>
      <c r="L10" s="213"/>
      <c r="M10" s="228"/>
      <c r="N10" s="65"/>
      <c r="O10" s="65"/>
      <c r="P10" s="65"/>
      <c r="Q10" s="65"/>
      <c r="R10" s="65"/>
      <c r="S10" s="213"/>
      <c r="T10" s="213"/>
      <c r="U10" s="58"/>
      <c r="V10" s="58"/>
      <c r="W10"/>
    </row>
    <row r="11" spans="1:126" x14ac:dyDescent="0.2">
      <c r="A11" s="12" t="s">
        <v>32</v>
      </c>
      <c r="B11" s="13"/>
      <c r="C11" s="13"/>
      <c r="D11" s="13"/>
      <c r="E11" s="59"/>
      <c r="F11" s="13"/>
      <c r="G11" s="13"/>
      <c r="H11" s="13"/>
      <c r="I11" s="13"/>
      <c r="J11" s="13"/>
      <c r="K11" s="97"/>
      <c r="L11" s="213"/>
      <c r="M11" s="228"/>
      <c r="N11" s="65"/>
      <c r="O11" s="65"/>
      <c r="P11" s="65"/>
      <c r="Q11" s="65"/>
      <c r="R11" s="65"/>
      <c r="S11" s="213"/>
      <c r="T11" s="213"/>
      <c r="U11" s="58"/>
      <c r="V11" s="58"/>
      <c r="W11"/>
    </row>
    <row r="12" spans="1:126" x14ac:dyDescent="0.2">
      <c r="A12" s="13" t="s">
        <v>479</v>
      </c>
      <c r="B12" s="13" t="s">
        <v>11</v>
      </c>
      <c r="C12" s="244" t="s">
        <v>653</v>
      </c>
      <c r="D12" s="244" t="s">
        <v>653</v>
      </c>
      <c r="E12" s="245" t="s">
        <v>653</v>
      </c>
      <c r="F12" s="244" t="s">
        <v>653</v>
      </c>
      <c r="G12" s="244" t="s">
        <v>653</v>
      </c>
      <c r="H12" s="13" t="s">
        <v>67</v>
      </c>
      <c r="I12" s="205" t="s">
        <v>653</v>
      </c>
      <c r="J12" s="97" t="s">
        <v>43</v>
      </c>
      <c r="K12" s="205" t="s">
        <v>653</v>
      </c>
      <c r="L12" s="213"/>
      <c r="M12" s="228" t="s">
        <v>640</v>
      </c>
      <c r="N12" s="65" t="s">
        <v>488</v>
      </c>
      <c r="O12" s="65" t="s">
        <v>657</v>
      </c>
      <c r="P12" s="65" t="s">
        <v>485</v>
      </c>
      <c r="Q12" s="65">
        <v>0</v>
      </c>
      <c r="R12" s="65">
        <v>1</v>
      </c>
      <c r="S12" s="213" t="s">
        <v>658</v>
      </c>
      <c r="T12" s="213"/>
      <c r="U12" s="15"/>
      <c r="V12" s="58"/>
      <c r="W12"/>
    </row>
    <row r="13" spans="1:126" x14ac:dyDescent="0.2">
      <c r="A13" s="13" t="s">
        <v>643</v>
      </c>
      <c r="B13" s="13" t="s">
        <v>11</v>
      </c>
      <c r="C13" s="244" t="s">
        <v>653</v>
      </c>
      <c r="D13" s="244" t="s">
        <v>653</v>
      </c>
      <c r="E13" s="245" t="s">
        <v>653</v>
      </c>
      <c r="F13" s="244" t="s">
        <v>653</v>
      </c>
      <c r="G13" s="244" t="s">
        <v>653</v>
      </c>
      <c r="H13" s="13" t="s">
        <v>67</v>
      </c>
      <c r="I13" s="205" t="s">
        <v>653</v>
      </c>
      <c r="J13" s="97" t="s">
        <v>43</v>
      </c>
      <c r="K13" s="205"/>
      <c r="L13" s="213"/>
      <c r="M13" s="228" t="s">
        <v>640</v>
      </c>
      <c r="N13" s="65" t="s">
        <v>641</v>
      </c>
      <c r="O13" s="65" t="s">
        <v>657</v>
      </c>
      <c r="P13" s="65" t="s">
        <v>487</v>
      </c>
      <c r="Q13" s="65">
        <v>0</v>
      </c>
      <c r="R13" s="65">
        <v>2</v>
      </c>
      <c r="S13" s="213" t="s">
        <v>677</v>
      </c>
      <c r="T13" s="213"/>
      <c r="U13" s="15"/>
      <c r="V13" s="58"/>
      <c r="W13"/>
    </row>
    <row r="14" spans="1:126" x14ac:dyDescent="0.2">
      <c r="A14" s="13" t="s">
        <v>87</v>
      </c>
      <c r="B14" s="13" t="s">
        <v>11</v>
      </c>
      <c r="C14" s="244" t="s">
        <v>653</v>
      </c>
      <c r="D14" s="244" t="s">
        <v>653</v>
      </c>
      <c r="E14" s="245" t="s">
        <v>653</v>
      </c>
      <c r="F14" s="244" t="s">
        <v>653</v>
      </c>
      <c r="G14" s="244" t="s">
        <v>653</v>
      </c>
      <c r="H14" s="13" t="s">
        <v>67</v>
      </c>
      <c r="I14" s="205" t="s">
        <v>653</v>
      </c>
      <c r="J14" s="97" t="s">
        <v>43</v>
      </c>
      <c r="K14" s="205" t="s">
        <v>653</v>
      </c>
      <c r="L14" s="213"/>
      <c r="M14" s="228" t="s">
        <v>640</v>
      </c>
      <c r="N14" s="67" t="s">
        <v>641</v>
      </c>
      <c r="O14" s="65" t="s">
        <v>657</v>
      </c>
      <c r="P14" s="66" t="s">
        <v>484</v>
      </c>
      <c r="Q14" s="65">
        <v>0</v>
      </c>
      <c r="R14" s="65">
        <v>1</v>
      </c>
      <c r="S14" s="213" t="s">
        <v>659</v>
      </c>
      <c r="T14" s="213"/>
      <c r="U14" s="15"/>
      <c r="V14" s="58"/>
      <c r="W14"/>
    </row>
    <row r="15" spans="1:126" x14ac:dyDescent="0.2">
      <c r="A15" s="13" t="s">
        <v>194</v>
      </c>
      <c r="B15" s="13" t="s">
        <v>11</v>
      </c>
      <c r="C15" s="244" t="s">
        <v>653</v>
      </c>
      <c r="D15" s="244" t="s">
        <v>653</v>
      </c>
      <c r="E15" s="245" t="s">
        <v>653</v>
      </c>
      <c r="F15" s="244" t="s">
        <v>653</v>
      </c>
      <c r="G15" s="244" t="s">
        <v>653</v>
      </c>
      <c r="H15" s="13" t="s">
        <v>67</v>
      </c>
      <c r="I15" s="205"/>
      <c r="J15" s="97" t="s">
        <v>43</v>
      </c>
      <c r="K15" s="205" t="s">
        <v>653</v>
      </c>
      <c r="L15" s="213"/>
      <c r="M15" s="228" t="s">
        <v>660</v>
      </c>
      <c r="N15" s="65" t="s">
        <v>661</v>
      </c>
      <c r="O15" s="65" t="s">
        <v>662</v>
      </c>
      <c r="P15" s="65" t="s">
        <v>485</v>
      </c>
      <c r="Q15" s="65">
        <v>0</v>
      </c>
      <c r="R15" s="65">
        <v>2</v>
      </c>
      <c r="S15" s="213" t="s">
        <v>490</v>
      </c>
      <c r="T15" s="213"/>
      <c r="U15" s="15"/>
      <c r="V15" s="58"/>
      <c r="W15"/>
    </row>
    <row r="16" spans="1:126" x14ac:dyDescent="0.2">
      <c r="A16" s="5" t="s">
        <v>654</v>
      </c>
      <c r="B16" s="5" t="s">
        <v>11</v>
      </c>
      <c r="C16" s="246" t="s">
        <v>653</v>
      </c>
      <c r="D16" s="246" t="s">
        <v>653</v>
      </c>
      <c r="E16" s="247" t="s">
        <v>653</v>
      </c>
      <c r="F16" s="246" t="s">
        <v>653</v>
      </c>
      <c r="G16" s="246" t="s">
        <v>653</v>
      </c>
      <c r="H16" s="5" t="s">
        <v>655</v>
      </c>
      <c r="I16" s="248" t="s">
        <v>653</v>
      </c>
      <c r="J16" s="35" t="s">
        <v>656</v>
      </c>
      <c r="K16" s="248" t="s">
        <v>653</v>
      </c>
      <c r="L16" s="213"/>
      <c r="M16" s="228" t="s">
        <v>660</v>
      </c>
      <c r="N16" s="65" t="s">
        <v>641</v>
      </c>
      <c r="O16" s="65" t="s">
        <v>642</v>
      </c>
      <c r="P16" s="66" t="s">
        <v>484</v>
      </c>
      <c r="Q16" s="65">
        <v>0</v>
      </c>
      <c r="R16" s="65">
        <v>1</v>
      </c>
      <c r="S16" s="213" t="s">
        <v>663</v>
      </c>
      <c r="T16" s="213"/>
      <c r="U16" s="15"/>
      <c r="V16" s="58"/>
      <c r="W16"/>
    </row>
    <row r="17" spans="1:23" x14ac:dyDescent="0.2">
      <c r="A17" s="5" t="s">
        <v>25</v>
      </c>
      <c r="B17" s="5" t="s">
        <v>11</v>
      </c>
      <c r="C17" s="246" t="s">
        <v>653</v>
      </c>
      <c r="D17" s="246" t="s">
        <v>653</v>
      </c>
      <c r="E17" s="247" t="s">
        <v>653</v>
      </c>
      <c r="F17" s="246" t="s">
        <v>653</v>
      </c>
      <c r="G17" s="246" t="s">
        <v>653</v>
      </c>
      <c r="H17" s="5" t="s">
        <v>67</v>
      </c>
      <c r="I17" s="248" t="s">
        <v>653</v>
      </c>
      <c r="J17" s="35" t="s">
        <v>43</v>
      </c>
      <c r="K17" s="248" t="s">
        <v>653</v>
      </c>
      <c r="L17" s="213"/>
      <c r="M17" s="228" t="s">
        <v>660</v>
      </c>
      <c r="N17" s="67" t="s">
        <v>664</v>
      </c>
      <c r="O17" s="65" t="s">
        <v>642</v>
      </c>
      <c r="P17" s="66" t="s">
        <v>486</v>
      </c>
      <c r="Q17" s="65">
        <v>0</v>
      </c>
      <c r="R17" s="65">
        <v>1</v>
      </c>
      <c r="S17" s="213" t="s">
        <v>665</v>
      </c>
      <c r="T17" s="213"/>
      <c r="U17" s="15"/>
      <c r="V17" s="58"/>
      <c r="W17"/>
    </row>
    <row r="18" spans="1:23" x14ac:dyDescent="0.2">
      <c r="A18" s="3"/>
      <c r="B18" s="5"/>
      <c r="C18" s="246"/>
      <c r="D18" s="246"/>
      <c r="E18" s="247"/>
      <c r="F18" s="246"/>
      <c r="G18" s="246"/>
      <c r="H18" s="3"/>
      <c r="I18" s="249"/>
      <c r="J18" s="197"/>
      <c r="K18" s="249"/>
      <c r="L18" s="213"/>
      <c r="M18" s="228"/>
      <c r="N18" s="65"/>
      <c r="O18" s="65"/>
      <c r="P18" s="65"/>
      <c r="Q18" s="65"/>
      <c r="R18" s="65"/>
      <c r="S18" s="213"/>
      <c r="T18" s="213"/>
      <c r="U18" s="58"/>
      <c r="V18" s="58"/>
      <c r="W18"/>
    </row>
    <row r="19" spans="1:23" x14ac:dyDescent="0.2">
      <c r="A19" s="12" t="s">
        <v>33</v>
      </c>
      <c r="B19" s="13"/>
      <c r="C19" s="13"/>
      <c r="D19" s="13"/>
      <c r="E19" s="59"/>
      <c r="F19" s="13"/>
      <c r="G19" s="13"/>
      <c r="H19" s="13"/>
      <c r="I19" s="97"/>
      <c r="J19" s="97"/>
      <c r="K19" s="97"/>
      <c r="L19" s="213"/>
      <c r="M19" s="251"/>
      <c r="N19" s="213"/>
      <c r="O19" s="213"/>
      <c r="P19" s="213"/>
      <c r="Q19" s="213"/>
      <c r="R19" s="213"/>
      <c r="S19" s="213"/>
      <c r="T19" s="213"/>
      <c r="U19" s="58"/>
      <c r="V19" s="58"/>
      <c r="W19"/>
    </row>
    <row r="20" spans="1:23" x14ac:dyDescent="0.2">
      <c r="A20" s="13" t="s">
        <v>499</v>
      </c>
      <c r="B20" s="13" t="s">
        <v>30</v>
      </c>
      <c r="C20" s="13">
        <v>20190118</v>
      </c>
      <c r="D20" s="13">
        <v>68</v>
      </c>
      <c r="E20" s="59" t="s">
        <v>26</v>
      </c>
      <c r="F20" s="13">
        <v>100</v>
      </c>
      <c r="G20" s="14"/>
      <c r="H20" s="13" t="s">
        <v>500</v>
      </c>
      <c r="I20" s="205" t="s">
        <v>653</v>
      </c>
      <c r="J20" s="97" t="s">
        <v>41</v>
      </c>
      <c r="K20" s="205" t="s">
        <v>653</v>
      </c>
      <c r="L20" s="213"/>
      <c r="M20" s="228" t="s">
        <v>678</v>
      </c>
      <c r="N20" s="65" t="s">
        <v>488</v>
      </c>
      <c r="O20" s="65" t="s">
        <v>657</v>
      </c>
      <c r="P20" s="65" t="s">
        <v>485</v>
      </c>
      <c r="Q20" s="65">
        <v>0</v>
      </c>
      <c r="R20" s="65">
        <v>1</v>
      </c>
      <c r="S20" s="213" t="s">
        <v>687</v>
      </c>
      <c r="T20" s="213"/>
      <c r="U20" s="58"/>
      <c r="V20" s="58"/>
      <c r="W20"/>
    </row>
    <row r="21" spans="1:23" x14ac:dyDescent="0.2">
      <c r="A21" s="13" t="s">
        <v>499</v>
      </c>
      <c r="B21" s="13" t="s">
        <v>30</v>
      </c>
      <c r="C21" s="13">
        <v>20190118</v>
      </c>
      <c r="D21" s="13">
        <v>76</v>
      </c>
      <c r="E21" s="59" t="s">
        <v>35</v>
      </c>
      <c r="F21" s="13">
        <v>100</v>
      </c>
      <c r="G21" s="14"/>
      <c r="H21" s="13" t="s">
        <v>500</v>
      </c>
      <c r="I21" s="205" t="s">
        <v>653</v>
      </c>
      <c r="J21" s="97" t="s">
        <v>41</v>
      </c>
      <c r="K21" s="205" t="s">
        <v>653</v>
      </c>
      <c r="L21" s="213"/>
      <c r="M21" s="228" t="s">
        <v>678</v>
      </c>
      <c r="N21" s="67" t="s">
        <v>488</v>
      </c>
      <c r="O21" s="65" t="s">
        <v>657</v>
      </c>
      <c r="P21" s="66" t="s">
        <v>485</v>
      </c>
      <c r="Q21" s="65">
        <v>0</v>
      </c>
      <c r="R21" s="65">
        <v>1</v>
      </c>
      <c r="S21" s="213" t="s">
        <v>679</v>
      </c>
      <c r="T21" s="213"/>
      <c r="U21" s="58"/>
      <c r="V21" s="58"/>
      <c r="W21"/>
    </row>
    <row r="22" spans="1:23" x14ac:dyDescent="0.2">
      <c r="A22" s="13" t="s">
        <v>499</v>
      </c>
      <c r="B22" s="13" t="s">
        <v>30</v>
      </c>
      <c r="C22" s="13">
        <v>20190118</v>
      </c>
      <c r="D22" s="13">
        <v>74</v>
      </c>
      <c r="E22" s="59" t="s">
        <v>35</v>
      </c>
      <c r="F22" s="13">
        <v>100</v>
      </c>
      <c r="G22" s="14"/>
      <c r="H22" s="13" t="s">
        <v>500</v>
      </c>
      <c r="I22" s="205" t="s">
        <v>653</v>
      </c>
      <c r="J22" s="97" t="s">
        <v>41</v>
      </c>
      <c r="K22" s="205" t="s">
        <v>653</v>
      </c>
      <c r="L22" s="213"/>
      <c r="M22" s="228" t="s">
        <v>678</v>
      </c>
      <c r="N22" s="67" t="s">
        <v>488</v>
      </c>
      <c r="O22" s="65" t="s">
        <v>666</v>
      </c>
      <c r="P22" s="66" t="s">
        <v>487</v>
      </c>
      <c r="Q22" s="65">
        <v>1</v>
      </c>
      <c r="R22" s="65">
        <v>1</v>
      </c>
      <c r="S22" s="213" t="s">
        <v>680</v>
      </c>
      <c r="T22" s="213"/>
      <c r="U22" s="58"/>
      <c r="V22" s="58"/>
      <c r="W22"/>
    </row>
    <row r="23" spans="1:23" x14ac:dyDescent="0.2">
      <c r="A23" s="13" t="s">
        <v>499</v>
      </c>
      <c r="B23" s="13" t="s">
        <v>30</v>
      </c>
      <c r="C23" s="13">
        <v>20190118</v>
      </c>
      <c r="D23" s="13">
        <v>78</v>
      </c>
      <c r="E23" s="59" t="s">
        <v>35</v>
      </c>
      <c r="F23" s="13">
        <v>100</v>
      </c>
      <c r="G23" s="14"/>
      <c r="H23" s="13" t="s">
        <v>500</v>
      </c>
      <c r="I23" s="205" t="s">
        <v>653</v>
      </c>
      <c r="J23" s="97" t="s">
        <v>41</v>
      </c>
      <c r="K23" s="205" t="s">
        <v>653</v>
      </c>
      <c r="L23" s="213"/>
      <c r="M23" s="228" t="s">
        <v>678</v>
      </c>
      <c r="N23" s="65" t="s">
        <v>667</v>
      </c>
      <c r="O23" s="65" t="s">
        <v>657</v>
      </c>
      <c r="P23" s="65" t="s">
        <v>486</v>
      </c>
      <c r="Q23" s="65">
        <v>1</v>
      </c>
      <c r="R23" s="65">
        <v>1</v>
      </c>
      <c r="S23" s="213" t="s">
        <v>681</v>
      </c>
      <c r="T23" s="213"/>
      <c r="U23" s="58"/>
      <c r="V23" s="58"/>
      <c r="W23"/>
    </row>
    <row r="24" spans="1:23" x14ac:dyDescent="0.2">
      <c r="A24" s="5"/>
      <c r="B24" s="5"/>
      <c r="C24" s="250"/>
      <c r="D24" s="246"/>
      <c r="E24" s="247"/>
      <c r="F24" s="246"/>
      <c r="G24" s="246"/>
      <c r="H24" s="5"/>
      <c r="I24" s="248"/>
      <c r="J24" s="35"/>
      <c r="K24" s="248"/>
      <c r="L24" s="213"/>
      <c r="M24" s="227"/>
      <c r="N24" s="227"/>
      <c r="O24" s="227"/>
      <c r="P24" s="227"/>
      <c r="Q24" s="227"/>
      <c r="R24" s="227"/>
      <c r="S24" s="213"/>
      <c r="T24" s="213"/>
      <c r="U24" s="58"/>
      <c r="V24" s="58"/>
      <c r="W24"/>
    </row>
    <row r="25" spans="1:23" x14ac:dyDescent="0.2">
      <c r="A25" s="8" t="s">
        <v>475</v>
      </c>
      <c r="B25" s="5"/>
      <c r="C25" s="5"/>
      <c r="D25" s="5"/>
      <c r="E25" s="60"/>
      <c r="F25" s="5"/>
      <c r="G25" s="5"/>
      <c r="H25" s="5"/>
      <c r="I25" s="35"/>
      <c r="J25" s="35"/>
      <c r="K25" s="35"/>
      <c r="L25" s="213"/>
      <c r="M25" s="227"/>
      <c r="N25" s="227"/>
      <c r="O25" s="227"/>
      <c r="P25" s="227"/>
      <c r="Q25" s="227"/>
      <c r="R25" s="227"/>
      <c r="S25" s="213"/>
      <c r="T25" s="213"/>
      <c r="U25" s="58"/>
      <c r="V25" s="58"/>
      <c r="W25"/>
    </row>
    <row r="26" spans="1:23" x14ac:dyDescent="0.2">
      <c r="A26" s="14" t="s">
        <v>369</v>
      </c>
      <c r="B26" s="14" t="s">
        <v>31</v>
      </c>
      <c r="C26" s="250">
        <v>201903</v>
      </c>
      <c r="D26" s="244" t="s">
        <v>653</v>
      </c>
      <c r="E26" s="245" t="s">
        <v>653</v>
      </c>
      <c r="F26" s="244" t="s">
        <v>653</v>
      </c>
      <c r="G26" s="244" t="s">
        <v>653</v>
      </c>
      <c r="H26" s="14" t="s">
        <v>318</v>
      </c>
      <c r="I26" s="206" t="s">
        <v>653</v>
      </c>
      <c r="J26" s="157" t="s">
        <v>43</v>
      </c>
      <c r="K26" s="248" t="s">
        <v>653</v>
      </c>
      <c r="L26" s="213"/>
      <c r="M26" s="228" t="s">
        <v>668</v>
      </c>
      <c r="N26" s="65" t="s">
        <v>489</v>
      </c>
      <c r="O26" s="65" t="s">
        <v>642</v>
      </c>
      <c r="P26" s="65" t="s">
        <v>485</v>
      </c>
      <c r="Q26" s="65">
        <v>0</v>
      </c>
      <c r="R26" s="65">
        <v>1</v>
      </c>
      <c r="S26" s="213" t="s">
        <v>669</v>
      </c>
      <c r="T26" s="213"/>
      <c r="U26" s="58"/>
      <c r="V26" s="58"/>
      <c r="W26"/>
    </row>
    <row r="27" spans="1:23" x14ac:dyDescent="0.2">
      <c r="A27" s="14" t="s">
        <v>369</v>
      </c>
      <c r="B27" s="14" t="s">
        <v>31</v>
      </c>
      <c r="C27" s="250">
        <v>201809</v>
      </c>
      <c r="D27" s="244" t="s">
        <v>653</v>
      </c>
      <c r="E27" s="245" t="s">
        <v>653</v>
      </c>
      <c r="F27" s="244" t="s">
        <v>653</v>
      </c>
      <c r="G27" s="244" t="s">
        <v>653</v>
      </c>
      <c r="H27" s="14" t="s">
        <v>318</v>
      </c>
      <c r="I27" s="206" t="s">
        <v>653</v>
      </c>
      <c r="J27" s="157" t="s">
        <v>43</v>
      </c>
      <c r="K27" s="205" t="s">
        <v>653</v>
      </c>
      <c r="L27" s="213"/>
      <c r="M27" s="228" t="s">
        <v>673</v>
      </c>
      <c r="N27" s="65" t="s">
        <v>489</v>
      </c>
      <c r="O27" s="65" t="s">
        <v>642</v>
      </c>
      <c r="P27" s="66" t="s">
        <v>484</v>
      </c>
      <c r="Q27" s="65">
        <v>0</v>
      </c>
      <c r="R27" s="65">
        <v>1</v>
      </c>
      <c r="S27" s="213" t="s">
        <v>672</v>
      </c>
      <c r="T27" s="213" t="b">
        <v>1</v>
      </c>
      <c r="U27" s="58"/>
      <c r="V27" s="58"/>
      <c r="W27"/>
    </row>
    <row r="28" spans="1:23" x14ac:dyDescent="0.2">
      <c r="A28" s="14" t="s">
        <v>369</v>
      </c>
      <c r="B28" s="14" t="s">
        <v>646</v>
      </c>
      <c r="C28" s="244" t="s">
        <v>653</v>
      </c>
      <c r="D28" s="244" t="s">
        <v>653</v>
      </c>
      <c r="E28" s="245" t="s">
        <v>653</v>
      </c>
      <c r="F28" s="244" t="s">
        <v>653</v>
      </c>
      <c r="G28" s="244" t="s">
        <v>653</v>
      </c>
      <c r="H28" s="14" t="s">
        <v>318</v>
      </c>
      <c r="I28" s="206" t="s">
        <v>653</v>
      </c>
      <c r="J28" s="157" t="s">
        <v>43</v>
      </c>
      <c r="K28" s="205" t="s">
        <v>653</v>
      </c>
      <c r="L28" s="213"/>
      <c r="M28" s="228" t="s">
        <v>668</v>
      </c>
      <c r="N28" s="65" t="s">
        <v>489</v>
      </c>
      <c r="O28" s="65" t="s">
        <v>642</v>
      </c>
      <c r="P28" s="66" t="s">
        <v>486</v>
      </c>
      <c r="Q28" s="65">
        <v>0</v>
      </c>
      <c r="R28" s="65">
        <v>1</v>
      </c>
      <c r="S28" s="213" t="s">
        <v>670</v>
      </c>
      <c r="T28" s="213"/>
      <c r="U28" s="58"/>
      <c r="V28" s="58"/>
      <c r="W28"/>
    </row>
    <row r="29" spans="1:23" x14ac:dyDescent="0.2">
      <c r="A29" s="244" t="s">
        <v>652</v>
      </c>
      <c r="B29" s="13" t="s">
        <v>31</v>
      </c>
      <c r="C29" s="250"/>
      <c r="D29" s="244" t="s">
        <v>653</v>
      </c>
      <c r="E29" s="245" t="s">
        <v>653</v>
      </c>
      <c r="F29" s="244" t="s">
        <v>653</v>
      </c>
      <c r="G29" s="244" t="s">
        <v>653</v>
      </c>
      <c r="H29" s="244" t="s">
        <v>318</v>
      </c>
      <c r="I29" s="205" t="s">
        <v>653</v>
      </c>
      <c r="J29" s="205" t="s">
        <v>43</v>
      </c>
      <c r="K29" s="97"/>
      <c r="L29" s="213"/>
      <c r="M29" s="228" t="s">
        <v>668</v>
      </c>
      <c r="N29" s="65" t="s">
        <v>489</v>
      </c>
      <c r="O29" s="65" t="s">
        <v>642</v>
      </c>
      <c r="P29" s="65" t="s">
        <v>487</v>
      </c>
      <c r="Q29" s="65">
        <v>0</v>
      </c>
      <c r="R29" s="65">
        <v>1</v>
      </c>
      <c r="S29" s="213" t="s">
        <v>682</v>
      </c>
      <c r="T29" s="213"/>
      <c r="U29" s="58"/>
      <c r="V29" s="58"/>
      <c r="W29"/>
    </row>
    <row r="30" spans="1:23" x14ac:dyDescent="0.2">
      <c r="A30" s="14" t="s">
        <v>369</v>
      </c>
      <c r="B30" s="14" t="s">
        <v>31</v>
      </c>
      <c r="C30" s="250">
        <v>201809</v>
      </c>
      <c r="D30" s="244" t="s">
        <v>653</v>
      </c>
      <c r="E30" s="245" t="s">
        <v>653</v>
      </c>
      <c r="F30" s="244" t="s">
        <v>653</v>
      </c>
      <c r="G30" s="244" t="s">
        <v>653</v>
      </c>
      <c r="H30" s="14" t="s">
        <v>318</v>
      </c>
      <c r="I30" s="206" t="s">
        <v>653</v>
      </c>
      <c r="J30" s="157" t="s">
        <v>43</v>
      </c>
      <c r="K30" s="205" t="s">
        <v>653</v>
      </c>
      <c r="L30" s="213"/>
      <c r="M30" s="228" t="s">
        <v>671</v>
      </c>
      <c r="N30" s="65" t="s">
        <v>641</v>
      </c>
      <c r="O30" s="65" t="s">
        <v>642</v>
      </c>
      <c r="P30" s="65" t="s">
        <v>485</v>
      </c>
      <c r="Q30" s="65">
        <v>0</v>
      </c>
      <c r="R30" s="65">
        <v>1</v>
      </c>
      <c r="S30" s="213" t="s">
        <v>672</v>
      </c>
      <c r="T30" s="213" t="b">
        <v>1</v>
      </c>
      <c r="U30" s="58"/>
      <c r="V30" s="58"/>
      <c r="W30"/>
    </row>
    <row r="31" spans="1:23" x14ac:dyDescent="0.2">
      <c r="A31" s="13"/>
      <c r="B31" s="13"/>
      <c r="C31" s="13"/>
      <c r="D31" s="13"/>
      <c r="E31" s="59"/>
      <c r="F31" s="13"/>
      <c r="G31" s="13"/>
      <c r="H31" s="13"/>
      <c r="I31" s="97"/>
      <c r="J31" s="97"/>
      <c r="K31" s="97"/>
      <c r="L31" s="213"/>
      <c r="M31" s="227"/>
      <c r="N31" s="227"/>
      <c r="O31" s="227"/>
      <c r="P31" s="227"/>
      <c r="Q31" s="227"/>
      <c r="R31" s="227"/>
      <c r="S31" s="213"/>
      <c r="T31" s="213"/>
      <c r="U31" s="58"/>
      <c r="V31" s="58"/>
      <c r="W31"/>
    </row>
    <row r="32" spans="1:23" x14ac:dyDescent="0.2">
      <c r="A32" s="12" t="s">
        <v>40</v>
      </c>
      <c r="B32" s="13"/>
      <c r="C32" s="13"/>
      <c r="D32" s="13"/>
      <c r="E32" s="59"/>
      <c r="F32" s="13"/>
      <c r="G32" s="13"/>
      <c r="H32" s="13"/>
      <c r="I32" s="97"/>
      <c r="J32" s="97"/>
      <c r="K32" s="97"/>
      <c r="L32" s="213"/>
      <c r="M32" s="228"/>
      <c r="N32" s="228"/>
      <c r="O32" s="228"/>
      <c r="P32" s="228"/>
      <c r="Q32" s="228"/>
      <c r="R32" s="228"/>
      <c r="S32" s="213"/>
      <c r="T32" s="213"/>
      <c r="U32" s="58"/>
      <c r="V32" s="58"/>
      <c r="W32"/>
    </row>
    <row r="33" spans="1:23" x14ac:dyDescent="0.2">
      <c r="A33" s="13" t="s">
        <v>41</v>
      </c>
      <c r="B33" s="13" t="s">
        <v>42</v>
      </c>
      <c r="C33" s="244" t="s">
        <v>653</v>
      </c>
      <c r="D33" s="244" t="s">
        <v>653</v>
      </c>
      <c r="E33" s="245" t="s">
        <v>653</v>
      </c>
      <c r="F33" s="244" t="s">
        <v>653</v>
      </c>
      <c r="G33" s="244" t="s">
        <v>653</v>
      </c>
      <c r="H33" s="13" t="s">
        <v>468</v>
      </c>
      <c r="I33" s="205" t="s">
        <v>653</v>
      </c>
      <c r="J33" s="97" t="s">
        <v>43</v>
      </c>
      <c r="K33" s="205" t="s">
        <v>653</v>
      </c>
      <c r="L33" s="213"/>
      <c r="M33" s="228" t="s">
        <v>660</v>
      </c>
      <c r="N33" s="65" t="s">
        <v>674</v>
      </c>
      <c r="O33" s="65" t="s">
        <v>675</v>
      </c>
      <c r="P33" s="66" t="s">
        <v>483</v>
      </c>
      <c r="Q33" s="65">
        <v>0</v>
      </c>
      <c r="R33" s="65">
        <v>1</v>
      </c>
      <c r="S33" s="213" t="s">
        <v>676</v>
      </c>
      <c r="T33" s="213"/>
      <c r="U33" s="58"/>
      <c r="V33" s="58"/>
      <c r="W33"/>
    </row>
    <row r="34" spans="1:23" x14ac:dyDescent="0.2">
      <c r="A34" s="13"/>
      <c r="B34" s="13"/>
      <c r="C34" s="244"/>
      <c r="D34" s="244"/>
      <c r="E34" s="245"/>
      <c r="F34" s="244"/>
      <c r="G34" s="244"/>
      <c r="H34" s="13"/>
      <c r="I34" s="205"/>
      <c r="J34" s="97"/>
      <c r="K34" s="205"/>
      <c r="L34" s="213"/>
      <c r="M34" s="228"/>
      <c r="N34" s="65"/>
      <c r="O34" s="65"/>
      <c r="P34" s="66"/>
      <c r="Q34" s="65"/>
      <c r="R34" s="65"/>
      <c r="S34" s="213"/>
      <c r="T34" s="213"/>
      <c r="U34" s="58"/>
      <c r="V34" s="58"/>
      <c r="W34"/>
    </row>
    <row r="35" spans="1:23" x14ac:dyDescent="0.2">
      <c r="A35" s="12" t="s">
        <v>480</v>
      </c>
      <c r="B35" s="14"/>
      <c r="C35" s="13"/>
      <c r="D35" s="13"/>
      <c r="E35" s="59"/>
      <c r="F35" s="13"/>
      <c r="G35" s="13"/>
      <c r="H35" s="14"/>
      <c r="I35" s="97"/>
      <c r="J35" s="97"/>
      <c r="K35" s="97"/>
      <c r="L35" s="213"/>
      <c r="M35" s="228"/>
      <c r="N35" s="65"/>
      <c r="O35" s="65"/>
      <c r="P35" s="66"/>
      <c r="Q35" s="65"/>
      <c r="R35" s="65"/>
      <c r="S35" s="213"/>
      <c r="T35" s="213"/>
      <c r="U35" s="58"/>
      <c r="V35" s="58"/>
      <c r="W35"/>
    </row>
    <row r="36" spans="1:23" x14ac:dyDescent="0.2">
      <c r="A36" s="14" t="s">
        <v>25</v>
      </c>
      <c r="B36" s="14" t="s">
        <v>481</v>
      </c>
      <c r="C36" s="13"/>
      <c r="D36" s="13"/>
      <c r="E36" s="59"/>
      <c r="F36" s="13"/>
      <c r="G36" s="13"/>
      <c r="H36" s="14" t="s">
        <v>67</v>
      </c>
      <c r="I36" s="97"/>
      <c r="J36" s="97" t="s">
        <v>43</v>
      </c>
      <c r="K36" s="97" t="s">
        <v>501</v>
      </c>
      <c r="L36" s="213"/>
      <c r="M36" s="228" t="s">
        <v>660</v>
      </c>
      <c r="N36" s="65" t="s">
        <v>641</v>
      </c>
      <c r="O36" s="65" t="s">
        <v>642</v>
      </c>
      <c r="P36" s="66" t="s">
        <v>485</v>
      </c>
      <c r="Q36" s="65">
        <v>0</v>
      </c>
      <c r="R36" s="65">
        <v>1</v>
      </c>
      <c r="S36" s="213" t="s">
        <v>683</v>
      </c>
      <c r="T36" s="213"/>
      <c r="U36" s="58"/>
      <c r="V36" s="58"/>
      <c r="W36"/>
    </row>
    <row r="37" spans="1:23" x14ac:dyDescent="0.2">
      <c r="A37" s="13"/>
      <c r="B37" s="13"/>
      <c r="C37" s="13"/>
      <c r="D37" s="13"/>
      <c r="E37" s="59"/>
      <c r="F37" s="13"/>
      <c r="G37" s="13"/>
      <c r="H37" s="13"/>
      <c r="I37" s="13"/>
      <c r="J37" s="13"/>
      <c r="K37" s="97"/>
      <c r="L37" s="213"/>
      <c r="M37" s="228"/>
      <c r="N37" s="65"/>
      <c r="O37" s="65"/>
      <c r="P37" s="66"/>
      <c r="Q37" s="65"/>
      <c r="R37" s="65"/>
      <c r="S37" s="213"/>
      <c r="T37" s="213"/>
      <c r="U37" s="58"/>
      <c r="V37" s="58"/>
      <c r="W37"/>
    </row>
    <row r="38" spans="1:23" x14ac:dyDescent="0.2">
      <c r="A38" s="13"/>
      <c r="B38" s="13"/>
      <c r="C38" s="13"/>
      <c r="D38" s="13"/>
      <c r="E38" s="59"/>
      <c r="F38" s="13"/>
      <c r="G38" s="13"/>
      <c r="H38" s="13"/>
      <c r="I38" s="13"/>
      <c r="J38" s="13"/>
      <c r="K38" s="97"/>
      <c r="L38" s="213"/>
      <c r="M38" s="227"/>
      <c r="N38" s="65"/>
      <c r="O38" s="65"/>
      <c r="P38" s="65"/>
      <c r="Q38" s="65"/>
      <c r="R38" s="65"/>
      <c r="S38" s="27"/>
      <c r="T38" s="15"/>
      <c r="U38" s="58"/>
      <c r="V38" s="58"/>
      <c r="W38"/>
    </row>
    <row r="39" spans="1:23" x14ac:dyDescent="0.2">
      <c r="A39" s="12"/>
      <c r="B39" s="14"/>
      <c r="C39" s="13"/>
      <c r="D39" s="13"/>
      <c r="E39" s="59"/>
      <c r="F39" s="13"/>
      <c r="G39" s="13"/>
      <c r="H39" s="14"/>
      <c r="I39" s="13"/>
      <c r="J39" s="14"/>
      <c r="K39" s="97"/>
      <c r="L39" s="213"/>
      <c r="M39" s="227"/>
      <c r="N39" s="65"/>
      <c r="O39" s="65"/>
      <c r="P39" s="65"/>
      <c r="Q39" s="65"/>
      <c r="R39" s="65"/>
      <c r="S39" s="27"/>
      <c r="T39" s="15"/>
      <c r="U39" s="58"/>
      <c r="V39" s="58"/>
      <c r="W39"/>
    </row>
    <row r="40" spans="1:23" x14ac:dyDescent="0.2">
      <c r="A40" s="5"/>
      <c r="B40" s="5"/>
      <c r="C40" s="5"/>
      <c r="D40" s="5"/>
      <c r="E40" s="60"/>
      <c r="F40" s="5"/>
      <c r="G40" s="5"/>
      <c r="H40" s="5"/>
      <c r="I40" s="5"/>
      <c r="J40" s="5"/>
      <c r="K40" s="97"/>
      <c r="L40" s="213"/>
      <c r="M40" s="228"/>
      <c r="N40" s="65"/>
      <c r="O40" s="65"/>
      <c r="P40" s="65"/>
      <c r="Q40" s="65"/>
      <c r="R40" s="65"/>
      <c r="S40" s="27"/>
      <c r="T40" s="15"/>
      <c r="U40" s="58"/>
      <c r="V40" s="58"/>
      <c r="W40"/>
    </row>
    <row r="41" spans="1:23" x14ac:dyDescent="0.2">
      <c r="A41" s="14"/>
      <c r="B41" s="14"/>
      <c r="C41" s="13"/>
      <c r="D41" s="13"/>
      <c r="E41" s="158"/>
      <c r="F41" s="13"/>
      <c r="G41" s="14"/>
      <c r="H41" s="14"/>
      <c r="I41" s="13"/>
      <c r="J41" s="14"/>
      <c r="K41" s="97"/>
      <c r="L41" s="213"/>
      <c r="M41" s="228"/>
      <c r="N41" s="65"/>
      <c r="O41" s="65"/>
      <c r="P41" s="65"/>
      <c r="Q41" s="65"/>
      <c r="R41" s="65"/>
      <c r="S41" s="27"/>
      <c r="T41" s="15"/>
      <c r="U41" s="58"/>
      <c r="V41" s="58"/>
      <c r="W41"/>
    </row>
    <row r="42" spans="1:23" x14ac:dyDescent="0.2">
      <c r="A42" s="13"/>
      <c r="B42" s="13"/>
      <c r="C42" s="13"/>
      <c r="D42" s="13"/>
      <c r="E42" s="59"/>
      <c r="F42" s="13"/>
      <c r="G42" s="13"/>
      <c r="H42" s="13"/>
      <c r="I42" s="13"/>
      <c r="J42" s="13"/>
      <c r="K42" s="97"/>
      <c r="L42" s="213"/>
      <c r="M42" s="227"/>
      <c r="N42" s="65"/>
      <c r="O42" s="65"/>
      <c r="P42" s="65"/>
      <c r="Q42" s="65"/>
      <c r="R42" s="65"/>
      <c r="S42" s="27"/>
      <c r="T42" s="15"/>
      <c r="U42" s="58"/>
      <c r="V42" s="58"/>
      <c r="W42"/>
    </row>
    <row r="43" spans="1:23" x14ac:dyDescent="0.2">
      <c r="A43" s="12"/>
      <c r="B43" s="13"/>
      <c r="C43" s="13"/>
      <c r="D43" s="13"/>
      <c r="E43" s="59"/>
      <c r="F43" s="13"/>
      <c r="G43" s="13"/>
      <c r="H43" s="13"/>
      <c r="I43" s="13"/>
      <c r="J43" s="13"/>
      <c r="K43" s="97"/>
      <c r="L43" s="213"/>
      <c r="M43" s="228"/>
      <c r="N43" s="67"/>
      <c r="O43" s="65"/>
      <c r="P43" s="66"/>
      <c r="Q43" s="65"/>
      <c r="R43" s="65"/>
      <c r="S43" s="27"/>
      <c r="T43" s="15"/>
      <c r="U43" s="58"/>
      <c r="V43" s="58"/>
      <c r="W43"/>
    </row>
    <row r="44" spans="1:23" x14ac:dyDescent="0.2">
      <c r="A44" s="14"/>
      <c r="B44" s="14"/>
      <c r="C44" s="13"/>
      <c r="D44" s="13"/>
      <c r="E44" s="59"/>
      <c r="F44" s="13"/>
      <c r="G44" s="13"/>
      <c r="H44" s="14"/>
      <c r="I44" s="13"/>
      <c r="J44" s="14"/>
      <c r="K44" s="97"/>
      <c r="L44" s="213"/>
      <c r="M44" s="228"/>
      <c r="N44" s="65"/>
      <c r="O44" s="65"/>
      <c r="P44" s="65"/>
      <c r="Q44" s="65"/>
      <c r="R44" s="65"/>
      <c r="S44" s="27"/>
      <c r="T44" s="15"/>
      <c r="U44" s="58"/>
      <c r="V44" s="58"/>
      <c r="W44"/>
    </row>
    <row r="45" spans="1:23" x14ac:dyDescent="0.2">
      <c r="A45" s="13"/>
      <c r="B45" s="13"/>
      <c r="C45" s="13"/>
      <c r="D45" s="13"/>
      <c r="E45" s="59"/>
      <c r="F45" s="13"/>
      <c r="G45" s="13"/>
      <c r="H45" s="13"/>
      <c r="I45" s="13"/>
      <c r="J45" s="13"/>
      <c r="K45" s="97"/>
      <c r="L45" s="213"/>
      <c r="M45" s="227"/>
      <c r="N45" s="65"/>
      <c r="O45" s="65"/>
      <c r="P45" s="65"/>
      <c r="Q45" s="65"/>
      <c r="R45" s="65"/>
      <c r="S45" s="27"/>
      <c r="T45" s="15"/>
      <c r="U45" s="58"/>
      <c r="V45" s="58"/>
      <c r="W45"/>
    </row>
    <row r="46" spans="1:23" x14ac:dyDescent="0.2">
      <c r="A46" s="12"/>
      <c r="B46" s="13"/>
      <c r="C46" s="13"/>
      <c r="D46" s="13"/>
      <c r="E46" s="59"/>
      <c r="F46" s="13"/>
      <c r="G46" s="13"/>
      <c r="H46" s="13"/>
      <c r="I46" s="13"/>
      <c r="J46" s="13"/>
      <c r="K46" s="97"/>
      <c r="L46" s="213"/>
      <c r="M46" s="227"/>
      <c r="N46" s="65"/>
      <c r="O46" s="65"/>
      <c r="P46" s="65"/>
      <c r="Q46" s="65"/>
      <c r="R46" s="65"/>
      <c r="S46" s="27"/>
      <c r="T46" s="15"/>
      <c r="U46" s="58"/>
      <c r="V46" s="58"/>
      <c r="W46"/>
    </row>
    <row r="47" spans="1:23" x14ac:dyDescent="0.2">
      <c r="A47" s="14"/>
      <c r="B47" s="13"/>
      <c r="C47" s="13"/>
      <c r="D47" s="13"/>
      <c r="E47" s="59"/>
      <c r="F47" s="13"/>
      <c r="G47" s="13"/>
      <c r="H47" s="13"/>
      <c r="I47" s="13"/>
      <c r="J47" s="13"/>
      <c r="K47" s="97"/>
      <c r="L47" s="213"/>
      <c r="M47" s="228"/>
      <c r="N47" s="65"/>
      <c r="O47" s="65"/>
      <c r="P47" s="65"/>
      <c r="Q47" s="65"/>
      <c r="R47" s="65"/>
      <c r="S47" s="27"/>
      <c r="T47" s="15"/>
      <c r="U47" s="58"/>
      <c r="V47" s="58"/>
      <c r="W47"/>
    </row>
    <row r="48" spans="1:23" x14ac:dyDescent="0.2">
      <c r="A48" s="13"/>
      <c r="B48" s="13"/>
      <c r="C48" s="13"/>
      <c r="D48" s="13"/>
      <c r="E48" s="59"/>
      <c r="F48" s="13"/>
      <c r="G48" s="13"/>
      <c r="H48" s="13"/>
      <c r="I48" s="13"/>
      <c r="J48" s="13"/>
      <c r="K48" s="97"/>
      <c r="L48" s="213"/>
      <c r="M48" s="227"/>
      <c r="N48" s="65"/>
      <c r="O48" s="65"/>
      <c r="P48" s="65"/>
      <c r="Q48" s="65"/>
      <c r="R48" s="65"/>
      <c r="S48" s="27"/>
      <c r="T48" s="15"/>
      <c r="U48" s="58"/>
      <c r="V48" s="58"/>
      <c r="W48"/>
    </row>
    <row r="49" spans="1:23" x14ac:dyDescent="0.2">
      <c r="A49" s="13"/>
      <c r="B49" s="13"/>
      <c r="C49" s="13"/>
      <c r="D49" s="13"/>
      <c r="E49" s="59"/>
      <c r="F49" s="13"/>
      <c r="G49" s="13"/>
      <c r="H49" s="13"/>
      <c r="I49" s="13"/>
      <c r="J49" s="13"/>
      <c r="K49" s="97"/>
      <c r="L49" s="213"/>
      <c r="M49" s="227"/>
      <c r="N49" s="65"/>
      <c r="O49" s="65"/>
      <c r="P49" s="65"/>
      <c r="Q49" s="65"/>
      <c r="R49" s="65"/>
      <c r="S49" s="27"/>
      <c r="T49" s="15"/>
      <c r="U49" s="58"/>
      <c r="V49" s="58"/>
      <c r="W49"/>
    </row>
    <row r="50" spans="1:23" x14ac:dyDescent="0.2">
      <c r="A50" s="12"/>
      <c r="B50" s="13"/>
      <c r="C50" s="13"/>
      <c r="D50" s="13"/>
      <c r="E50" s="59"/>
      <c r="F50" s="13"/>
      <c r="G50" s="13"/>
      <c r="H50" s="13"/>
      <c r="I50" s="13"/>
      <c r="J50" s="13"/>
      <c r="K50" s="97"/>
      <c r="L50" s="213"/>
      <c r="M50" s="228"/>
      <c r="N50" s="65"/>
      <c r="O50" s="65"/>
      <c r="P50" s="65"/>
      <c r="Q50" s="65"/>
      <c r="R50" s="65"/>
      <c r="S50" s="213"/>
      <c r="T50" s="213"/>
      <c r="U50" s="213"/>
      <c r="V50" s="58"/>
      <c r="W50"/>
    </row>
    <row r="51" spans="1:23" x14ac:dyDescent="0.2">
      <c r="A51" s="13"/>
      <c r="B51" s="13"/>
      <c r="C51" s="244"/>
      <c r="D51" s="244"/>
      <c r="E51" s="245"/>
      <c r="F51" s="244"/>
      <c r="G51" s="244"/>
      <c r="H51" s="13"/>
      <c r="I51" s="205"/>
      <c r="J51" s="97"/>
      <c r="K51" s="205"/>
      <c r="L51" s="213"/>
      <c r="M51" s="228"/>
      <c r="N51" s="65"/>
      <c r="O51" s="65"/>
      <c r="P51" s="65"/>
      <c r="Q51" s="65"/>
      <c r="R51" s="65"/>
      <c r="S51" s="213"/>
      <c r="T51" s="213"/>
      <c r="U51" s="213"/>
      <c r="V51" s="58"/>
      <c r="W51"/>
    </row>
    <row r="52" spans="1:23" x14ac:dyDescent="0.2">
      <c r="A52" s="13"/>
      <c r="B52" s="13"/>
      <c r="C52" s="244"/>
      <c r="D52" s="244"/>
      <c r="E52" s="245"/>
      <c r="F52" s="244"/>
      <c r="G52" s="244"/>
      <c r="H52" s="13"/>
      <c r="I52" s="205"/>
      <c r="J52" s="97"/>
      <c r="K52" s="205"/>
      <c r="L52" s="213"/>
      <c r="M52" s="228"/>
      <c r="N52" s="67"/>
      <c r="O52" s="65"/>
      <c r="P52" s="66"/>
      <c r="Q52" s="65"/>
      <c r="R52" s="65"/>
      <c r="S52" s="213"/>
      <c r="T52" s="213"/>
      <c r="U52" s="213"/>
      <c r="V52" s="58"/>
      <c r="W52"/>
    </row>
    <row r="53" spans="1:23" x14ac:dyDescent="0.2">
      <c r="A53" s="13"/>
      <c r="B53" s="13"/>
      <c r="C53" s="244"/>
      <c r="D53" s="244"/>
      <c r="E53" s="245"/>
      <c r="F53" s="244"/>
      <c r="G53" s="244"/>
      <c r="H53" s="13"/>
      <c r="I53" s="205"/>
      <c r="J53" s="97"/>
      <c r="K53" s="205"/>
      <c r="L53" s="213"/>
      <c r="M53" s="228"/>
      <c r="N53" s="65"/>
      <c r="O53" s="65"/>
      <c r="P53" s="65"/>
      <c r="Q53" s="65"/>
      <c r="R53" s="65"/>
      <c r="S53" s="213"/>
      <c r="T53" s="213"/>
      <c r="U53" s="213"/>
      <c r="V53" s="58"/>
      <c r="W53"/>
    </row>
    <row r="54" spans="1:23" x14ac:dyDescent="0.2">
      <c r="A54" s="13"/>
      <c r="B54" s="13"/>
      <c r="C54" s="244"/>
      <c r="D54" s="244"/>
      <c r="E54" s="245"/>
      <c r="F54" s="244"/>
      <c r="G54" s="244"/>
      <c r="H54" s="13"/>
      <c r="I54" s="205"/>
      <c r="J54" s="97"/>
      <c r="K54" s="205"/>
      <c r="L54" s="213"/>
      <c r="M54" s="252"/>
      <c r="N54" s="65"/>
      <c r="O54" s="65"/>
      <c r="P54" s="66"/>
      <c r="Q54" s="65"/>
      <c r="R54" s="65"/>
      <c r="S54" s="213"/>
      <c r="T54" s="213"/>
      <c r="U54" s="213"/>
      <c r="V54" s="58"/>
      <c r="W54"/>
    </row>
    <row r="55" spans="1:23" x14ac:dyDescent="0.2">
      <c r="A55" s="5"/>
      <c r="B55" s="5"/>
      <c r="C55" s="246"/>
      <c r="D55" s="246"/>
      <c r="E55" s="247"/>
      <c r="F55" s="246"/>
      <c r="G55" s="246"/>
      <c r="H55" s="5"/>
      <c r="I55" s="248"/>
      <c r="J55" s="35"/>
      <c r="K55" s="248"/>
      <c r="L55" s="213"/>
      <c r="M55" s="228"/>
      <c r="N55" s="67"/>
      <c r="O55" s="65"/>
      <c r="P55" s="66"/>
      <c r="Q55" s="65"/>
      <c r="R55" s="65"/>
      <c r="S55" s="213"/>
      <c r="T55" s="213"/>
      <c r="U55" s="213"/>
      <c r="V55" s="58"/>
      <c r="W55"/>
    </row>
    <row r="56" spans="1:23" x14ac:dyDescent="0.2">
      <c r="A56" s="5"/>
      <c r="B56" s="5"/>
      <c r="C56" s="246"/>
      <c r="D56" s="246"/>
      <c r="E56" s="247"/>
      <c r="F56" s="246"/>
      <c r="G56" s="246"/>
      <c r="H56" s="5"/>
      <c r="I56" s="248"/>
      <c r="J56" s="35"/>
      <c r="K56" s="248"/>
      <c r="L56" s="213"/>
      <c r="M56" s="252"/>
      <c r="N56" s="65"/>
      <c r="O56" s="65"/>
      <c r="P56" s="65"/>
      <c r="Q56" s="65"/>
      <c r="R56" s="65"/>
      <c r="S56" s="213"/>
      <c r="T56" s="213"/>
      <c r="U56" s="213"/>
      <c r="V56" s="58"/>
      <c r="W56"/>
    </row>
    <row r="57" spans="1:23" x14ac:dyDescent="0.2">
      <c r="A57" s="3"/>
      <c r="B57" s="5"/>
      <c r="C57" s="246"/>
      <c r="D57" s="246"/>
      <c r="E57" s="247"/>
      <c r="F57" s="246"/>
      <c r="G57" s="246"/>
      <c r="H57" s="3"/>
      <c r="I57" s="249"/>
      <c r="J57" s="197"/>
      <c r="K57" s="249"/>
      <c r="L57" s="213"/>
      <c r="M57" s="251"/>
      <c r="N57" s="213"/>
      <c r="O57" s="213"/>
      <c r="P57" s="213"/>
      <c r="Q57" s="213"/>
      <c r="R57" s="213"/>
      <c r="S57" s="213"/>
      <c r="T57" s="213"/>
      <c r="U57" s="213"/>
      <c r="V57" s="58"/>
      <c r="W57"/>
    </row>
    <row r="58" spans="1:23" x14ac:dyDescent="0.2">
      <c r="A58" s="5"/>
      <c r="B58" s="5"/>
      <c r="C58" s="5"/>
      <c r="D58" s="5"/>
      <c r="E58" s="60"/>
      <c r="F58" s="5"/>
      <c r="G58" s="5"/>
      <c r="H58" s="5"/>
      <c r="I58" s="35"/>
      <c r="J58" s="35"/>
      <c r="K58" s="35"/>
      <c r="L58" s="213"/>
      <c r="M58" s="251"/>
      <c r="N58" s="213"/>
      <c r="O58" s="213"/>
      <c r="P58" s="213"/>
      <c r="Q58" s="213"/>
      <c r="R58" s="213"/>
      <c r="S58" s="213"/>
      <c r="T58" s="213"/>
      <c r="U58" s="213"/>
      <c r="V58" s="58"/>
      <c r="W58"/>
    </row>
    <row r="59" spans="1:23" x14ac:dyDescent="0.2">
      <c r="A59" s="12"/>
      <c r="B59" s="13"/>
      <c r="C59" s="13"/>
      <c r="D59" s="13"/>
      <c r="E59" s="59"/>
      <c r="F59" s="13"/>
      <c r="G59" s="13"/>
      <c r="H59" s="13"/>
      <c r="I59" s="97"/>
      <c r="J59" s="97"/>
      <c r="K59" s="97"/>
      <c r="L59" s="213"/>
      <c r="M59" s="228"/>
      <c r="N59" s="65"/>
      <c r="O59" s="65"/>
      <c r="P59" s="65"/>
      <c r="Q59" s="65"/>
      <c r="R59" s="65"/>
      <c r="S59" s="213"/>
      <c r="T59" s="213"/>
      <c r="U59" s="213"/>
      <c r="V59" s="58"/>
      <c r="W59"/>
    </row>
    <row r="60" spans="1:23" x14ac:dyDescent="0.2">
      <c r="A60" s="13"/>
      <c r="B60" s="13"/>
      <c r="C60" s="250"/>
      <c r="D60" s="250"/>
      <c r="E60" s="59"/>
      <c r="F60" s="244"/>
      <c r="G60" s="14"/>
      <c r="H60" s="13"/>
      <c r="I60" s="205"/>
      <c r="J60" s="97"/>
      <c r="K60" s="205"/>
      <c r="L60" s="213"/>
      <c r="M60" s="228"/>
      <c r="N60" s="67"/>
      <c r="O60" s="65"/>
      <c r="P60" s="66"/>
      <c r="Q60" s="65"/>
      <c r="R60" s="65"/>
      <c r="S60" s="213"/>
      <c r="T60" s="213"/>
      <c r="U60" s="213"/>
      <c r="V60" s="58"/>
      <c r="W60"/>
    </row>
    <row r="61" spans="1:23" x14ac:dyDescent="0.2">
      <c r="A61" s="13"/>
      <c r="B61" s="13"/>
      <c r="C61" s="250"/>
      <c r="D61" s="250"/>
      <c r="E61" s="59"/>
      <c r="F61" s="250"/>
      <c r="G61" s="13"/>
      <c r="H61" s="13"/>
      <c r="I61" s="205"/>
      <c r="J61" s="97"/>
      <c r="K61" s="205"/>
      <c r="L61" s="213"/>
      <c r="M61" s="228"/>
      <c r="N61" s="67"/>
      <c r="O61" s="65"/>
      <c r="P61" s="66"/>
      <c r="Q61" s="65"/>
      <c r="R61" s="65"/>
      <c r="S61" s="213"/>
      <c r="T61" s="213"/>
      <c r="U61" s="213"/>
      <c r="V61" s="58"/>
      <c r="W61"/>
    </row>
    <row r="62" spans="1:23" x14ac:dyDescent="0.2">
      <c r="A62" s="13"/>
      <c r="B62" s="13"/>
      <c r="C62" s="250"/>
      <c r="D62" s="250"/>
      <c r="E62" s="59"/>
      <c r="F62" s="250"/>
      <c r="G62" s="244"/>
      <c r="H62" s="14"/>
      <c r="I62" s="206"/>
      <c r="J62" s="97"/>
      <c r="K62" s="205"/>
      <c r="L62" s="213"/>
      <c r="M62" s="228"/>
      <c r="N62" s="65"/>
      <c r="O62" s="65"/>
      <c r="P62" s="65"/>
      <c r="Q62" s="65"/>
      <c r="R62" s="65"/>
      <c r="S62" s="213"/>
      <c r="T62" s="213"/>
      <c r="U62" s="213"/>
      <c r="V62" s="58"/>
      <c r="W62"/>
    </row>
    <row r="63" spans="1:23" x14ac:dyDescent="0.2">
      <c r="A63" s="13"/>
      <c r="B63" s="13"/>
      <c r="C63" s="250"/>
      <c r="D63" s="250"/>
      <c r="E63" s="59"/>
      <c r="F63" s="250"/>
      <c r="G63" s="244"/>
      <c r="H63" s="13"/>
      <c r="I63" s="205"/>
      <c r="J63" s="97"/>
      <c r="K63" s="205"/>
      <c r="L63" s="213"/>
      <c r="M63" s="227"/>
      <c r="N63" s="227"/>
      <c r="O63" s="227"/>
      <c r="P63" s="227"/>
      <c r="Q63" s="227"/>
      <c r="R63" s="227"/>
      <c r="S63" s="213"/>
      <c r="T63" s="213"/>
      <c r="U63" s="213"/>
      <c r="V63" s="58"/>
      <c r="W63"/>
    </row>
    <row r="64" spans="1:23" x14ac:dyDescent="0.2">
      <c r="A64" s="5"/>
      <c r="B64" s="5"/>
      <c r="C64" s="250"/>
      <c r="D64" s="246"/>
      <c r="E64" s="247"/>
      <c r="F64" s="246"/>
      <c r="G64" s="246"/>
      <c r="H64" s="5"/>
      <c r="I64" s="248"/>
      <c r="J64" s="35"/>
      <c r="K64" s="248"/>
      <c r="L64" s="213"/>
      <c r="M64" s="227"/>
      <c r="N64" s="227"/>
      <c r="O64" s="227"/>
      <c r="P64" s="227"/>
      <c r="Q64" s="227"/>
      <c r="R64" s="227"/>
      <c r="S64" s="213"/>
      <c r="T64" s="213"/>
      <c r="U64" s="213"/>
      <c r="V64" s="58"/>
      <c r="W64"/>
    </row>
    <row r="65" spans="1:23" x14ac:dyDescent="0.2">
      <c r="A65" s="8"/>
      <c r="B65" s="5"/>
      <c r="C65" s="5"/>
      <c r="D65" s="5"/>
      <c r="E65" s="60"/>
      <c r="F65" s="5"/>
      <c r="G65" s="5"/>
      <c r="H65" s="5"/>
      <c r="I65" s="35"/>
      <c r="J65" s="35"/>
      <c r="K65" s="35"/>
      <c r="L65" s="213"/>
      <c r="M65" s="228"/>
      <c r="N65" s="65"/>
      <c r="O65" s="65"/>
      <c r="P65" s="65"/>
      <c r="Q65" s="65"/>
      <c r="R65" s="65"/>
      <c r="S65" s="213"/>
      <c r="T65" s="213"/>
      <c r="U65" s="213"/>
      <c r="V65" s="58"/>
      <c r="W65"/>
    </row>
    <row r="66" spans="1:23" x14ac:dyDescent="0.2">
      <c r="A66" s="14"/>
      <c r="B66" s="14"/>
      <c r="C66" s="250"/>
      <c r="D66" s="244"/>
      <c r="E66" s="245"/>
      <c r="F66" s="244"/>
      <c r="G66" s="244"/>
      <c r="H66" s="14"/>
      <c r="I66" s="206"/>
      <c r="J66" s="157"/>
      <c r="K66" s="248"/>
      <c r="L66" s="213"/>
      <c r="M66" s="228"/>
      <c r="N66" s="65"/>
      <c r="O66" s="65"/>
      <c r="P66" s="66"/>
      <c r="Q66" s="65"/>
      <c r="R66" s="65"/>
      <c r="S66" s="213"/>
      <c r="T66" s="213"/>
      <c r="U66" s="213"/>
      <c r="V66" s="58"/>
      <c r="W66"/>
    </row>
    <row r="67" spans="1:23" x14ac:dyDescent="0.2">
      <c r="A67" s="14"/>
      <c r="B67" s="14"/>
      <c r="C67" s="250"/>
      <c r="D67" s="244"/>
      <c r="E67" s="245"/>
      <c r="F67" s="244"/>
      <c r="G67" s="244"/>
      <c r="H67" s="14"/>
      <c r="I67" s="206"/>
      <c r="J67" s="157"/>
      <c r="K67" s="205"/>
      <c r="L67" s="213"/>
      <c r="M67" s="228"/>
      <c r="N67" s="65"/>
      <c r="O67" s="65"/>
      <c r="P67" s="66"/>
      <c r="Q67" s="65"/>
      <c r="R67" s="65"/>
      <c r="S67" s="213"/>
      <c r="T67" s="213"/>
      <c r="U67" s="213"/>
      <c r="V67" s="58"/>
      <c r="W67"/>
    </row>
    <row r="68" spans="1:23" x14ac:dyDescent="0.2">
      <c r="A68" s="14"/>
      <c r="B68" s="14"/>
      <c r="C68" s="244"/>
      <c r="D68" s="244"/>
      <c r="E68" s="245"/>
      <c r="F68" s="244"/>
      <c r="G68" s="244"/>
      <c r="H68" s="14"/>
      <c r="I68" s="206"/>
      <c r="J68" s="157"/>
      <c r="K68" s="205"/>
      <c r="L68" s="213"/>
      <c r="M68" s="228"/>
      <c r="N68" s="65"/>
      <c r="O68" s="65"/>
      <c r="P68" s="65"/>
      <c r="Q68" s="65"/>
      <c r="R68" s="65"/>
      <c r="S68" s="213"/>
      <c r="T68" s="213"/>
      <c r="U68" s="213"/>
      <c r="V68" s="58"/>
      <c r="W68"/>
    </row>
    <row r="69" spans="1:23" x14ac:dyDescent="0.2">
      <c r="A69" s="244"/>
      <c r="B69" s="13"/>
      <c r="C69" s="244"/>
      <c r="D69" s="244"/>
      <c r="E69" s="245"/>
      <c r="F69" s="244"/>
      <c r="G69" s="244"/>
      <c r="H69" s="244"/>
      <c r="I69" s="205"/>
      <c r="J69" s="205"/>
      <c r="K69" s="97"/>
      <c r="L69" s="213"/>
      <c r="M69" s="228"/>
      <c r="N69" s="65"/>
      <c r="O69" s="65"/>
      <c r="P69" s="65"/>
      <c r="Q69" s="65"/>
      <c r="R69" s="65"/>
      <c r="S69" s="213"/>
      <c r="T69" s="213"/>
      <c r="U69" s="213"/>
      <c r="V69" s="58"/>
      <c r="W69"/>
    </row>
    <row r="70" spans="1:23" x14ac:dyDescent="0.2">
      <c r="A70" s="14"/>
      <c r="B70" s="14"/>
      <c r="C70" s="250"/>
      <c r="D70" s="244"/>
      <c r="E70" s="245"/>
      <c r="F70" s="244"/>
      <c r="G70" s="244"/>
      <c r="H70" s="14"/>
      <c r="I70" s="206"/>
      <c r="J70" s="157"/>
      <c r="K70" s="205"/>
      <c r="L70" s="213"/>
      <c r="M70" s="227"/>
      <c r="N70" s="227"/>
      <c r="O70" s="227"/>
      <c r="P70" s="227"/>
      <c r="Q70" s="227"/>
      <c r="R70" s="227"/>
      <c r="S70" s="213"/>
      <c r="T70" s="213"/>
      <c r="U70" s="213"/>
      <c r="V70" s="58"/>
      <c r="W70"/>
    </row>
    <row r="71" spans="1:23" x14ac:dyDescent="0.2">
      <c r="A71" s="13"/>
      <c r="B71" s="13"/>
      <c r="C71" s="13"/>
      <c r="D71" s="13"/>
      <c r="E71" s="59"/>
      <c r="F71" s="13"/>
      <c r="G71" s="13"/>
      <c r="H71" s="13"/>
      <c r="I71" s="97"/>
      <c r="J71" s="97"/>
      <c r="K71" s="97"/>
      <c r="L71" s="213"/>
      <c r="M71" s="228"/>
      <c r="N71" s="65"/>
      <c r="O71" s="65"/>
      <c r="P71" s="65"/>
      <c r="Q71" s="65"/>
      <c r="R71" s="65"/>
      <c r="S71" s="213"/>
      <c r="T71" s="213"/>
      <c r="U71" s="213"/>
      <c r="V71" s="58"/>
      <c r="W71"/>
    </row>
    <row r="72" spans="1:23" x14ac:dyDescent="0.2">
      <c r="A72" s="12"/>
      <c r="B72" s="13"/>
      <c r="C72" s="13"/>
      <c r="D72" s="13"/>
      <c r="E72" s="59"/>
      <c r="F72" s="13"/>
      <c r="G72" s="13"/>
      <c r="H72" s="13"/>
      <c r="I72" s="97"/>
      <c r="J72" s="97"/>
      <c r="K72" s="97"/>
      <c r="L72" s="213"/>
      <c r="M72" s="228"/>
      <c r="N72" s="65"/>
      <c r="O72" s="65"/>
      <c r="P72" s="65"/>
      <c r="Q72" s="65"/>
      <c r="R72" s="65"/>
      <c r="S72" s="213"/>
      <c r="T72" s="213"/>
      <c r="U72" s="213"/>
      <c r="V72" s="58"/>
      <c r="W72"/>
    </row>
    <row r="73" spans="1:23" x14ac:dyDescent="0.2">
      <c r="A73" s="14"/>
      <c r="B73" s="13"/>
      <c r="C73" s="244"/>
      <c r="D73" s="244"/>
      <c r="E73" s="245"/>
      <c r="F73" s="244"/>
      <c r="G73" s="244"/>
      <c r="H73" s="13"/>
      <c r="I73" s="205"/>
      <c r="J73" s="97"/>
      <c r="K73" s="205"/>
      <c r="L73" s="213"/>
      <c r="M73" s="228"/>
      <c r="N73" s="67"/>
      <c r="O73" s="65"/>
      <c r="P73" s="66"/>
      <c r="Q73" s="65"/>
      <c r="R73" s="65"/>
      <c r="S73" s="213"/>
      <c r="T73" s="213"/>
      <c r="U73" s="213"/>
      <c r="V73" s="58"/>
      <c r="W73"/>
    </row>
    <row r="74" spans="1:23" x14ac:dyDescent="0.2">
      <c r="A74" s="13"/>
      <c r="B74" s="13"/>
      <c r="C74" s="13"/>
      <c r="D74" s="13"/>
      <c r="E74" s="59"/>
      <c r="F74" s="13"/>
      <c r="G74" s="13"/>
      <c r="H74" s="13"/>
      <c r="I74" s="97"/>
      <c r="J74" s="97"/>
      <c r="K74" s="97"/>
      <c r="L74" s="213"/>
      <c r="M74" s="228"/>
      <c r="N74" s="228"/>
      <c r="O74" s="228"/>
      <c r="P74" s="228"/>
      <c r="Q74" s="228"/>
      <c r="R74" s="228"/>
      <c r="S74" s="213"/>
      <c r="T74" s="213"/>
      <c r="U74" s="213"/>
      <c r="V74" s="58"/>
      <c r="W74"/>
    </row>
    <row r="75" spans="1:23" x14ac:dyDescent="0.2">
      <c r="A75" s="12"/>
      <c r="B75" s="13"/>
      <c r="C75" s="13"/>
      <c r="D75" s="13"/>
      <c r="E75" s="59"/>
      <c r="F75" s="13"/>
      <c r="G75" s="13"/>
      <c r="H75" s="13"/>
      <c r="I75" s="97"/>
      <c r="J75" s="97"/>
      <c r="K75" s="97"/>
      <c r="L75" s="213"/>
      <c r="M75" s="228"/>
      <c r="N75" s="65"/>
      <c r="O75" s="65"/>
      <c r="P75" s="66"/>
      <c r="Q75" s="65"/>
      <c r="R75" s="65"/>
      <c r="S75" s="213"/>
      <c r="T75" s="213"/>
      <c r="U75" s="213"/>
      <c r="V75" s="58"/>
      <c r="W75"/>
    </row>
    <row r="76" spans="1:23" x14ac:dyDescent="0.2">
      <c r="A76" s="13"/>
      <c r="B76" s="13"/>
      <c r="C76" s="244"/>
      <c r="D76" s="244"/>
      <c r="E76" s="245"/>
      <c r="F76" s="244"/>
      <c r="G76" s="244"/>
      <c r="H76" s="13"/>
      <c r="I76" s="205"/>
      <c r="J76" s="97"/>
      <c r="K76" s="205"/>
      <c r="L76" s="213"/>
      <c r="M76" s="252"/>
      <c r="N76" s="65"/>
      <c r="O76" s="65"/>
      <c r="P76" s="66"/>
      <c r="Q76" s="65"/>
      <c r="R76" s="65"/>
      <c r="S76" s="213"/>
      <c r="T76" s="213"/>
      <c r="U76" s="213"/>
      <c r="V76" s="58"/>
      <c r="W76"/>
    </row>
    <row r="77" spans="1:23" x14ac:dyDescent="0.2">
      <c r="A77" s="13"/>
      <c r="B77" s="13"/>
      <c r="C77" s="244"/>
      <c r="D77" s="244"/>
      <c r="E77" s="245"/>
      <c r="F77" s="244"/>
      <c r="G77" s="244"/>
      <c r="H77" s="13"/>
      <c r="I77" s="205"/>
      <c r="J77" s="97"/>
      <c r="K77" s="205"/>
      <c r="L77" s="213"/>
      <c r="M77" s="227"/>
      <c r="N77" s="65"/>
      <c r="O77" s="66"/>
      <c r="P77" s="65"/>
      <c r="Q77" s="65"/>
      <c r="R77" s="27"/>
      <c r="S77" s="27"/>
      <c r="T77" s="15"/>
      <c r="U77" s="58"/>
      <c r="V77" s="58"/>
      <c r="W77"/>
    </row>
    <row r="78" spans="1:23" x14ac:dyDescent="0.2">
      <c r="A78" s="13"/>
      <c r="B78" s="13"/>
      <c r="C78" s="13"/>
      <c r="D78" s="13"/>
      <c r="E78" s="59"/>
      <c r="F78" s="13"/>
      <c r="G78" s="13"/>
      <c r="H78" s="13"/>
      <c r="I78" s="13"/>
      <c r="J78" s="97"/>
      <c r="K78" s="97"/>
      <c r="L78" s="213"/>
      <c r="M78" s="227"/>
      <c r="N78" s="65"/>
      <c r="O78" s="66"/>
      <c r="P78" s="65"/>
      <c r="Q78" s="65"/>
      <c r="R78" s="27"/>
      <c r="S78" s="27"/>
      <c r="T78" s="15"/>
      <c r="U78" s="58"/>
      <c r="V78" s="58"/>
      <c r="W78"/>
    </row>
    <row r="79" spans="1:23" x14ac:dyDescent="0.2">
      <c r="A79" s="13"/>
      <c r="B79" s="13"/>
      <c r="C79" s="13"/>
      <c r="D79" s="13"/>
      <c r="E79" s="59"/>
      <c r="F79" s="13"/>
      <c r="G79" s="13"/>
      <c r="H79" s="13"/>
      <c r="I79" s="13"/>
      <c r="J79" s="97"/>
      <c r="K79" s="97"/>
      <c r="L79" s="213"/>
      <c r="M79" s="227"/>
      <c r="N79" s="65"/>
      <c r="O79" s="66"/>
      <c r="P79" s="65"/>
      <c r="Q79" s="65"/>
      <c r="R79" s="27"/>
      <c r="S79" s="27"/>
      <c r="T79" s="15"/>
      <c r="U79" s="58"/>
      <c r="V79" s="58"/>
      <c r="W79"/>
    </row>
    <row r="80" spans="1:23" x14ac:dyDescent="0.2">
      <c r="A80" s="13"/>
      <c r="B80" s="13"/>
      <c r="C80" s="13"/>
      <c r="D80" s="13"/>
      <c r="E80" s="59"/>
      <c r="F80" s="13"/>
      <c r="G80" s="13"/>
      <c r="H80" s="13"/>
      <c r="I80" s="13"/>
      <c r="J80" s="97"/>
      <c r="K80" s="97"/>
      <c r="L80" s="213"/>
      <c r="M80" s="227"/>
      <c r="N80" s="65"/>
      <c r="O80" s="66"/>
      <c r="P80" s="65"/>
      <c r="Q80" s="65"/>
      <c r="R80" s="27"/>
      <c r="S80" s="27"/>
      <c r="T80" s="15"/>
      <c r="U80" s="58"/>
      <c r="V80" s="58"/>
      <c r="W80"/>
    </row>
    <row r="81" spans="1:23" x14ac:dyDescent="0.2">
      <c r="A81" s="13"/>
      <c r="B81" s="13"/>
      <c r="C81" s="13"/>
      <c r="D81" s="13"/>
      <c r="E81" s="59"/>
      <c r="F81" s="13"/>
      <c r="G81" s="13"/>
      <c r="H81" s="13"/>
      <c r="I81" s="13"/>
      <c r="J81" s="97"/>
      <c r="K81" s="97"/>
      <c r="L81" s="213"/>
      <c r="M81" s="227"/>
      <c r="N81" s="65"/>
      <c r="O81" s="66"/>
      <c r="P81" s="65"/>
      <c r="Q81" s="65"/>
      <c r="R81" s="27"/>
      <c r="S81" s="27"/>
      <c r="T81" s="15"/>
      <c r="U81" s="58"/>
      <c r="V81" s="58"/>
      <c r="W81"/>
    </row>
    <row r="82" spans="1:23" x14ac:dyDescent="0.2">
      <c r="A82" s="13"/>
      <c r="B82" s="13"/>
      <c r="C82" s="13"/>
      <c r="D82" s="13"/>
      <c r="E82" s="59"/>
      <c r="F82" s="13"/>
      <c r="G82" s="13"/>
      <c r="H82" s="13"/>
      <c r="I82" s="13"/>
      <c r="J82" s="97"/>
      <c r="K82" s="97"/>
      <c r="L82" s="213"/>
      <c r="M82" s="227"/>
      <c r="N82" s="65"/>
      <c r="O82" s="66"/>
      <c r="P82" s="65"/>
      <c r="Q82" s="65"/>
      <c r="R82" s="27"/>
      <c r="S82" s="27"/>
      <c r="T82" s="15"/>
      <c r="U82" s="58"/>
      <c r="V82" s="58"/>
      <c r="W82"/>
    </row>
    <row r="83" spans="1:23" x14ac:dyDescent="0.2">
      <c r="A83" s="13"/>
      <c r="B83" s="13"/>
      <c r="C83" s="13"/>
      <c r="D83" s="13"/>
      <c r="E83" s="59"/>
      <c r="F83" s="13"/>
      <c r="G83" s="13"/>
      <c r="H83" s="13"/>
      <c r="I83" s="13"/>
      <c r="J83" s="97"/>
      <c r="K83" s="97"/>
      <c r="L83" s="213"/>
      <c r="M83" s="227"/>
      <c r="N83" s="65"/>
      <c r="O83" s="66"/>
      <c r="P83" s="65"/>
      <c r="Q83" s="65"/>
      <c r="R83" s="27"/>
      <c r="S83" s="27"/>
      <c r="T83" s="15"/>
      <c r="U83" s="58"/>
      <c r="V83" s="58"/>
      <c r="W83"/>
    </row>
    <row r="84" spans="1:23" x14ac:dyDescent="0.2">
      <c r="A84" s="13"/>
      <c r="B84" s="13"/>
      <c r="C84" s="13"/>
      <c r="D84" s="13"/>
      <c r="E84" s="59"/>
      <c r="F84" s="13"/>
      <c r="G84" s="13"/>
      <c r="H84" s="13"/>
      <c r="I84" s="13"/>
      <c r="J84" s="97"/>
      <c r="K84" s="97"/>
      <c r="L84" s="213"/>
      <c r="M84" s="227"/>
      <c r="N84" s="65"/>
      <c r="O84" s="66"/>
      <c r="P84" s="65"/>
      <c r="Q84" s="65"/>
      <c r="R84" s="27"/>
      <c r="S84" s="27"/>
      <c r="T84" s="15"/>
      <c r="U84" s="58"/>
      <c r="V84" s="58"/>
      <c r="W84"/>
    </row>
    <row r="85" spans="1:23" x14ac:dyDescent="0.2">
      <c r="A85" s="13"/>
      <c r="B85" s="13"/>
      <c r="C85" s="13"/>
      <c r="D85" s="13"/>
      <c r="E85" s="59"/>
      <c r="F85" s="13"/>
      <c r="G85" s="13"/>
      <c r="H85" s="13"/>
      <c r="I85" s="13"/>
      <c r="J85" s="97"/>
      <c r="K85" s="97"/>
      <c r="L85" s="213"/>
      <c r="M85" s="227"/>
      <c r="N85" s="65"/>
      <c r="O85" s="66"/>
      <c r="P85" s="65"/>
      <c r="Q85" s="65"/>
      <c r="R85" s="27"/>
      <c r="S85" s="27"/>
      <c r="T85" s="15"/>
      <c r="U85" s="58"/>
      <c r="V85" s="58"/>
      <c r="W85"/>
    </row>
    <row r="86" spans="1:23" x14ac:dyDescent="0.2">
      <c r="A86" s="13"/>
      <c r="B86" s="13"/>
      <c r="C86" s="13"/>
      <c r="D86" s="13"/>
      <c r="E86" s="59"/>
      <c r="F86" s="13"/>
      <c r="G86" s="13"/>
      <c r="H86" s="13"/>
      <c r="I86" s="13"/>
      <c r="J86" s="97"/>
      <c r="K86" s="97"/>
      <c r="L86" s="213"/>
      <c r="M86" s="227"/>
      <c r="N86" s="65"/>
      <c r="O86" s="66"/>
      <c r="P86" s="65"/>
      <c r="Q86" s="65"/>
      <c r="R86" s="27"/>
      <c r="S86" s="27"/>
      <c r="T86" s="15"/>
      <c r="U86" s="58"/>
      <c r="V86" s="58"/>
      <c r="W86"/>
    </row>
    <row r="87" spans="1:23" x14ac:dyDescent="0.2">
      <c r="A87" s="13"/>
      <c r="B87" s="13"/>
      <c r="C87" s="13"/>
      <c r="D87" s="13"/>
      <c r="E87" s="59"/>
      <c r="F87" s="13"/>
      <c r="G87" s="13"/>
      <c r="H87" s="13"/>
      <c r="I87" s="13"/>
      <c r="J87" s="97"/>
      <c r="K87" s="97"/>
      <c r="L87" s="213"/>
      <c r="M87" s="227"/>
      <c r="N87" s="65"/>
      <c r="O87" s="66"/>
      <c r="P87" s="65"/>
      <c r="Q87" s="65"/>
      <c r="R87" s="27"/>
      <c r="S87" s="27"/>
      <c r="T87" s="15"/>
      <c r="U87" s="58"/>
      <c r="V87" s="58"/>
      <c r="W87"/>
    </row>
    <row r="88" spans="1:23" x14ac:dyDescent="0.2">
      <c r="A88" s="13"/>
      <c r="B88" s="13"/>
      <c r="C88" s="13"/>
      <c r="D88" s="13"/>
      <c r="E88" s="59"/>
      <c r="F88" s="13"/>
      <c r="G88" s="13"/>
      <c r="H88" s="13"/>
      <c r="I88" s="13"/>
      <c r="J88" s="97"/>
      <c r="K88" s="97"/>
      <c r="L88" s="213"/>
      <c r="M88" s="227"/>
      <c r="N88" s="65"/>
      <c r="O88" s="66"/>
      <c r="P88" s="65"/>
      <c r="Q88" s="65"/>
      <c r="R88" s="27"/>
      <c r="S88" s="27"/>
      <c r="T88" s="15"/>
      <c r="U88" s="58"/>
      <c r="V88" s="58"/>
      <c r="W88"/>
    </row>
    <row r="89" spans="1:23" x14ac:dyDescent="0.2">
      <c r="A89" s="13"/>
      <c r="B89" s="13"/>
      <c r="C89" s="13"/>
      <c r="D89" s="13"/>
      <c r="E89" s="59"/>
      <c r="F89" s="13"/>
      <c r="G89" s="13"/>
      <c r="H89" s="13"/>
      <c r="I89" s="13"/>
      <c r="J89" s="97"/>
      <c r="K89" s="97"/>
      <c r="L89" s="213"/>
      <c r="M89" s="227"/>
      <c r="N89" s="65"/>
      <c r="O89" s="66"/>
      <c r="P89" s="65"/>
      <c r="Q89" s="65"/>
      <c r="R89" s="27"/>
      <c r="S89" s="27"/>
      <c r="T89" s="15"/>
      <c r="U89" s="58"/>
      <c r="V89" s="58"/>
      <c r="W89"/>
    </row>
    <row r="90" spans="1:23" x14ac:dyDescent="0.2">
      <c r="A90" s="13"/>
      <c r="B90" s="13"/>
      <c r="C90" s="13"/>
      <c r="D90" s="13"/>
      <c r="E90" s="59"/>
      <c r="F90" s="13"/>
      <c r="G90" s="13"/>
      <c r="H90" s="13"/>
      <c r="I90" s="13"/>
      <c r="J90" s="97"/>
      <c r="K90" s="97"/>
      <c r="L90" s="213"/>
      <c r="M90" s="227"/>
      <c r="N90" s="65"/>
      <c r="O90" s="66"/>
      <c r="P90" s="65"/>
      <c r="Q90" s="65"/>
      <c r="R90" s="27"/>
      <c r="S90" s="27"/>
      <c r="T90" s="15"/>
      <c r="U90" s="58"/>
      <c r="V90" s="58"/>
      <c r="W90"/>
    </row>
    <row r="91" spans="1:23" x14ac:dyDescent="0.2">
      <c r="A91" s="13"/>
      <c r="B91" s="13"/>
      <c r="C91" s="13"/>
      <c r="D91" s="13"/>
      <c r="E91" s="59"/>
      <c r="F91" s="13"/>
      <c r="G91" s="13"/>
      <c r="H91" s="13"/>
      <c r="I91" s="13"/>
      <c r="J91" s="97"/>
      <c r="K91" s="97"/>
      <c r="L91" s="213"/>
      <c r="M91" s="227"/>
      <c r="N91" s="65"/>
      <c r="O91" s="66"/>
      <c r="P91" s="65"/>
      <c r="Q91" s="65"/>
      <c r="R91" s="27"/>
      <c r="S91" s="27"/>
      <c r="T91" s="15"/>
      <c r="U91" s="58"/>
      <c r="V91" s="58"/>
      <c r="W91"/>
    </row>
    <row r="92" spans="1:23" x14ac:dyDescent="0.2">
      <c r="A92" s="13"/>
      <c r="B92" s="13"/>
      <c r="C92" s="13"/>
      <c r="D92" s="13"/>
      <c r="E92" s="59"/>
      <c r="F92" s="13"/>
      <c r="G92" s="13"/>
      <c r="H92" s="13"/>
      <c r="I92" s="13"/>
      <c r="J92" s="97"/>
      <c r="K92" s="97"/>
      <c r="L92" s="213"/>
      <c r="M92" s="227"/>
      <c r="N92" s="65"/>
      <c r="O92" s="66"/>
      <c r="P92" s="65"/>
      <c r="Q92" s="65"/>
      <c r="R92" s="27"/>
      <c r="S92" s="27"/>
      <c r="T92" s="15"/>
      <c r="U92" s="58"/>
      <c r="V92" s="58"/>
      <c r="W92"/>
    </row>
    <row r="93" spans="1:23" x14ac:dyDescent="0.2">
      <c r="A93" s="13"/>
      <c r="B93" s="13"/>
      <c r="C93" s="13"/>
      <c r="D93" s="13"/>
      <c r="E93" s="59"/>
      <c r="F93" s="13"/>
      <c r="G93" s="13"/>
      <c r="H93" s="13"/>
      <c r="I93" s="13"/>
      <c r="J93" s="97"/>
      <c r="K93" s="97"/>
      <c r="L93" s="213"/>
      <c r="M93" s="227"/>
      <c r="N93" s="65"/>
      <c r="O93" s="66"/>
      <c r="P93" s="65"/>
      <c r="Q93" s="65"/>
      <c r="R93" s="27"/>
      <c r="S93" s="27"/>
      <c r="T93" s="15"/>
      <c r="U93" s="58"/>
      <c r="V93" s="58"/>
      <c r="W93"/>
    </row>
    <row r="94" spans="1:23" x14ac:dyDescent="0.2">
      <c r="A94" s="13"/>
      <c r="B94" s="13"/>
      <c r="C94" s="13"/>
      <c r="D94" s="13"/>
      <c r="E94" s="59"/>
      <c r="F94" s="13"/>
      <c r="G94" s="13"/>
      <c r="H94" s="13"/>
      <c r="I94" s="13"/>
      <c r="J94" s="97"/>
      <c r="K94" s="97"/>
      <c r="L94" s="213"/>
      <c r="M94" s="227"/>
      <c r="N94" s="65"/>
      <c r="O94" s="66"/>
      <c r="P94" s="65"/>
      <c r="Q94" s="65"/>
      <c r="R94" s="27"/>
      <c r="S94" s="27"/>
      <c r="T94" s="15"/>
      <c r="U94" s="58"/>
      <c r="V94" s="58"/>
      <c r="W94"/>
    </row>
    <row r="95" spans="1:23" x14ac:dyDescent="0.2">
      <c r="A95" s="13"/>
      <c r="B95" s="13"/>
      <c r="C95" s="13"/>
      <c r="D95" s="13"/>
      <c r="E95" s="59"/>
      <c r="F95" s="13"/>
      <c r="G95" s="13"/>
      <c r="H95" s="13"/>
      <c r="I95" s="13"/>
      <c r="J95" s="97"/>
      <c r="K95" s="97"/>
      <c r="L95" s="213"/>
      <c r="M95" s="227"/>
      <c r="N95" s="65"/>
      <c r="O95" s="66"/>
      <c r="P95" s="65"/>
      <c r="Q95" s="65"/>
      <c r="R95" s="27"/>
      <c r="S95" s="27"/>
      <c r="T95" s="15"/>
      <c r="U95" s="58"/>
      <c r="V95" s="58"/>
      <c r="W95"/>
    </row>
    <row r="96" spans="1:23" x14ac:dyDescent="0.2">
      <c r="A96" s="13"/>
      <c r="B96" s="13"/>
      <c r="C96" s="13"/>
      <c r="D96" s="13"/>
      <c r="E96" s="59"/>
      <c r="F96" s="13"/>
      <c r="G96" s="13"/>
      <c r="H96" s="13"/>
      <c r="I96" s="13"/>
      <c r="J96" s="97"/>
      <c r="K96" s="97"/>
      <c r="L96" s="213"/>
      <c r="M96" s="227"/>
      <c r="N96" s="65"/>
      <c r="O96" s="66"/>
      <c r="P96" s="65"/>
      <c r="Q96" s="65"/>
      <c r="R96" s="27"/>
      <c r="S96" s="27"/>
      <c r="T96" s="15"/>
      <c r="U96" s="58"/>
      <c r="V96" s="58"/>
      <c r="W96"/>
    </row>
    <row r="97" spans="1:23" x14ac:dyDescent="0.2">
      <c r="A97" s="13"/>
      <c r="B97" s="13"/>
      <c r="C97" s="13"/>
      <c r="D97" s="13"/>
      <c r="E97" s="59"/>
      <c r="F97" s="13"/>
      <c r="G97" s="13"/>
      <c r="H97" s="13"/>
      <c r="I97" s="13"/>
      <c r="J97" s="97"/>
      <c r="K97" s="97"/>
      <c r="L97" s="213"/>
      <c r="M97" s="227"/>
      <c r="N97" s="65"/>
      <c r="O97" s="66"/>
      <c r="P97" s="65"/>
      <c r="Q97" s="65"/>
      <c r="R97" s="27"/>
      <c r="S97" s="27"/>
      <c r="T97" s="15"/>
      <c r="U97" s="58"/>
      <c r="V97" s="58"/>
      <c r="W97"/>
    </row>
    <row r="98" spans="1:23" x14ac:dyDescent="0.2">
      <c r="A98" s="13"/>
      <c r="B98" s="13"/>
      <c r="C98" s="13"/>
      <c r="D98" s="13"/>
      <c r="E98" s="59"/>
      <c r="F98" s="13"/>
      <c r="G98" s="13"/>
      <c r="H98" s="13"/>
      <c r="I98" s="13"/>
      <c r="J98" s="97"/>
      <c r="K98" s="97"/>
      <c r="L98" s="213"/>
      <c r="M98" s="227"/>
      <c r="N98" s="65"/>
      <c r="O98" s="66"/>
      <c r="P98" s="65"/>
      <c r="Q98" s="65"/>
      <c r="R98" s="27"/>
      <c r="S98" s="27"/>
      <c r="T98" s="15"/>
      <c r="U98" s="58"/>
      <c r="V98" s="58"/>
      <c r="W98"/>
    </row>
    <row r="99" spans="1:23" x14ac:dyDescent="0.2">
      <c r="A99" s="13"/>
      <c r="B99" s="13"/>
      <c r="C99" s="13"/>
      <c r="D99" s="13"/>
      <c r="E99" s="59"/>
      <c r="F99" s="13"/>
      <c r="G99" s="13"/>
      <c r="H99" s="13"/>
      <c r="I99" s="13"/>
      <c r="J99" s="97"/>
      <c r="K99" s="97"/>
      <c r="L99" s="213"/>
      <c r="M99" s="227"/>
      <c r="N99" s="65"/>
      <c r="O99" s="66"/>
      <c r="P99" s="65"/>
      <c r="Q99" s="65"/>
      <c r="R99" s="27"/>
      <c r="S99" s="27"/>
      <c r="T99" s="15"/>
      <c r="U99" s="58"/>
      <c r="V99" s="58"/>
      <c r="W99"/>
    </row>
    <row r="100" spans="1:23" x14ac:dyDescent="0.2">
      <c r="A100" s="13"/>
      <c r="B100" s="13"/>
      <c r="C100" s="13"/>
      <c r="D100" s="13"/>
      <c r="E100" s="59"/>
      <c r="F100" s="13"/>
      <c r="G100" s="13"/>
      <c r="H100" s="13"/>
      <c r="I100" s="13"/>
      <c r="J100" s="97"/>
      <c r="K100" s="97"/>
      <c r="L100" s="213"/>
      <c r="M100" s="227"/>
      <c r="N100" s="65"/>
      <c r="O100" s="66"/>
      <c r="P100" s="65"/>
      <c r="Q100" s="65"/>
      <c r="R100" s="27"/>
      <c r="S100" s="27"/>
      <c r="T100" s="15"/>
      <c r="U100" s="58"/>
      <c r="V100" s="58"/>
      <c r="W100"/>
    </row>
    <row r="101" spans="1:23" x14ac:dyDescent="0.2">
      <c r="A101" s="13"/>
      <c r="B101" s="13"/>
      <c r="C101" s="13"/>
      <c r="D101" s="13"/>
      <c r="E101" s="59"/>
      <c r="F101" s="13"/>
      <c r="G101" s="13"/>
      <c r="H101" s="13"/>
      <c r="I101" s="13"/>
      <c r="J101" s="97"/>
      <c r="K101" s="97"/>
      <c r="L101" s="213"/>
      <c r="M101" s="227"/>
      <c r="N101" s="65"/>
      <c r="O101" s="66"/>
      <c r="P101" s="65"/>
      <c r="Q101" s="65"/>
      <c r="R101" s="27"/>
      <c r="S101" s="27"/>
      <c r="T101" s="15"/>
      <c r="U101" s="58"/>
      <c r="V101" s="58"/>
      <c r="W101"/>
    </row>
    <row r="102" spans="1:23" x14ac:dyDescent="0.2">
      <c r="A102" s="13"/>
      <c r="B102" s="13"/>
      <c r="C102" s="13"/>
      <c r="D102" s="13"/>
      <c r="E102" s="59"/>
      <c r="F102" s="13"/>
      <c r="G102" s="13"/>
      <c r="H102" s="13"/>
      <c r="I102" s="13"/>
      <c r="J102" s="97"/>
      <c r="K102" s="97"/>
      <c r="L102" s="213"/>
      <c r="M102" s="227"/>
      <c r="N102" s="65"/>
      <c r="O102" s="66"/>
      <c r="P102" s="65"/>
      <c r="Q102" s="65"/>
      <c r="R102" s="27"/>
      <c r="S102" s="27"/>
      <c r="T102" s="15"/>
      <c r="U102" s="58"/>
      <c r="V102" s="58"/>
      <c r="W102"/>
    </row>
    <row r="103" spans="1:23" x14ac:dyDescent="0.2">
      <c r="A103" s="13"/>
      <c r="B103" s="13"/>
      <c r="C103" s="13"/>
      <c r="D103" s="13"/>
      <c r="E103" s="59"/>
      <c r="F103" s="13"/>
      <c r="G103" s="13"/>
      <c r="H103" s="13"/>
      <c r="I103" s="13"/>
      <c r="J103" s="97"/>
      <c r="K103" s="97"/>
      <c r="L103" s="213"/>
      <c r="M103" s="227"/>
      <c r="N103" s="65"/>
      <c r="O103" s="66"/>
      <c r="P103" s="65"/>
      <c r="Q103" s="65"/>
      <c r="R103" s="27"/>
      <c r="S103" s="27"/>
      <c r="T103" s="15"/>
      <c r="U103" s="58"/>
      <c r="V103" s="58"/>
      <c r="W103"/>
    </row>
    <row r="104" spans="1:23" x14ac:dyDescent="0.2">
      <c r="A104" s="13"/>
      <c r="B104" s="13"/>
      <c r="C104" s="13"/>
      <c r="D104" s="13"/>
      <c r="E104" s="59"/>
      <c r="F104" s="13"/>
      <c r="G104" s="13"/>
      <c r="H104" s="13"/>
      <c r="I104" s="13"/>
      <c r="J104" s="97"/>
      <c r="K104" s="97"/>
      <c r="L104" s="213"/>
      <c r="M104" s="227"/>
      <c r="N104" s="65"/>
      <c r="O104" s="66"/>
      <c r="P104" s="65"/>
      <c r="Q104" s="65"/>
      <c r="R104" s="27"/>
      <c r="S104" s="27"/>
      <c r="T104" s="15"/>
      <c r="U104" s="58"/>
      <c r="V104" s="58"/>
      <c r="W104"/>
    </row>
    <row r="105" spans="1:23" x14ac:dyDescent="0.2">
      <c r="A105" s="13"/>
      <c r="B105" s="13"/>
      <c r="C105" s="13"/>
      <c r="D105" s="13"/>
      <c r="E105" s="59"/>
      <c r="F105" s="13"/>
      <c r="G105" s="13"/>
      <c r="H105" s="13"/>
      <c r="I105" s="13"/>
      <c r="J105" s="97"/>
      <c r="K105" s="97"/>
      <c r="L105" s="213"/>
      <c r="M105" s="227"/>
      <c r="N105" s="65"/>
      <c r="O105" s="66"/>
      <c r="P105" s="65"/>
      <c r="Q105" s="65"/>
      <c r="R105" s="27"/>
      <c r="S105" s="27"/>
      <c r="T105" s="15"/>
      <c r="U105" s="58"/>
      <c r="V105" s="58"/>
      <c r="W105"/>
    </row>
    <row r="106" spans="1:23" x14ac:dyDescent="0.2">
      <c r="A106" s="13"/>
      <c r="B106" s="13"/>
      <c r="C106" s="13"/>
      <c r="D106" s="13"/>
      <c r="E106" s="59"/>
      <c r="F106" s="13"/>
      <c r="G106" s="13"/>
      <c r="H106" s="13"/>
      <c r="I106" s="13"/>
      <c r="J106" s="97"/>
      <c r="K106" s="97"/>
      <c r="L106" s="213"/>
      <c r="M106" s="227"/>
      <c r="N106" s="65"/>
      <c r="O106" s="66"/>
      <c r="P106" s="65"/>
      <c r="Q106" s="65"/>
      <c r="R106" s="27"/>
      <c r="S106" s="27"/>
      <c r="T106" s="15"/>
      <c r="U106" s="58"/>
      <c r="V106" s="58"/>
      <c r="W106"/>
    </row>
    <row r="107" spans="1:23" x14ac:dyDescent="0.2">
      <c r="A107" s="13"/>
      <c r="B107" s="13"/>
      <c r="C107" s="13"/>
      <c r="D107" s="13"/>
      <c r="E107" s="59"/>
      <c r="F107" s="13"/>
      <c r="G107" s="13"/>
      <c r="H107" s="13"/>
      <c r="I107" s="13"/>
      <c r="J107" s="97"/>
      <c r="K107" s="97"/>
      <c r="L107" s="213"/>
      <c r="M107" s="227"/>
      <c r="N107" s="65"/>
      <c r="O107" s="66"/>
      <c r="P107" s="65"/>
      <c r="Q107" s="65"/>
      <c r="R107" s="27"/>
      <c r="S107" s="27"/>
      <c r="T107" s="15"/>
      <c r="U107" s="58"/>
      <c r="V107" s="58"/>
      <c r="W107"/>
    </row>
    <row r="108" spans="1:23" x14ac:dyDescent="0.2">
      <c r="A108" s="13"/>
      <c r="B108" s="13"/>
      <c r="C108" s="13"/>
      <c r="D108" s="13"/>
      <c r="E108" s="59"/>
      <c r="F108" s="13"/>
      <c r="G108" s="13"/>
      <c r="H108" s="13"/>
      <c r="I108" s="13"/>
      <c r="J108" s="97"/>
      <c r="K108" s="97"/>
      <c r="L108" s="213"/>
      <c r="M108" s="227"/>
      <c r="N108" s="65"/>
      <c r="O108" s="66"/>
      <c r="P108" s="65"/>
      <c r="Q108" s="65"/>
      <c r="R108" s="27"/>
      <c r="S108" s="27"/>
      <c r="T108" s="15"/>
      <c r="U108" s="58"/>
      <c r="V108" s="58"/>
      <c r="W108"/>
    </row>
    <row r="109" spans="1:23" x14ac:dyDescent="0.2">
      <c r="A109" s="13"/>
      <c r="B109" s="13"/>
      <c r="C109" s="13"/>
      <c r="D109" s="13"/>
      <c r="E109" s="59"/>
      <c r="F109" s="13"/>
      <c r="G109" s="13"/>
      <c r="H109" s="13"/>
      <c r="I109" s="13"/>
      <c r="J109" s="97"/>
      <c r="K109" s="97"/>
      <c r="L109" s="213"/>
      <c r="M109" s="227"/>
      <c r="N109" s="65"/>
      <c r="O109" s="66"/>
      <c r="P109" s="65"/>
      <c r="Q109" s="65"/>
      <c r="R109" s="27"/>
      <c r="S109" s="27"/>
      <c r="T109" s="15"/>
      <c r="U109" s="58"/>
      <c r="V109" s="58"/>
      <c r="W109"/>
    </row>
    <row r="110" spans="1:23" x14ac:dyDescent="0.2">
      <c r="A110" s="13"/>
      <c r="B110" s="13"/>
      <c r="C110" s="13"/>
      <c r="D110" s="13"/>
      <c r="E110" s="59"/>
      <c r="F110" s="13"/>
      <c r="G110" s="13"/>
      <c r="H110" s="13"/>
      <c r="I110" s="13"/>
      <c r="J110" s="97"/>
      <c r="K110" s="97"/>
      <c r="L110" s="213"/>
      <c r="M110" s="227"/>
      <c r="N110" s="65"/>
      <c r="O110" s="66"/>
      <c r="P110" s="65"/>
      <c r="Q110" s="65"/>
      <c r="R110" s="27"/>
      <c r="S110" s="27"/>
      <c r="T110" s="15"/>
      <c r="U110" s="58"/>
      <c r="V110" s="58"/>
      <c r="W110"/>
    </row>
    <row r="111" spans="1:23" x14ac:dyDescent="0.2">
      <c r="A111" s="13"/>
      <c r="B111" s="13"/>
      <c r="C111" s="13"/>
      <c r="D111" s="13"/>
      <c r="E111" s="59"/>
      <c r="F111" s="13"/>
      <c r="G111" s="13"/>
      <c r="H111" s="13"/>
      <c r="I111" s="13"/>
      <c r="J111" s="97"/>
      <c r="K111" s="97"/>
      <c r="L111" s="213"/>
      <c r="M111" s="227"/>
      <c r="N111" s="65"/>
      <c r="O111" s="66"/>
      <c r="P111" s="65"/>
      <c r="Q111" s="65"/>
      <c r="R111" s="27"/>
      <c r="S111" s="27"/>
      <c r="T111" s="15"/>
      <c r="U111" s="58"/>
      <c r="V111" s="58"/>
      <c r="W111"/>
    </row>
    <row r="112" spans="1:23" x14ac:dyDescent="0.2">
      <c r="A112" s="13"/>
      <c r="B112" s="13"/>
      <c r="C112" s="13"/>
      <c r="D112" s="13"/>
      <c r="E112" s="59"/>
      <c r="F112" s="13"/>
      <c r="G112" s="13"/>
      <c r="H112" s="13"/>
      <c r="I112" s="13"/>
      <c r="J112" s="97"/>
      <c r="K112" s="97"/>
      <c r="L112" s="213"/>
      <c r="M112" s="227"/>
      <c r="N112" s="65"/>
      <c r="O112" s="66"/>
      <c r="P112" s="65"/>
      <c r="Q112" s="65"/>
      <c r="R112" s="27"/>
      <c r="S112" s="27"/>
      <c r="T112" s="15"/>
      <c r="U112" s="58"/>
      <c r="V112" s="58"/>
      <c r="W112"/>
    </row>
    <row r="113" spans="1:23" x14ac:dyDescent="0.2">
      <c r="A113" s="13"/>
      <c r="B113" s="13"/>
      <c r="C113" s="13"/>
      <c r="D113" s="13"/>
      <c r="E113" s="59"/>
      <c r="F113" s="13"/>
      <c r="G113" s="13"/>
      <c r="H113" s="13"/>
      <c r="I113" s="13"/>
      <c r="J113" s="97"/>
      <c r="K113" s="97"/>
      <c r="L113" s="213"/>
      <c r="M113" s="227"/>
      <c r="N113" s="65"/>
      <c r="O113" s="66"/>
      <c r="P113" s="65"/>
      <c r="Q113" s="65"/>
      <c r="R113" s="27"/>
      <c r="S113" s="27"/>
      <c r="T113" s="15"/>
      <c r="U113" s="58"/>
      <c r="V113" s="58"/>
      <c r="W113"/>
    </row>
    <row r="114" spans="1:23" x14ac:dyDescent="0.2">
      <c r="A114" s="13"/>
      <c r="B114" s="13"/>
      <c r="C114" s="13"/>
      <c r="D114" s="13"/>
      <c r="E114" s="59"/>
      <c r="F114" s="13"/>
      <c r="G114" s="13"/>
      <c r="H114" s="13"/>
      <c r="I114" s="13"/>
      <c r="J114" s="97"/>
      <c r="K114" s="97"/>
      <c r="L114" s="213"/>
      <c r="M114" s="227"/>
      <c r="N114" s="65"/>
      <c r="O114" s="66"/>
      <c r="P114" s="65"/>
      <c r="Q114" s="65"/>
      <c r="R114" s="27"/>
      <c r="S114" s="27"/>
      <c r="T114" s="15"/>
      <c r="U114" s="58"/>
      <c r="V114" s="58"/>
      <c r="W114"/>
    </row>
    <row r="115" spans="1:23" x14ac:dyDescent="0.2">
      <c r="A115" s="13"/>
      <c r="B115" s="13"/>
      <c r="C115" s="13"/>
      <c r="D115" s="13"/>
      <c r="E115" s="59"/>
      <c r="F115" s="13"/>
      <c r="G115" s="13"/>
      <c r="H115" s="13"/>
      <c r="I115" s="13"/>
      <c r="J115" s="97"/>
      <c r="K115" s="97"/>
      <c r="L115" s="213"/>
      <c r="M115" s="227"/>
      <c r="N115" s="65"/>
      <c r="O115" s="66"/>
      <c r="P115" s="65"/>
      <c r="Q115" s="65"/>
      <c r="R115" s="27"/>
      <c r="S115" s="27"/>
      <c r="T115" s="15"/>
      <c r="U115" s="58"/>
      <c r="V115" s="58"/>
      <c r="W115"/>
    </row>
    <row r="116" spans="1:23" x14ac:dyDescent="0.2">
      <c r="A116" s="13"/>
      <c r="B116" s="13"/>
      <c r="C116" s="13"/>
      <c r="D116" s="13"/>
      <c r="E116" s="59"/>
      <c r="F116" s="13"/>
      <c r="G116" s="13"/>
      <c r="H116" s="13"/>
      <c r="I116" s="13"/>
      <c r="J116" s="97"/>
      <c r="K116" s="97"/>
      <c r="L116" s="213"/>
      <c r="M116" s="227"/>
      <c r="N116" s="65"/>
      <c r="O116" s="66"/>
      <c r="P116" s="65"/>
      <c r="Q116" s="65"/>
      <c r="R116" s="27"/>
      <c r="S116" s="27"/>
      <c r="T116" s="15"/>
      <c r="U116" s="58"/>
      <c r="V116" s="58"/>
      <c r="W116"/>
    </row>
    <row r="117" spans="1:23" x14ac:dyDescent="0.2">
      <c r="A117" s="13"/>
      <c r="B117" s="13"/>
      <c r="C117" s="13"/>
      <c r="D117" s="13"/>
      <c r="E117" s="59"/>
      <c r="F117" s="13"/>
      <c r="G117" s="13"/>
      <c r="H117" s="13"/>
      <c r="I117" s="13"/>
      <c r="J117" s="97"/>
      <c r="K117" s="97"/>
      <c r="L117" s="213"/>
      <c r="M117" s="227"/>
      <c r="N117" s="65"/>
      <c r="O117" s="66"/>
      <c r="P117" s="65"/>
      <c r="Q117" s="65"/>
      <c r="R117" s="27"/>
      <c r="S117" s="27"/>
      <c r="T117" s="15"/>
      <c r="U117" s="58"/>
      <c r="V117" s="58"/>
      <c r="W117"/>
    </row>
    <row r="118" spans="1:23" x14ac:dyDescent="0.2">
      <c r="A118" s="13"/>
      <c r="B118" s="13"/>
      <c r="C118" s="13"/>
      <c r="D118" s="13"/>
      <c r="E118" s="59"/>
      <c r="F118" s="13"/>
      <c r="G118" s="13"/>
      <c r="H118" s="13"/>
      <c r="I118" s="13"/>
      <c r="J118" s="97"/>
      <c r="K118" s="97"/>
      <c r="L118" s="213"/>
      <c r="M118" s="227"/>
      <c r="N118" s="65"/>
      <c r="O118" s="66"/>
      <c r="P118" s="65"/>
      <c r="Q118" s="65"/>
      <c r="R118" s="27"/>
      <c r="S118" s="27"/>
      <c r="T118" s="15"/>
      <c r="U118" s="58"/>
      <c r="V118" s="58"/>
      <c r="W118"/>
    </row>
    <row r="119" spans="1:23" x14ac:dyDescent="0.2">
      <c r="A119" s="13"/>
      <c r="B119" s="13"/>
      <c r="C119" s="13"/>
      <c r="D119" s="13"/>
      <c r="E119" s="59"/>
      <c r="F119" s="13"/>
      <c r="G119" s="13"/>
      <c r="H119" s="13"/>
      <c r="I119" s="13"/>
      <c r="J119" s="97"/>
      <c r="K119" s="97"/>
      <c r="L119" s="213"/>
      <c r="M119" s="227"/>
      <c r="N119" s="65"/>
      <c r="O119" s="66"/>
      <c r="P119" s="65"/>
      <c r="Q119" s="65"/>
      <c r="R119" s="27"/>
      <c r="S119" s="27"/>
      <c r="T119" s="15"/>
      <c r="U119" s="58"/>
      <c r="V119" s="58"/>
      <c r="W119"/>
    </row>
    <row r="120" spans="1:23" x14ac:dyDescent="0.2">
      <c r="A120" s="13"/>
      <c r="B120" s="13"/>
      <c r="C120" s="13"/>
      <c r="D120" s="13"/>
      <c r="E120" s="59"/>
      <c r="F120" s="13"/>
      <c r="G120" s="13"/>
      <c r="H120" s="13"/>
      <c r="I120" s="13"/>
      <c r="J120" s="97"/>
      <c r="K120" s="97"/>
      <c r="L120" s="213"/>
      <c r="M120" s="227"/>
      <c r="N120" s="65"/>
      <c r="O120" s="66"/>
      <c r="P120" s="65"/>
      <c r="Q120" s="65"/>
      <c r="R120" s="27"/>
      <c r="S120" s="27"/>
      <c r="T120" s="15"/>
      <c r="U120" s="58"/>
      <c r="V120" s="58"/>
      <c r="W120"/>
    </row>
    <row r="121" spans="1:23" x14ac:dyDescent="0.2">
      <c r="A121" s="13"/>
      <c r="B121" s="13"/>
      <c r="C121" s="13"/>
      <c r="D121" s="13"/>
      <c r="E121" s="59"/>
      <c r="F121" s="13"/>
      <c r="G121" s="13"/>
      <c r="H121" s="13"/>
      <c r="I121" s="13"/>
      <c r="J121" s="97"/>
      <c r="K121" s="97"/>
      <c r="L121" s="213"/>
      <c r="M121" s="227"/>
      <c r="N121" s="65"/>
      <c r="O121" s="66"/>
      <c r="P121" s="65"/>
      <c r="Q121" s="65"/>
      <c r="R121" s="27"/>
      <c r="S121" s="27"/>
      <c r="T121" s="15"/>
      <c r="U121" s="58"/>
      <c r="V121" s="58"/>
      <c r="W121"/>
    </row>
    <row r="122" spans="1:23" x14ac:dyDescent="0.2">
      <c r="A122" s="13"/>
      <c r="B122" s="13"/>
      <c r="C122" s="13"/>
      <c r="D122" s="13"/>
      <c r="E122" s="59"/>
      <c r="F122" s="13"/>
      <c r="G122" s="13"/>
      <c r="H122" s="13"/>
      <c r="I122" s="13"/>
      <c r="J122" s="97"/>
      <c r="K122" s="97"/>
      <c r="L122" s="213"/>
      <c r="M122" s="227"/>
      <c r="N122" s="65"/>
      <c r="O122" s="66"/>
      <c r="P122" s="65"/>
      <c r="Q122" s="65"/>
      <c r="R122" s="27"/>
      <c r="S122" s="27"/>
      <c r="T122" s="15"/>
      <c r="U122" s="58"/>
      <c r="V122" s="58"/>
      <c r="W122"/>
    </row>
    <row r="123" spans="1:23" x14ac:dyDescent="0.2">
      <c r="A123" s="13"/>
      <c r="B123" s="13"/>
      <c r="C123" s="13"/>
      <c r="D123" s="13"/>
      <c r="E123" s="59"/>
      <c r="F123" s="13"/>
      <c r="G123" s="13"/>
      <c r="H123" s="13"/>
      <c r="I123" s="13"/>
      <c r="J123" s="97"/>
      <c r="K123" s="97"/>
      <c r="L123" s="213"/>
      <c r="M123" s="227"/>
      <c r="N123" s="65"/>
      <c r="O123" s="66"/>
      <c r="P123" s="65"/>
      <c r="Q123" s="65"/>
      <c r="R123" s="27"/>
      <c r="S123" s="27"/>
      <c r="T123" s="15"/>
      <c r="U123" s="58"/>
      <c r="V123" s="58"/>
      <c r="W123"/>
    </row>
    <row r="124" spans="1:23" x14ac:dyDescent="0.2">
      <c r="A124" s="13"/>
      <c r="B124" s="13"/>
      <c r="C124" s="13"/>
      <c r="D124" s="13"/>
      <c r="E124" s="59"/>
      <c r="F124" s="13"/>
      <c r="G124" s="13"/>
      <c r="H124" s="13"/>
      <c r="I124" s="13"/>
      <c r="J124" s="97"/>
      <c r="K124" s="97"/>
      <c r="L124" s="213"/>
      <c r="M124" s="227"/>
      <c r="N124" s="65"/>
      <c r="O124" s="66"/>
      <c r="P124" s="65"/>
      <c r="Q124" s="65"/>
      <c r="R124" s="27"/>
      <c r="S124" s="27"/>
      <c r="T124" s="15"/>
      <c r="U124" s="58"/>
      <c r="V124" s="58"/>
      <c r="W124"/>
    </row>
    <row r="125" spans="1:23" x14ac:dyDescent="0.2">
      <c r="A125" s="13"/>
      <c r="B125" s="13"/>
      <c r="C125" s="13"/>
      <c r="D125" s="13"/>
      <c r="E125" s="59"/>
      <c r="F125" s="13"/>
      <c r="G125" s="13"/>
      <c r="H125" s="13"/>
      <c r="I125" s="13"/>
      <c r="J125" s="97"/>
      <c r="K125" s="97"/>
      <c r="L125" s="213"/>
      <c r="M125" s="227"/>
      <c r="N125" s="65"/>
      <c r="O125" s="66"/>
      <c r="P125" s="65"/>
      <c r="Q125" s="65"/>
      <c r="R125" s="27"/>
      <c r="S125" s="27"/>
      <c r="T125" s="15"/>
      <c r="U125" s="58"/>
      <c r="V125" s="58"/>
      <c r="W125"/>
    </row>
    <row r="126" spans="1:23" x14ac:dyDescent="0.2">
      <c r="A126" s="13"/>
      <c r="B126" s="13"/>
      <c r="C126" s="13"/>
      <c r="D126" s="13"/>
      <c r="E126" s="59"/>
      <c r="F126" s="13"/>
      <c r="G126" s="13"/>
      <c r="H126" s="13"/>
      <c r="I126" s="13"/>
      <c r="J126" s="97"/>
      <c r="K126" s="97"/>
      <c r="L126" s="213"/>
      <c r="M126" s="227"/>
      <c r="N126" s="65"/>
      <c r="O126" s="66"/>
      <c r="P126" s="65"/>
      <c r="Q126" s="65"/>
      <c r="R126" s="27"/>
      <c r="S126" s="27"/>
      <c r="T126" s="15"/>
      <c r="U126" s="58"/>
      <c r="V126" s="58"/>
      <c r="W126"/>
    </row>
    <row r="127" spans="1:23" x14ac:dyDescent="0.2">
      <c r="A127" s="13"/>
      <c r="B127" s="13"/>
      <c r="C127" s="13"/>
      <c r="D127" s="13"/>
      <c r="E127" s="59"/>
      <c r="F127" s="13"/>
      <c r="G127" s="13"/>
      <c r="H127" s="13"/>
      <c r="I127" s="13"/>
      <c r="J127" s="97"/>
      <c r="K127" s="97"/>
      <c r="L127" s="213"/>
      <c r="M127" s="227"/>
      <c r="N127" s="65"/>
      <c r="O127" s="66"/>
      <c r="P127" s="65"/>
      <c r="Q127" s="65"/>
      <c r="R127" s="27"/>
      <c r="S127" s="27"/>
      <c r="T127" s="15"/>
      <c r="U127" s="58"/>
      <c r="V127" s="58"/>
      <c r="W127"/>
    </row>
    <row r="128" spans="1:23" x14ac:dyDescent="0.2">
      <c r="A128" s="13"/>
      <c r="B128" s="13"/>
      <c r="C128" s="13"/>
      <c r="D128" s="13"/>
      <c r="E128" s="59"/>
      <c r="F128" s="13"/>
      <c r="G128" s="13"/>
      <c r="H128" s="13"/>
      <c r="I128" s="13"/>
      <c r="J128" s="97"/>
      <c r="K128" s="97"/>
      <c r="L128" s="213"/>
      <c r="M128" s="227"/>
      <c r="N128" s="65"/>
      <c r="O128" s="66"/>
      <c r="P128" s="65"/>
      <c r="Q128" s="65"/>
      <c r="R128" s="27"/>
      <c r="S128" s="27"/>
      <c r="T128" s="15"/>
      <c r="U128" s="58"/>
      <c r="V128" s="58"/>
      <c r="W128"/>
    </row>
    <row r="129" spans="1:23" x14ac:dyDescent="0.2">
      <c r="A129" s="13"/>
      <c r="B129" s="13"/>
      <c r="C129" s="13"/>
      <c r="D129" s="13"/>
      <c r="E129" s="59"/>
      <c r="F129" s="13"/>
      <c r="G129" s="13"/>
      <c r="H129" s="13"/>
      <c r="I129" s="13"/>
      <c r="J129" s="97"/>
      <c r="K129" s="97"/>
      <c r="L129" s="213"/>
      <c r="M129" s="227"/>
      <c r="N129" s="65"/>
      <c r="O129" s="66"/>
      <c r="P129" s="65"/>
      <c r="Q129" s="65"/>
      <c r="R129" s="27"/>
      <c r="S129" s="27"/>
      <c r="T129" s="15"/>
      <c r="U129" s="58"/>
      <c r="V129" s="58"/>
      <c r="W129"/>
    </row>
    <row r="130" spans="1:23" x14ac:dyDescent="0.2">
      <c r="A130" s="13"/>
      <c r="B130" s="13"/>
      <c r="C130" s="13"/>
      <c r="D130" s="13"/>
      <c r="E130" s="59"/>
      <c r="F130" s="13"/>
      <c r="G130" s="13"/>
      <c r="H130" s="13"/>
      <c r="I130" s="13"/>
      <c r="J130" s="97"/>
      <c r="K130" s="97"/>
      <c r="L130" s="213"/>
      <c r="M130" s="227"/>
      <c r="N130" s="65"/>
      <c r="O130" s="66"/>
      <c r="P130" s="65"/>
      <c r="Q130" s="65"/>
      <c r="R130" s="27"/>
      <c r="S130" s="27"/>
      <c r="T130" s="15"/>
      <c r="U130" s="58"/>
      <c r="V130" s="58"/>
      <c r="W130"/>
    </row>
    <row r="131" spans="1:23" x14ac:dyDescent="0.2">
      <c r="A131" s="13"/>
      <c r="B131" s="13"/>
      <c r="C131" s="13"/>
      <c r="D131" s="13"/>
      <c r="E131" s="59"/>
      <c r="F131" s="13"/>
      <c r="G131" s="13"/>
      <c r="H131" s="13"/>
      <c r="I131" s="13"/>
      <c r="J131" s="97"/>
      <c r="K131" s="97"/>
      <c r="L131" s="213"/>
      <c r="M131" s="227"/>
      <c r="N131" s="65"/>
      <c r="O131" s="66"/>
      <c r="P131" s="65"/>
      <c r="Q131" s="65"/>
      <c r="R131" s="27"/>
      <c r="S131" s="27"/>
      <c r="T131" s="15"/>
      <c r="U131" s="58"/>
      <c r="V131" s="58"/>
      <c r="W131"/>
    </row>
    <row r="132" spans="1:23" x14ac:dyDescent="0.2">
      <c r="A132" s="13"/>
      <c r="B132" s="13"/>
      <c r="C132" s="13"/>
      <c r="D132" s="13"/>
      <c r="E132" s="59"/>
      <c r="F132" s="13"/>
      <c r="G132" s="13"/>
      <c r="H132" s="13"/>
      <c r="I132" s="13"/>
      <c r="J132" s="97"/>
      <c r="K132" s="97"/>
      <c r="L132" s="213"/>
      <c r="M132" s="227"/>
      <c r="N132" s="65"/>
      <c r="O132" s="66"/>
      <c r="P132" s="65"/>
      <c r="Q132" s="65"/>
      <c r="R132" s="27"/>
      <c r="S132" s="27"/>
      <c r="T132" s="15"/>
      <c r="U132" s="58"/>
      <c r="V132" s="58"/>
      <c r="W132"/>
    </row>
    <row r="133" spans="1:23" x14ac:dyDescent="0.2">
      <c r="A133" s="13"/>
      <c r="B133" s="13"/>
      <c r="C133" s="13"/>
      <c r="D133" s="13"/>
      <c r="E133" s="59"/>
      <c r="F133" s="13"/>
      <c r="G133" s="13"/>
      <c r="H133" s="13"/>
      <c r="I133" s="13"/>
      <c r="J133" s="97"/>
      <c r="K133" s="97"/>
      <c r="L133" s="213"/>
      <c r="M133" s="227"/>
      <c r="N133" s="65"/>
      <c r="O133" s="66"/>
      <c r="P133" s="65"/>
      <c r="Q133" s="65"/>
      <c r="R133" s="27"/>
      <c r="S133" s="27"/>
      <c r="T133" s="15"/>
      <c r="U133" s="58"/>
      <c r="V133" s="58"/>
      <c r="W133"/>
    </row>
    <row r="134" spans="1:23" x14ac:dyDescent="0.2">
      <c r="A134" s="13"/>
      <c r="B134" s="13"/>
      <c r="C134" s="13"/>
      <c r="D134" s="13"/>
      <c r="E134" s="59"/>
      <c r="F134" s="13"/>
      <c r="G134" s="13"/>
      <c r="H134" s="13"/>
      <c r="I134" s="13"/>
      <c r="J134" s="97"/>
      <c r="K134" s="97"/>
      <c r="L134" s="213"/>
      <c r="M134" s="227"/>
      <c r="N134" s="65"/>
      <c r="O134" s="66"/>
      <c r="P134" s="65"/>
      <c r="Q134" s="65"/>
      <c r="R134" s="27"/>
      <c r="S134" s="27"/>
      <c r="T134" s="15"/>
      <c r="U134" s="58"/>
      <c r="V134" s="58"/>
      <c r="W134"/>
    </row>
    <row r="135" spans="1:23" x14ac:dyDescent="0.2">
      <c r="A135" s="13"/>
      <c r="B135" s="13"/>
      <c r="C135" s="13"/>
      <c r="D135" s="13"/>
      <c r="E135" s="59"/>
      <c r="F135" s="13"/>
      <c r="G135" s="13"/>
      <c r="H135" s="13"/>
      <c r="I135" s="13"/>
      <c r="J135" s="97"/>
      <c r="K135" s="97"/>
      <c r="L135" s="213"/>
      <c r="M135" s="227"/>
      <c r="N135" s="65"/>
      <c r="O135" s="66"/>
      <c r="P135" s="65"/>
      <c r="Q135" s="65"/>
      <c r="R135" s="27"/>
      <c r="S135" s="27"/>
      <c r="T135" s="15"/>
      <c r="U135" s="58"/>
      <c r="V135" s="58"/>
      <c r="W135"/>
    </row>
    <row r="136" spans="1:23" x14ac:dyDescent="0.2">
      <c r="A136" s="13"/>
      <c r="B136" s="13"/>
      <c r="C136" s="13"/>
      <c r="D136" s="13"/>
      <c r="E136" s="59"/>
      <c r="F136" s="13"/>
      <c r="G136" s="13"/>
      <c r="H136" s="13"/>
      <c r="I136" s="13"/>
      <c r="J136" s="97"/>
      <c r="K136" s="97"/>
      <c r="L136" s="213"/>
      <c r="M136" s="227"/>
      <c r="N136" s="65"/>
      <c r="O136" s="66"/>
      <c r="P136" s="65"/>
      <c r="Q136" s="65"/>
      <c r="R136" s="27"/>
      <c r="S136" s="27"/>
      <c r="T136" s="15"/>
      <c r="U136" s="58"/>
      <c r="V136" s="58"/>
      <c r="W136"/>
    </row>
    <row r="137" spans="1:23" x14ac:dyDescent="0.2">
      <c r="A137" s="13"/>
      <c r="B137" s="13"/>
      <c r="C137" s="13"/>
      <c r="D137" s="13"/>
      <c r="E137" s="59"/>
      <c r="F137" s="13"/>
      <c r="G137" s="13"/>
      <c r="H137" s="13"/>
      <c r="I137" s="13"/>
      <c r="J137" s="97"/>
      <c r="K137" s="97"/>
      <c r="L137" s="213"/>
      <c r="M137" s="227"/>
      <c r="N137" s="65"/>
      <c r="O137" s="66"/>
      <c r="P137" s="65"/>
      <c r="Q137" s="65"/>
      <c r="R137" s="27"/>
      <c r="S137" s="27"/>
      <c r="T137" s="15"/>
      <c r="U137" s="58"/>
      <c r="V137" s="58"/>
      <c r="W137"/>
    </row>
    <row r="138" spans="1:23" x14ac:dyDescent="0.2">
      <c r="A138" s="13"/>
      <c r="B138" s="13"/>
      <c r="C138" s="13"/>
      <c r="D138" s="13"/>
      <c r="E138" s="59"/>
      <c r="F138" s="13"/>
      <c r="G138" s="13"/>
      <c r="H138" s="13"/>
      <c r="I138" s="13"/>
      <c r="J138" s="97"/>
      <c r="K138" s="97"/>
      <c r="L138" s="213"/>
      <c r="M138" s="227"/>
      <c r="N138" s="65"/>
      <c r="O138" s="66"/>
      <c r="P138" s="65"/>
      <c r="Q138" s="65"/>
      <c r="R138" s="27"/>
      <c r="S138" s="27"/>
      <c r="T138" s="15"/>
      <c r="U138" s="58"/>
      <c r="V138" s="58"/>
      <c r="W138"/>
    </row>
    <row r="139" spans="1:23" x14ac:dyDescent="0.2">
      <c r="A139" s="13"/>
      <c r="B139" s="13"/>
      <c r="C139" s="13"/>
      <c r="D139" s="13"/>
      <c r="E139" s="59"/>
      <c r="F139" s="13"/>
      <c r="G139" s="13"/>
      <c r="H139" s="13"/>
      <c r="I139" s="13"/>
      <c r="J139" s="97"/>
      <c r="K139" s="97"/>
      <c r="L139" s="213"/>
      <c r="M139" s="227"/>
      <c r="N139" s="65"/>
      <c r="O139" s="66"/>
      <c r="P139" s="65"/>
      <c r="Q139" s="65"/>
      <c r="R139" s="27"/>
      <c r="S139" s="27"/>
      <c r="T139" s="15"/>
      <c r="U139" s="58"/>
      <c r="V139" s="58"/>
      <c r="W139"/>
    </row>
    <row r="140" spans="1:23" x14ac:dyDescent="0.2">
      <c r="A140" s="13"/>
      <c r="B140" s="13"/>
      <c r="C140" s="13"/>
      <c r="D140" s="13"/>
      <c r="E140" s="59"/>
      <c r="F140" s="13"/>
      <c r="G140" s="13"/>
      <c r="H140" s="13"/>
      <c r="I140" s="13"/>
      <c r="J140" s="97"/>
      <c r="K140" s="97"/>
      <c r="L140" s="213"/>
      <c r="M140" s="227"/>
      <c r="N140" s="65"/>
      <c r="O140" s="66"/>
      <c r="P140" s="65"/>
      <c r="Q140" s="65"/>
      <c r="R140" s="27"/>
      <c r="S140" s="27"/>
      <c r="T140" s="15"/>
      <c r="U140" s="58"/>
      <c r="V140" s="58"/>
      <c r="W140"/>
    </row>
    <row r="141" spans="1:23" x14ac:dyDescent="0.2">
      <c r="A141" s="13"/>
      <c r="B141" s="13"/>
      <c r="C141" s="13"/>
      <c r="D141" s="13"/>
      <c r="E141" s="59"/>
      <c r="F141" s="13"/>
      <c r="G141" s="13"/>
      <c r="H141" s="13"/>
      <c r="I141" s="13"/>
      <c r="J141" s="97"/>
      <c r="K141" s="97"/>
      <c r="L141" s="213"/>
      <c r="M141" s="227"/>
      <c r="N141" s="65"/>
      <c r="O141" s="66"/>
      <c r="P141" s="65"/>
      <c r="Q141" s="65"/>
      <c r="R141" s="27"/>
      <c r="S141" s="27"/>
      <c r="T141" s="15"/>
      <c r="U141" s="58"/>
      <c r="V141" s="58"/>
      <c r="W141"/>
    </row>
    <row r="142" spans="1:23" x14ac:dyDescent="0.2">
      <c r="A142" s="13"/>
      <c r="B142" s="13"/>
      <c r="C142" s="13"/>
      <c r="D142" s="13"/>
      <c r="E142" s="59"/>
      <c r="F142" s="13"/>
      <c r="G142" s="13"/>
      <c r="H142" s="13"/>
      <c r="I142" s="13"/>
      <c r="J142" s="97"/>
      <c r="K142" s="97"/>
      <c r="L142" s="213"/>
      <c r="M142" s="227"/>
      <c r="N142" s="65"/>
      <c r="O142" s="66"/>
      <c r="P142" s="65"/>
      <c r="Q142" s="65"/>
      <c r="R142" s="27"/>
      <c r="S142" s="27"/>
      <c r="T142" s="15"/>
      <c r="U142" s="58"/>
      <c r="V142" s="58"/>
      <c r="W142"/>
    </row>
    <row r="143" spans="1:23" x14ac:dyDescent="0.2">
      <c r="A143" s="13"/>
      <c r="B143" s="13"/>
      <c r="C143" s="13"/>
      <c r="D143" s="13"/>
      <c r="E143" s="59"/>
      <c r="F143" s="13"/>
      <c r="G143" s="13"/>
      <c r="H143" s="13"/>
      <c r="I143" s="13"/>
      <c r="J143" s="97"/>
      <c r="K143" s="97"/>
      <c r="L143" s="213"/>
      <c r="M143" s="227"/>
      <c r="N143" s="65"/>
      <c r="O143" s="66"/>
      <c r="P143" s="65"/>
      <c r="Q143" s="65"/>
      <c r="R143" s="27"/>
      <c r="S143" s="27"/>
      <c r="T143" s="15"/>
      <c r="U143" s="58"/>
      <c r="V143" s="58"/>
      <c r="W143"/>
    </row>
    <row r="144" spans="1:23" x14ac:dyDescent="0.2">
      <c r="A144" s="13"/>
      <c r="B144" s="13"/>
      <c r="C144" s="13"/>
      <c r="D144" s="13"/>
      <c r="E144" s="59"/>
      <c r="F144" s="13"/>
      <c r="G144" s="13"/>
      <c r="H144" s="13"/>
      <c r="I144" s="13"/>
      <c r="J144" s="97"/>
      <c r="K144" s="97"/>
      <c r="L144" s="213"/>
      <c r="M144" s="227"/>
      <c r="N144" s="65"/>
      <c r="O144" s="66"/>
      <c r="P144" s="65"/>
      <c r="Q144" s="65"/>
      <c r="R144" s="27"/>
      <c r="S144" s="27"/>
      <c r="T144" s="15"/>
      <c r="U144" s="58"/>
      <c r="V144" s="58"/>
      <c r="W144"/>
    </row>
    <row r="145" spans="1:23" x14ac:dyDescent="0.2">
      <c r="A145" s="13"/>
      <c r="B145" s="13"/>
      <c r="C145" s="13"/>
      <c r="D145" s="13"/>
      <c r="E145" s="59"/>
      <c r="F145" s="13"/>
      <c r="G145" s="13"/>
      <c r="H145" s="13"/>
      <c r="I145" s="13"/>
      <c r="J145" s="97"/>
      <c r="K145" s="97"/>
      <c r="L145" s="213"/>
      <c r="M145" s="227"/>
      <c r="N145" s="65"/>
      <c r="O145" s="66"/>
      <c r="P145" s="65"/>
      <c r="Q145" s="65"/>
      <c r="R145" s="27"/>
      <c r="S145" s="27"/>
      <c r="T145" s="15"/>
      <c r="U145" s="58"/>
      <c r="V145" s="58"/>
      <c r="W145"/>
    </row>
    <row r="146" spans="1:23" x14ac:dyDescent="0.2">
      <c r="A146" s="13"/>
      <c r="B146" s="13"/>
      <c r="C146" s="13"/>
      <c r="D146" s="13"/>
      <c r="E146" s="59"/>
      <c r="F146" s="13"/>
      <c r="G146" s="13"/>
      <c r="H146" s="13"/>
      <c r="I146" s="13"/>
      <c r="J146" s="97"/>
      <c r="K146" s="97"/>
      <c r="L146" s="213"/>
      <c r="M146" s="227"/>
      <c r="N146" s="65"/>
      <c r="O146" s="66"/>
      <c r="P146" s="65"/>
      <c r="Q146" s="65"/>
      <c r="R146" s="27"/>
      <c r="S146" s="27"/>
      <c r="T146" s="15"/>
      <c r="U146" s="58"/>
      <c r="V146" s="58"/>
      <c r="W146"/>
    </row>
    <row r="147" spans="1:23" x14ac:dyDescent="0.2">
      <c r="A147" s="13"/>
      <c r="B147" s="13"/>
      <c r="C147" s="13"/>
      <c r="D147" s="13"/>
      <c r="E147" s="59"/>
      <c r="F147" s="13"/>
      <c r="G147" s="13"/>
      <c r="H147" s="13"/>
      <c r="I147" s="13"/>
      <c r="J147" s="97"/>
      <c r="K147" s="97"/>
      <c r="L147" s="213"/>
      <c r="M147" s="227"/>
      <c r="N147" s="65"/>
      <c r="O147" s="66"/>
      <c r="P147" s="65"/>
      <c r="Q147" s="65"/>
      <c r="R147" s="27"/>
      <c r="S147" s="27"/>
      <c r="T147" s="15"/>
      <c r="U147" s="58"/>
      <c r="V147" s="58"/>
      <c r="W147"/>
    </row>
    <row r="148" spans="1:23" x14ac:dyDescent="0.2">
      <c r="A148" s="13"/>
      <c r="B148" s="13"/>
      <c r="C148" s="13"/>
      <c r="D148" s="13"/>
      <c r="E148" s="59"/>
      <c r="F148" s="13"/>
      <c r="G148" s="13"/>
      <c r="H148" s="13"/>
      <c r="I148" s="13"/>
      <c r="J148" s="97"/>
      <c r="K148" s="97"/>
      <c r="L148" s="213"/>
      <c r="M148" s="227"/>
      <c r="N148" s="65"/>
      <c r="O148" s="66"/>
      <c r="P148" s="65"/>
      <c r="Q148" s="65"/>
      <c r="R148" s="27"/>
      <c r="S148" s="27"/>
      <c r="T148" s="15"/>
      <c r="U148" s="58"/>
      <c r="V148" s="58"/>
      <c r="W148"/>
    </row>
    <row r="149" spans="1:23" x14ac:dyDescent="0.2">
      <c r="A149" s="13"/>
      <c r="B149" s="13"/>
      <c r="C149" s="13"/>
      <c r="D149" s="13"/>
      <c r="E149" s="59"/>
      <c r="F149" s="13"/>
      <c r="G149" s="13"/>
      <c r="H149" s="13"/>
      <c r="I149" s="13"/>
      <c r="J149" s="97"/>
      <c r="K149" s="97"/>
      <c r="L149" s="213"/>
      <c r="M149" s="227"/>
      <c r="N149" s="65"/>
      <c r="O149" s="66"/>
      <c r="P149" s="65"/>
      <c r="Q149" s="65"/>
      <c r="R149" s="27"/>
      <c r="S149" s="27"/>
      <c r="T149" s="15"/>
      <c r="U149" s="58"/>
      <c r="V149" s="58"/>
      <c r="W149"/>
    </row>
    <row r="150" spans="1:23" x14ac:dyDescent="0.2">
      <c r="A150" s="13"/>
      <c r="B150" s="13"/>
      <c r="C150" s="13"/>
      <c r="D150" s="13"/>
      <c r="E150" s="59"/>
      <c r="F150" s="13"/>
      <c r="G150" s="13"/>
      <c r="H150" s="13"/>
      <c r="I150" s="13"/>
      <c r="J150" s="97"/>
      <c r="K150" s="97"/>
      <c r="L150" s="213"/>
      <c r="M150" s="227"/>
      <c r="N150" s="65"/>
      <c r="O150" s="66"/>
      <c r="P150" s="65"/>
      <c r="Q150" s="65"/>
      <c r="R150" s="27"/>
      <c r="S150" s="27"/>
      <c r="T150" s="15"/>
      <c r="U150" s="58"/>
      <c r="V150" s="58"/>
      <c r="W150"/>
    </row>
    <row r="151" spans="1:23" x14ac:dyDescent="0.2">
      <c r="A151" s="13"/>
      <c r="B151" s="13"/>
      <c r="C151" s="13"/>
      <c r="D151" s="13"/>
      <c r="E151" s="59"/>
      <c r="F151" s="13"/>
      <c r="G151" s="13"/>
      <c r="H151" s="13"/>
      <c r="I151" s="13"/>
      <c r="J151" s="97"/>
      <c r="K151" s="97"/>
      <c r="L151" s="213"/>
      <c r="M151" s="227"/>
      <c r="N151" s="65"/>
      <c r="O151" s="66"/>
      <c r="P151" s="65"/>
      <c r="Q151" s="65"/>
      <c r="R151" s="27"/>
      <c r="S151" s="27"/>
      <c r="T151" s="15"/>
      <c r="U151" s="58"/>
      <c r="V151" s="58"/>
      <c r="W151"/>
    </row>
    <row r="152" spans="1:23" x14ac:dyDescent="0.2">
      <c r="A152" s="13"/>
      <c r="B152" s="13"/>
      <c r="C152" s="13"/>
      <c r="D152" s="13"/>
      <c r="E152" s="59"/>
      <c r="F152" s="13"/>
      <c r="G152" s="13"/>
      <c r="H152" s="13"/>
      <c r="I152" s="13"/>
      <c r="J152" s="97"/>
      <c r="K152" s="97"/>
      <c r="L152" s="213"/>
      <c r="M152" s="227"/>
      <c r="N152" s="65"/>
      <c r="O152" s="66"/>
      <c r="P152" s="65"/>
      <c r="Q152" s="65"/>
      <c r="R152" s="27"/>
      <c r="S152" s="27"/>
      <c r="T152" s="15"/>
      <c r="U152" s="58"/>
      <c r="V152" s="58"/>
      <c r="W152"/>
    </row>
    <row r="153" spans="1:23" x14ac:dyDescent="0.2">
      <c r="A153" s="13"/>
      <c r="B153" s="13"/>
      <c r="C153" s="13"/>
      <c r="D153" s="13"/>
      <c r="E153" s="59"/>
      <c r="F153" s="13"/>
      <c r="G153" s="13"/>
      <c r="H153" s="13"/>
      <c r="I153" s="13"/>
      <c r="J153" s="97"/>
      <c r="K153" s="97"/>
      <c r="L153" s="213"/>
      <c r="M153" s="227"/>
      <c r="N153" s="65"/>
      <c r="O153" s="66"/>
      <c r="P153" s="65"/>
      <c r="Q153" s="65"/>
      <c r="R153" s="27"/>
      <c r="S153" s="27"/>
      <c r="T153" s="15"/>
      <c r="U153" s="58"/>
      <c r="V153" s="58"/>
      <c r="W153"/>
    </row>
    <row r="154" spans="1:23" x14ac:dyDescent="0.2">
      <c r="A154" s="13"/>
      <c r="B154" s="13"/>
      <c r="C154" s="13"/>
      <c r="D154" s="13"/>
      <c r="E154" s="59"/>
      <c r="F154" s="13"/>
      <c r="G154" s="13"/>
      <c r="H154" s="13"/>
      <c r="I154" s="13"/>
      <c r="J154" s="97"/>
      <c r="K154" s="97"/>
      <c r="L154" s="213"/>
      <c r="M154" s="227"/>
      <c r="N154" s="65"/>
      <c r="O154" s="66"/>
      <c r="P154" s="65"/>
      <c r="Q154" s="65"/>
      <c r="R154" s="27"/>
      <c r="S154" s="27"/>
      <c r="T154" s="15"/>
      <c r="U154" s="58"/>
      <c r="V154" s="58"/>
      <c r="W154"/>
    </row>
    <row r="155" spans="1:23" x14ac:dyDescent="0.2">
      <c r="A155" s="13"/>
      <c r="B155" s="13"/>
      <c r="C155" s="13"/>
      <c r="D155" s="13"/>
      <c r="E155" s="59"/>
      <c r="F155" s="13"/>
      <c r="G155" s="13"/>
      <c r="H155" s="13"/>
      <c r="I155" s="13"/>
      <c r="J155" s="97"/>
      <c r="K155" s="97"/>
      <c r="L155" s="213"/>
      <c r="M155" s="227"/>
      <c r="N155" s="65"/>
      <c r="O155" s="66"/>
      <c r="P155" s="65"/>
      <c r="Q155" s="65"/>
      <c r="R155" s="27"/>
      <c r="S155" s="27"/>
      <c r="T155" s="15"/>
      <c r="U155" s="58"/>
      <c r="V155" s="58"/>
      <c r="W155"/>
    </row>
    <row r="156" spans="1:23" x14ac:dyDescent="0.2">
      <c r="A156" s="13"/>
      <c r="B156" s="13"/>
      <c r="C156" s="13"/>
      <c r="D156" s="13"/>
      <c r="E156" s="59"/>
      <c r="F156" s="13"/>
      <c r="G156" s="13"/>
      <c r="H156" s="13"/>
      <c r="I156" s="13"/>
      <c r="J156" s="97"/>
      <c r="K156" s="97"/>
      <c r="L156" s="213"/>
      <c r="M156" s="227"/>
      <c r="N156" s="65"/>
      <c r="O156" s="66"/>
      <c r="P156" s="65"/>
      <c r="Q156" s="65"/>
      <c r="R156" s="27"/>
      <c r="S156" s="27"/>
      <c r="T156" s="15"/>
      <c r="U156" s="58"/>
      <c r="V156" s="58"/>
      <c r="W156"/>
    </row>
    <row r="157" spans="1:23" x14ac:dyDescent="0.2">
      <c r="A157" s="13"/>
      <c r="B157" s="13"/>
      <c r="C157" s="13"/>
      <c r="D157" s="13"/>
      <c r="E157" s="59"/>
      <c r="F157" s="13"/>
      <c r="G157" s="13"/>
      <c r="H157" s="13"/>
      <c r="I157" s="13"/>
      <c r="J157" s="97"/>
      <c r="K157" s="97"/>
      <c r="L157" s="213"/>
      <c r="M157" s="227"/>
      <c r="N157" s="65"/>
      <c r="O157" s="66"/>
      <c r="P157" s="65"/>
      <c r="Q157" s="65"/>
      <c r="R157" s="27"/>
      <c r="S157" s="27"/>
      <c r="T157" s="15"/>
      <c r="U157" s="58"/>
      <c r="V157" s="58"/>
      <c r="W157"/>
    </row>
    <row r="158" spans="1:23" x14ac:dyDescent="0.2">
      <c r="A158" s="13"/>
      <c r="B158" s="13"/>
      <c r="C158" s="13"/>
      <c r="D158" s="13"/>
      <c r="E158" s="59"/>
      <c r="F158" s="13"/>
      <c r="G158" s="13"/>
      <c r="H158" s="13"/>
      <c r="I158" s="13"/>
      <c r="J158" s="97"/>
      <c r="K158" s="97"/>
      <c r="L158" s="213"/>
      <c r="M158" s="227"/>
      <c r="N158" s="65"/>
      <c r="O158" s="66"/>
      <c r="P158" s="65"/>
      <c r="Q158" s="65"/>
      <c r="R158" s="27"/>
      <c r="S158" s="27"/>
      <c r="T158" s="15"/>
      <c r="U158" s="58"/>
      <c r="V158" s="58"/>
      <c r="W158"/>
    </row>
    <row r="159" spans="1:23" x14ac:dyDescent="0.2">
      <c r="A159" s="13"/>
      <c r="B159" s="13"/>
      <c r="C159" s="13"/>
      <c r="D159" s="13"/>
      <c r="E159" s="59"/>
      <c r="F159" s="13"/>
      <c r="G159" s="13"/>
      <c r="H159" s="13"/>
      <c r="I159" s="13"/>
      <c r="J159" s="97"/>
      <c r="K159" s="97"/>
      <c r="L159" s="213"/>
      <c r="M159" s="227"/>
      <c r="N159" s="65"/>
      <c r="O159" s="66"/>
      <c r="P159" s="65"/>
      <c r="Q159" s="65"/>
      <c r="R159" s="27"/>
      <c r="S159" s="27"/>
      <c r="T159" s="15"/>
      <c r="U159" s="58"/>
      <c r="V159" s="58"/>
      <c r="W159"/>
    </row>
    <row r="160" spans="1:23" x14ac:dyDescent="0.2">
      <c r="A160" s="13"/>
      <c r="B160" s="13"/>
      <c r="C160" s="13"/>
      <c r="D160" s="13"/>
      <c r="E160" s="59"/>
      <c r="F160" s="13"/>
      <c r="G160" s="13"/>
      <c r="H160" s="13"/>
      <c r="I160" s="13"/>
      <c r="J160" s="97"/>
      <c r="K160" s="97"/>
      <c r="L160" s="213"/>
      <c r="M160" s="227"/>
      <c r="N160" s="65"/>
      <c r="O160" s="66"/>
      <c r="P160" s="65"/>
      <c r="Q160" s="65"/>
      <c r="R160" s="27"/>
      <c r="S160" s="27"/>
      <c r="T160" s="15"/>
      <c r="U160" s="58"/>
      <c r="V160" s="58"/>
      <c r="W160"/>
    </row>
    <row r="161" spans="1:23" x14ac:dyDescent="0.2">
      <c r="A161" s="13"/>
      <c r="B161" s="13"/>
      <c r="C161" s="13"/>
      <c r="D161" s="13"/>
      <c r="E161" s="59"/>
      <c r="F161" s="13"/>
      <c r="G161" s="13"/>
      <c r="H161" s="13"/>
      <c r="I161" s="13"/>
      <c r="J161" s="97"/>
      <c r="K161" s="97"/>
      <c r="L161" s="213"/>
      <c r="M161" s="227"/>
      <c r="N161" s="65"/>
      <c r="O161" s="66"/>
      <c r="P161" s="65"/>
      <c r="Q161" s="65"/>
      <c r="R161" s="27"/>
      <c r="S161" s="27"/>
      <c r="T161" s="15"/>
      <c r="U161" s="58"/>
      <c r="V161" s="58"/>
      <c r="W161"/>
    </row>
    <row r="162" spans="1:23" x14ac:dyDescent="0.2">
      <c r="A162" s="13"/>
      <c r="B162" s="13"/>
      <c r="C162" s="13"/>
      <c r="D162" s="13"/>
      <c r="E162" s="59"/>
      <c r="F162" s="13"/>
      <c r="G162" s="13"/>
      <c r="H162" s="13"/>
      <c r="I162" s="13"/>
      <c r="J162" s="97"/>
      <c r="K162" s="97"/>
      <c r="L162" s="213"/>
      <c r="M162" s="227"/>
      <c r="N162" s="65"/>
      <c r="O162" s="66"/>
      <c r="P162" s="65"/>
      <c r="Q162" s="65"/>
      <c r="R162" s="27"/>
      <c r="S162" s="27"/>
      <c r="T162" s="15"/>
      <c r="U162" s="58"/>
      <c r="V162" s="58"/>
      <c r="W162"/>
    </row>
    <row r="163" spans="1:23" x14ac:dyDescent="0.2">
      <c r="A163" s="13"/>
      <c r="B163" s="13"/>
      <c r="C163" s="13"/>
      <c r="D163" s="13"/>
      <c r="E163" s="59"/>
      <c r="F163" s="13"/>
      <c r="G163" s="13"/>
      <c r="H163" s="13"/>
      <c r="I163" s="13"/>
      <c r="J163" s="97"/>
      <c r="K163" s="97"/>
      <c r="L163" s="213"/>
      <c r="M163" s="227"/>
      <c r="N163" s="65"/>
      <c r="O163" s="66"/>
      <c r="P163" s="65"/>
      <c r="Q163" s="65"/>
      <c r="R163" s="27"/>
      <c r="S163" s="27"/>
      <c r="T163" s="15"/>
      <c r="U163" s="58"/>
      <c r="V163" s="58"/>
      <c r="W163"/>
    </row>
    <row r="164" spans="1:23" x14ac:dyDescent="0.2">
      <c r="A164" s="13"/>
      <c r="B164" s="13"/>
      <c r="C164" s="13"/>
      <c r="D164" s="13"/>
      <c r="E164" s="59"/>
      <c r="F164" s="13"/>
      <c r="G164" s="13"/>
      <c r="H164" s="13"/>
      <c r="I164" s="13"/>
      <c r="J164" s="97"/>
      <c r="K164" s="97"/>
      <c r="L164" s="213"/>
      <c r="M164" s="227"/>
      <c r="N164" s="65"/>
      <c r="O164" s="66"/>
      <c r="P164" s="65"/>
      <c r="Q164" s="65"/>
      <c r="R164" s="27"/>
      <c r="S164" s="27"/>
      <c r="T164" s="15"/>
      <c r="U164" s="58"/>
      <c r="V164" s="58"/>
      <c r="W164"/>
    </row>
    <row r="165" spans="1:23" x14ac:dyDescent="0.2">
      <c r="A165" s="13"/>
      <c r="B165" s="13"/>
      <c r="C165" s="13"/>
      <c r="D165" s="13"/>
      <c r="E165" s="59"/>
      <c r="F165" s="13"/>
      <c r="G165" s="13"/>
      <c r="H165" s="13"/>
      <c r="I165" s="13"/>
      <c r="J165" s="97"/>
      <c r="K165" s="97"/>
      <c r="L165" s="213"/>
      <c r="M165" s="227"/>
      <c r="N165" s="65"/>
      <c r="O165" s="66"/>
      <c r="P165" s="65"/>
      <c r="Q165" s="65"/>
      <c r="R165" s="27"/>
      <c r="S165" s="27"/>
      <c r="T165" s="15"/>
      <c r="U165" s="58"/>
      <c r="V165" s="58"/>
      <c r="W165"/>
    </row>
    <row r="166" spans="1:23" x14ac:dyDescent="0.2">
      <c r="A166" s="13"/>
      <c r="B166" s="13"/>
      <c r="C166" s="13"/>
      <c r="D166" s="13"/>
      <c r="E166" s="59"/>
      <c r="F166" s="13"/>
      <c r="G166" s="13"/>
      <c r="H166" s="13"/>
      <c r="I166" s="13"/>
      <c r="J166" s="97"/>
      <c r="K166" s="97"/>
      <c r="L166" s="213"/>
      <c r="M166" s="227"/>
      <c r="N166" s="65"/>
      <c r="O166" s="66"/>
      <c r="P166" s="65"/>
      <c r="Q166" s="65"/>
      <c r="R166" s="27"/>
      <c r="S166" s="27"/>
      <c r="T166" s="15"/>
      <c r="U166" s="58"/>
      <c r="V166" s="58"/>
      <c r="W166"/>
    </row>
    <row r="167" spans="1:23" x14ac:dyDescent="0.2">
      <c r="A167" s="13"/>
      <c r="B167" s="13"/>
      <c r="C167" s="13"/>
      <c r="D167" s="13"/>
      <c r="E167" s="59"/>
      <c r="F167" s="13"/>
      <c r="G167" s="13"/>
      <c r="H167" s="13"/>
      <c r="I167" s="13"/>
      <c r="J167" s="97"/>
      <c r="K167" s="97"/>
      <c r="L167" s="213"/>
      <c r="M167" s="227"/>
      <c r="N167" s="65"/>
      <c r="O167" s="66"/>
      <c r="P167" s="65"/>
      <c r="Q167" s="65"/>
      <c r="R167" s="27"/>
      <c r="S167" s="27"/>
      <c r="T167" s="15"/>
      <c r="U167" s="58"/>
      <c r="V167" s="58"/>
      <c r="W167"/>
    </row>
    <row r="168" spans="1:23" x14ac:dyDescent="0.2">
      <c r="A168" s="13"/>
      <c r="B168" s="13"/>
      <c r="C168" s="13"/>
      <c r="D168" s="13"/>
      <c r="E168" s="59"/>
      <c r="F168" s="13"/>
      <c r="G168" s="13"/>
      <c r="H168" s="13"/>
      <c r="I168" s="13"/>
      <c r="J168" s="97"/>
      <c r="K168" s="97"/>
      <c r="L168" s="213"/>
      <c r="M168" s="227"/>
      <c r="N168" s="65"/>
      <c r="O168" s="66"/>
      <c r="P168" s="65"/>
      <c r="Q168" s="65"/>
      <c r="R168" s="27"/>
      <c r="S168" s="27"/>
      <c r="T168" s="15"/>
      <c r="U168" s="58"/>
      <c r="V168" s="58"/>
      <c r="W168"/>
    </row>
    <row r="169" spans="1:23" x14ac:dyDescent="0.2">
      <c r="A169" s="13"/>
      <c r="B169" s="13"/>
      <c r="C169" s="13"/>
      <c r="D169" s="13"/>
      <c r="E169" s="59"/>
      <c r="F169" s="13"/>
      <c r="G169" s="13"/>
      <c r="H169" s="13"/>
      <c r="I169" s="13"/>
      <c r="J169" s="97"/>
      <c r="K169" s="97"/>
      <c r="L169" s="213"/>
      <c r="M169" s="227"/>
      <c r="N169" s="65"/>
      <c r="O169" s="66"/>
      <c r="P169" s="65"/>
      <c r="Q169" s="65"/>
      <c r="R169" s="27"/>
      <c r="S169" s="27"/>
      <c r="T169" s="15"/>
      <c r="U169" s="58"/>
      <c r="V169" s="58"/>
      <c r="W169"/>
    </row>
    <row r="170" spans="1:23" x14ac:dyDescent="0.2">
      <c r="A170" s="13"/>
      <c r="B170" s="13"/>
      <c r="C170" s="13"/>
      <c r="D170" s="13"/>
      <c r="E170" s="59"/>
      <c r="F170" s="13"/>
      <c r="G170" s="13"/>
      <c r="H170" s="13"/>
      <c r="I170" s="13"/>
      <c r="J170" s="97"/>
      <c r="K170" s="97"/>
      <c r="L170" s="213"/>
      <c r="M170" s="227"/>
      <c r="N170" s="65"/>
      <c r="O170" s="66"/>
      <c r="P170" s="65"/>
      <c r="Q170" s="65"/>
      <c r="R170" s="27"/>
      <c r="S170" s="27"/>
      <c r="T170" s="15"/>
      <c r="U170" s="58"/>
      <c r="V170" s="58"/>
      <c r="W170"/>
    </row>
    <row r="171" spans="1:23" x14ac:dyDescent="0.2">
      <c r="A171" s="13"/>
      <c r="B171" s="13"/>
      <c r="C171" s="13"/>
      <c r="D171" s="13"/>
      <c r="E171" s="59"/>
      <c r="F171" s="13"/>
      <c r="G171" s="13"/>
      <c r="H171" s="13"/>
      <c r="I171" s="13"/>
      <c r="J171" s="97"/>
      <c r="K171" s="97"/>
      <c r="L171" s="213"/>
      <c r="M171" s="227"/>
      <c r="N171" s="65"/>
      <c r="O171" s="66"/>
      <c r="P171" s="65"/>
      <c r="Q171" s="65"/>
      <c r="R171" s="27"/>
      <c r="S171" s="27"/>
      <c r="T171" s="15"/>
      <c r="U171" s="58"/>
      <c r="V171" s="58"/>
      <c r="W171"/>
    </row>
    <row r="172" spans="1:23" x14ac:dyDescent="0.2">
      <c r="A172" s="13"/>
      <c r="B172" s="13"/>
      <c r="C172" s="13"/>
      <c r="D172" s="13"/>
      <c r="E172" s="59"/>
      <c r="F172" s="13"/>
      <c r="G172" s="13"/>
      <c r="H172" s="13"/>
      <c r="I172" s="13"/>
      <c r="J172" s="97"/>
      <c r="K172" s="97"/>
      <c r="L172" s="213"/>
      <c r="M172" s="227"/>
      <c r="N172" s="65"/>
      <c r="O172" s="66"/>
      <c r="P172" s="65"/>
      <c r="Q172" s="65"/>
      <c r="R172" s="27"/>
      <c r="S172" s="27"/>
      <c r="T172" s="15"/>
      <c r="U172" s="58"/>
      <c r="V172" s="58"/>
      <c r="W172"/>
    </row>
    <row r="173" spans="1:23" x14ac:dyDescent="0.2">
      <c r="A173" s="13"/>
      <c r="B173" s="13"/>
      <c r="C173" s="13"/>
      <c r="D173" s="13"/>
      <c r="E173" s="59"/>
      <c r="F173" s="13"/>
      <c r="G173" s="13"/>
      <c r="H173" s="13"/>
      <c r="I173" s="13"/>
      <c r="J173" s="97"/>
      <c r="K173" s="97"/>
      <c r="L173" s="213"/>
      <c r="M173" s="227"/>
      <c r="N173" s="65"/>
      <c r="O173" s="66"/>
      <c r="P173" s="65"/>
      <c r="Q173" s="65"/>
      <c r="R173" s="27"/>
      <c r="S173" s="27"/>
      <c r="T173" s="15"/>
      <c r="U173" s="58"/>
      <c r="V173" s="58"/>
      <c r="W173"/>
    </row>
    <row r="174" spans="1:23" x14ac:dyDescent="0.2">
      <c r="A174" s="13"/>
      <c r="B174" s="13"/>
      <c r="C174" s="13"/>
      <c r="D174" s="13"/>
      <c r="E174" s="59"/>
      <c r="F174" s="13"/>
      <c r="G174" s="13"/>
      <c r="H174" s="13"/>
      <c r="I174" s="13"/>
      <c r="J174" s="97"/>
      <c r="K174" s="97"/>
      <c r="L174" s="213"/>
      <c r="M174" s="227"/>
      <c r="N174" s="65"/>
      <c r="O174" s="66"/>
      <c r="P174" s="65"/>
      <c r="Q174" s="65"/>
      <c r="R174" s="27"/>
      <c r="S174" s="27"/>
      <c r="T174" s="15"/>
      <c r="U174" s="58"/>
      <c r="V174" s="58"/>
      <c r="W174"/>
    </row>
    <row r="175" spans="1:23" x14ac:dyDescent="0.2">
      <c r="A175" s="13"/>
      <c r="B175" s="13"/>
      <c r="C175" s="13"/>
      <c r="D175" s="13"/>
      <c r="E175" s="59"/>
      <c r="F175" s="13"/>
      <c r="G175" s="13"/>
      <c r="H175" s="13"/>
      <c r="I175" s="13"/>
      <c r="J175" s="97"/>
      <c r="K175" s="97"/>
      <c r="L175" s="213"/>
      <c r="M175" s="227"/>
      <c r="N175" s="65"/>
      <c r="O175" s="66"/>
      <c r="P175" s="65"/>
      <c r="Q175" s="65"/>
      <c r="R175" s="27"/>
      <c r="S175" s="27"/>
      <c r="T175" s="15"/>
      <c r="U175" s="58"/>
      <c r="V175" s="58"/>
      <c r="W175"/>
    </row>
    <row r="176" spans="1:23" x14ac:dyDescent="0.2">
      <c r="A176" s="13"/>
      <c r="B176" s="13"/>
      <c r="C176" s="13"/>
      <c r="D176" s="13"/>
      <c r="E176" s="59"/>
      <c r="F176" s="13"/>
      <c r="G176" s="13"/>
      <c r="H176" s="13"/>
      <c r="I176" s="13"/>
      <c r="J176" s="97"/>
      <c r="K176" s="97"/>
      <c r="L176" s="213"/>
      <c r="M176" s="227"/>
      <c r="N176" s="65"/>
      <c r="O176" s="66"/>
      <c r="P176" s="65"/>
      <c r="Q176" s="65"/>
      <c r="R176" s="27"/>
      <c r="S176" s="27"/>
      <c r="T176" s="15"/>
      <c r="U176" s="58"/>
      <c r="V176" s="58"/>
      <c r="W176"/>
    </row>
    <row r="177" spans="1:23" x14ac:dyDescent="0.2">
      <c r="A177" s="13"/>
      <c r="B177" s="13"/>
      <c r="C177" s="13"/>
      <c r="D177" s="13"/>
      <c r="E177" s="59"/>
      <c r="F177" s="13"/>
      <c r="G177" s="13"/>
      <c r="H177" s="13"/>
      <c r="I177" s="13"/>
      <c r="J177" s="97"/>
      <c r="K177" s="97"/>
      <c r="L177" s="213"/>
      <c r="M177" s="227"/>
      <c r="N177" s="65"/>
      <c r="O177" s="66"/>
      <c r="P177" s="65"/>
      <c r="Q177" s="65"/>
      <c r="R177" s="27"/>
      <c r="S177" s="27"/>
      <c r="T177" s="15"/>
      <c r="U177" s="58"/>
      <c r="V177" s="58"/>
      <c r="W177"/>
    </row>
    <row r="178" spans="1:23" x14ac:dyDescent="0.2">
      <c r="A178" s="13"/>
      <c r="B178" s="13"/>
      <c r="C178" s="13"/>
      <c r="D178" s="13"/>
      <c r="E178" s="59"/>
      <c r="F178" s="13"/>
      <c r="G178" s="13"/>
      <c r="H178" s="13"/>
      <c r="I178" s="13"/>
      <c r="J178" s="97"/>
      <c r="K178" s="97"/>
      <c r="L178" s="213"/>
      <c r="M178" s="227"/>
      <c r="N178" s="65"/>
      <c r="O178" s="66"/>
      <c r="P178" s="65"/>
      <c r="Q178" s="65"/>
      <c r="R178" s="27"/>
      <c r="S178" s="27"/>
      <c r="T178" s="15"/>
      <c r="U178" s="58"/>
      <c r="V178" s="58"/>
      <c r="W178"/>
    </row>
    <row r="179" spans="1:23" x14ac:dyDescent="0.2">
      <c r="A179" s="13"/>
      <c r="B179" s="13"/>
      <c r="C179" s="13"/>
      <c r="D179" s="13"/>
      <c r="E179" s="59"/>
      <c r="F179" s="13"/>
      <c r="G179" s="13"/>
      <c r="H179" s="13"/>
      <c r="I179" s="13"/>
      <c r="J179" s="97"/>
      <c r="K179" s="97"/>
      <c r="L179" s="213"/>
      <c r="M179" s="227"/>
      <c r="N179" s="65"/>
      <c r="O179" s="66"/>
      <c r="P179" s="65"/>
      <c r="Q179" s="65"/>
      <c r="R179" s="27"/>
      <c r="S179" s="27"/>
      <c r="T179" s="15"/>
      <c r="U179" s="58"/>
      <c r="V179" s="58"/>
      <c r="W179"/>
    </row>
    <row r="180" spans="1:23" x14ac:dyDescent="0.2">
      <c r="A180" s="13"/>
      <c r="B180" s="13"/>
      <c r="C180" s="13"/>
      <c r="D180" s="13"/>
      <c r="E180" s="59"/>
      <c r="F180" s="13"/>
      <c r="G180" s="13"/>
      <c r="H180" s="13"/>
      <c r="I180" s="13"/>
      <c r="J180" s="97"/>
      <c r="K180" s="97"/>
      <c r="L180" s="213"/>
      <c r="M180" s="227"/>
      <c r="N180" s="65"/>
      <c r="O180" s="66"/>
      <c r="P180" s="65"/>
      <c r="Q180" s="65"/>
      <c r="R180" s="27"/>
      <c r="S180" s="27"/>
      <c r="T180" s="15"/>
      <c r="U180" s="58"/>
      <c r="V180" s="58"/>
      <c r="W180"/>
    </row>
    <row r="181" spans="1:23" x14ac:dyDescent="0.2">
      <c r="A181" s="13"/>
      <c r="B181" s="13"/>
      <c r="C181" s="13"/>
      <c r="D181" s="13"/>
      <c r="E181" s="59"/>
      <c r="F181" s="13"/>
      <c r="G181" s="13"/>
      <c r="H181" s="13"/>
      <c r="I181" s="13"/>
      <c r="J181" s="97"/>
      <c r="K181" s="97"/>
      <c r="L181" s="213"/>
      <c r="M181" s="227"/>
      <c r="N181" s="65"/>
      <c r="O181" s="66"/>
      <c r="P181" s="65"/>
      <c r="Q181" s="65"/>
      <c r="R181" s="27"/>
      <c r="S181" s="27"/>
      <c r="T181" s="15"/>
      <c r="U181" s="58"/>
      <c r="V181" s="58"/>
      <c r="W181"/>
    </row>
    <row r="182" spans="1:23" x14ac:dyDescent="0.2">
      <c r="A182" s="13"/>
      <c r="B182" s="13"/>
      <c r="C182" s="13"/>
      <c r="D182" s="13"/>
      <c r="E182" s="59"/>
      <c r="F182" s="13"/>
      <c r="G182" s="13"/>
      <c r="H182" s="13"/>
      <c r="I182" s="13"/>
      <c r="J182" s="97"/>
      <c r="K182" s="97"/>
      <c r="L182" s="213"/>
      <c r="M182" s="227"/>
      <c r="N182" s="65"/>
      <c r="O182" s="66"/>
      <c r="P182" s="65"/>
      <c r="Q182" s="65"/>
      <c r="R182" s="27"/>
      <c r="S182" s="27"/>
      <c r="T182" s="15"/>
      <c r="U182" s="58"/>
      <c r="V182" s="58"/>
      <c r="W182"/>
    </row>
    <row r="183" spans="1:23" x14ac:dyDescent="0.2">
      <c r="A183" s="13"/>
      <c r="B183" s="13"/>
      <c r="C183" s="13"/>
      <c r="D183" s="13"/>
      <c r="E183" s="59"/>
      <c r="F183" s="13"/>
      <c r="G183" s="13"/>
      <c r="H183" s="13"/>
      <c r="I183" s="13"/>
      <c r="J183" s="97"/>
      <c r="K183" s="97"/>
      <c r="L183" s="213"/>
      <c r="M183" s="227"/>
      <c r="N183" s="65"/>
      <c r="O183" s="66"/>
      <c r="P183" s="65"/>
      <c r="Q183" s="65"/>
      <c r="R183" s="27"/>
      <c r="S183" s="27"/>
      <c r="T183" s="15"/>
      <c r="U183" s="58"/>
      <c r="V183" s="58"/>
      <c r="W183"/>
    </row>
    <row r="184" spans="1:23" x14ac:dyDescent="0.2">
      <c r="A184" s="13"/>
      <c r="B184" s="13"/>
      <c r="C184" s="13"/>
      <c r="D184" s="13"/>
      <c r="E184" s="59"/>
      <c r="F184" s="13"/>
      <c r="G184" s="13"/>
      <c r="H184" s="13"/>
      <c r="I184" s="13"/>
      <c r="J184" s="97"/>
      <c r="K184" s="97"/>
      <c r="L184" s="213"/>
      <c r="M184" s="227"/>
      <c r="N184" s="65"/>
      <c r="O184" s="66"/>
      <c r="P184" s="65"/>
      <c r="Q184" s="65"/>
      <c r="R184" s="27"/>
      <c r="S184" s="27"/>
      <c r="T184" s="15"/>
      <c r="U184" s="58"/>
      <c r="V184" s="58"/>
      <c r="W184"/>
    </row>
    <row r="185" spans="1:23" x14ac:dyDescent="0.2">
      <c r="A185" s="13"/>
      <c r="B185" s="13"/>
      <c r="C185" s="13"/>
      <c r="D185" s="13"/>
      <c r="E185" s="59"/>
      <c r="F185" s="13"/>
      <c r="G185" s="13"/>
      <c r="H185" s="13"/>
      <c r="I185" s="13"/>
      <c r="J185" s="97"/>
      <c r="K185" s="97"/>
      <c r="L185" s="213"/>
      <c r="M185" s="227"/>
      <c r="N185" s="65"/>
      <c r="O185" s="66"/>
      <c r="P185" s="65"/>
      <c r="Q185" s="65"/>
      <c r="R185" s="27"/>
      <c r="S185" s="27"/>
      <c r="T185" s="15"/>
      <c r="U185" s="58"/>
      <c r="V185" s="58"/>
      <c r="W185"/>
    </row>
    <row r="186" spans="1:23" x14ac:dyDescent="0.2">
      <c r="A186" s="13"/>
      <c r="B186" s="13"/>
      <c r="C186" s="13"/>
      <c r="D186" s="13"/>
      <c r="E186" s="59"/>
      <c r="F186" s="13"/>
      <c r="G186" s="13"/>
      <c r="H186" s="13"/>
      <c r="I186" s="13"/>
      <c r="J186" s="97"/>
      <c r="K186" s="97"/>
      <c r="L186" s="213"/>
      <c r="M186" s="227"/>
      <c r="N186" s="65"/>
      <c r="O186" s="66"/>
      <c r="P186" s="65"/>
      <c r="Q186" s="65"/>
      <c r="R186" s="27"/>
      <c r="S186" s="27"/>
      <c r="T186" s="15"/>
      <c r="U186" s="58"/>
      <c r="V186" s="58"/>
      <c r="W186"/>
    </row>
    <row r="187" spans="1:23" x14ac:dyDescent="0.2">
      <c r="A187" s="13"/>
      <c r="B187" s="13"/>
      <c r="C187" s="13"/>
      <c r="D187" s="13"/>
      <c r="E187" s="59"/>
      <c r="F187" s="13"/>
      <c r="G187" s="13"/>
      <c r="H187" s="13"/>
      <c r="I187" s="13"/>
      <c r="J187" s="97"/>
      <c r="K187" s="97"/>
      <c r="L187" s="213"/>
      <c r="M187" s="227"/>
      <c r="N187" s="65"/>
      <c r="O187" s="66"/>
      <c r="P187" s="65"/>
      <c r="Q187" s="65"/>
      <c r="R187" s="27"/>
      <c r="S187" s="27"/>
      <c r="T187" s="15"/>
      <c r="U187" s="58"/>
      <c r="V187" s="58"/>
      <c r="W187"/>
    </row>
    <row r="188" spans="1:23" x14ac:dyDescent="0.2">
      <c r="A188" s="13"/>
      <c r="B188" s="13"/>
      <c r="C188" s="13"/>
      <c r="D188" s="13"/>
      <c r="E188" s="59"/>
      <c r="F188" s="13"/>
      <c r="G188" s="13"/>
      <c r="H188" s="13"/>
      <c r="I188" s="13"/>
      <c r="J188" s="97"/>
      <c r="K188" s="97"/>
      <c r="L188" s="213"/>
      <c r="M188" s="227"/>
      <c r="N188" s="65"/>
      <c r="O188" s="66"/>
      <c r="P188" s="65"/>
      <c r="Q188" s="65"/>
      <c r="R188" s="27"/>
      <c r="S188" s="27"/>
      <c r="T188" s="15"/>
      <c r="U188" s="58"/>
      <c r="V188" s="58"/>
      <c r="W188"/>
    </row>
    <row r="189" spans="1:23" x14ac:dyDescent="0.2">
      <c r="A189" s="13"/>
      <c r="B189" s="13"/>
      <c r="C189" s="13"/>
      <c r="D189" s="13"/>
      <c r="E189" s="59"/>
      <c r="F189" s="13"/>
      <c r="G189" s="13"/>
      <c r="H189" s="13"/>
      <c r="I189" s="13"/>
      <c r="J189" s="97"/>
      <c r="K189" s="97"/>
      <c r="L189" s="213"/>
      <c r="M189" s="227"/>
      <c r="N189" s="65"/>
      <c r="O189" s="66"/>
      <c r="P189" s="65"/>
      <c r="Q189" s="65"/>
      <c r="R189" s="27"/>
      <c r="S189" s="27"/>
      <c r="T189" s="15"/>
      <c r="U189" s="58"/>
      <c r="V189" s="58"/>
      <c r="W189"/>
    </row>
    <row r="190" spans="1:23" x14ac:dyDescent="0.2">
      <c r="A190" s="13"/>
      <c r="B190" s="13"/>
      <c r="C190" s="13"/>
      <c r="D190" s="13"/>
      <c r="E190" s="59"/>
      <c r="F190" s="13"/>
      <c r="G190" s="13"/>
      <c r="H190" s="13"/>
      <c r="I190" s="13"/>
      <c r="J190" s="97"/>
      <c r="K190" s="97"/>
      <c r="L190" s="213"/>
      <c r="M190" s="227"/>
      <c r="N190" s="65"/>
      <c r="O190" s="66"/>
      <c r="P190" s="65"/>
      <c r="Q190" s="65"/>
      <c r="R190" s="27"/>
      <c r="S190" s="27"/>
      <c r="T190" s="15"/>
      <c r="U190" s="58"/>
      <c r="V190" s="58"/>
      <c r="W190"/>
    </row>
    <row r="191" spans="1:23" x14ac:dyDescent="0.2">
      <c r="A191" s="13"/>
      <c r="B191" s="13"/>
      <c r="C191" s="13"/>
      <c r="D191" s="13"/>
      <c r="E191" s="59"/>
      <c r="F191" s="13"/>
      <c r="G191" s="13"/>
      <c r="H191" s="13"/>
      <c r="I191" s="13"/>
      <c r="J191" s="97"/>
      <c r="K191" s="97"/>
      <c r="L191" s="213"/>
      <c r="M191" s="227"/>
      <c r="N191" s="65"/>
      <c r="O191" s="66"/>
      <c r="P191" s="65"/>
      <c r="Q191" s="65"/>
      <c r="R191" s="27"/>
      <c r="S191" s="27"/>
      <c r="T191" s="15"/>
      <c r="U191" s="58"/>
      <c r="V191" s="58"/>
      <c r="W191"/>
    </row>
    <row r="192" spans="1:23" x14ac:dyDescent="0.2">
      <c r="A192" s="13"/>
      <c r="B192" s="13"/>
      <c r="C192" s="13"/>
      <c r="D192" s="13"/>
      <c r="E192" s="59"/>
      <c r="F192" s="13"/>
      <c r="G192" s="13"/>
      <c r="H192" s="13"/>
      <c r="I192" s="13"/>
      <c r="J192" s="97"/>
      <c r="K192" s="97"/>
      <c r="L192" s="213"/>
      <c r="M192" s="227"/>
      <c r="N192" s="65"/>
      <c r="O192" s="66"/>
      <c r="P192" s="65"/>
      <c r="Q192" s="65"/>
      <c r="R192" s="27"/>
      <c r="S192" s="27"/>
      <c r="T192" s="15"/>
      <c r="U192" s="58"/>
      <c r="V192" s="58"/>
      <c r="W192"/>
    </row>
    <row r="193" spans="1:23" x14ac:dyDescent="0.2">
      <c r="A193" s="13"/>
      <c r="B193" s="13"/>
      <c r="C193" s="13"/>
      <c r="D193" s="13"/>
      <c r="E193" s="59"/>
      <c r="F193" s="13"/>
      <c r="G193" s="13"/>
      <c r="H193" s="13"/>
      <c r="I193" s="13"/>
      <c r="J193" s="97"/>
      <c r="K193" s="97"/>
      <c r="L193" s="213"/>
      <c r="M193" s="227"/>
      <c r="N193" s="65"/>
      <c r="O193" s="66"/>
      <c r="P193" s="65"/>
      <c r="Q193" s="65"/>
      <c r="R193" s="27"/>
      <c r="S193" s="27"/>
      <c r="T193" s="15"/>
      <c r="U193" s="58"/>
      <c r="V193" s="58"/>
      <c r="W193"/>
    </row>
    <row r="194" spans="1:23" x14ac:dyDescent="0.2">
      <c r="A194" s="13"/>
      <c r="B194" s="13"/>
      <c r="C194" s="13"/>
      <c r="D194" s="13"/>
      <c r="E194" s="59"/>
      <c r="F194" s="13"/>
      <c r="G194" s="13"/>
      <c r="H194" s="13"/>
      <c r="I194" s="13"/>
      <c r="J194" s="97"/>
      <c r="K194" s="97"/>
      <c r="L194" s="213"/>
      <c r="M194" s="227"/>
      <c r="N194" s="65"/>
      <c r="O194" s="66"/>
      <c r="P194" s="65"/>
      <c r="Q194" s="65"/>
      <c r="R194" s="27"/>
      <c r="S194" s="27"/>
      <c r="T194" s="15"/>
      <c r="U194" s="58"/>
      <c r="V194" s="58"/>
      <c r="W194"/>
    </row>
    <row r="195" spans="1:23" x14ac:dyDescent="0.2">
      <c r="A195" s="13"/>
      <c r="B195" s="13"/>
      <c r="C195" s="13"/>
      <c r="D195" s="13"/>
      <c r="E195" s="59"/>
      <c r="F195" s="13"/>
      <c r="G195" s="13"/>
      <c r="H195" s="13"/>
      <c r="I195" s="13"/>
      <c r="J195" s="97"/>
      <c r="K195" s="97"/>
      <c r="L195" s="213"/>
      <c r="M195" s="227"/>
      <c r="N195" s="65"/>
      <c r="O195" s="66"/>
      <c r="P195" s="65"/>
      <c r="Q195" s="65"/>
      <c r="R195" s="27"/>
      <c r="S195" s="27"/>
      <c r="T195" s="15"/>
      <c r="U195" s="58"/>
      <c r="V195" s="58"/>
      <c r="W195"/>
    </row>
    <row r="196" spans="1:23" x14ac:dyDescent="0.2">
      <c r="A196" s="13"/>
      <c r="B196" s="13"/>
      <c r="C196" s="13"/>
      <c r="D196" s="13"/>
      <c r="E196" s="59"/>
      <c r="F196" s="13"/>
      <c r="G196" s="13"/>
      <c r="H196" s="13"/>
      <c r="I196" s="13"/>
      <c r="J196" s="97"/>
      <c r="K196" s="97"/>
      <c r="L196" s="213"/>
      <c r="M196" s="227"/>
      <c r="N196" s="65"/>
      <c r="O196" s="66"/>
      <c r="P196" s="65"/>
      <c r="Q196" s="65"/>
      <c r="R196" s="27"/>
      <c r="S196" s="27"/>
      <c r="T196" s="15"/>
      <c r="U196" s="58"/>
      <c r="V196" s="58"/>
      <c r="W196"/>
    </row>
    <row r="197" spans="1:23" x14ac:dyDescent="0.2">
      <c r="A197" s="13"/>
      <c r="B197" s="13"/>
      <c r="C197" s="13"/>
      <c r="D197" s="13"/>
      <c r="E197" s="59"/>
      <c r="F197" s="13"/>
      <c r="G197" s="13"/>
      <c r="H197" s="13"/>
      <c r="I197" s="13"/>
      <c r="J197" s="97"/>
      <c r="K197" s="97"/>
      <c r="L197" s="213"/>
      <c r="M197" s="227"/>
      <c r="N197" s="65"/>
      <c r="O197" s="66"/>
      <c r="P197" s="65"/>
      <c r="Q197" s="65"/>
      <c r="R197" s="27"/>
      <c r="S197" s="27"/>
      <c r="T197" s="15"/>
      <c r="U197" s="58"/>
      <c r="V197" s="58"/>
      <c r="W197"/>
    </row>
    <row r="198" spans="1:23" x14ac:dyDescent="0.2">
      <c r="A198" s="13"/>
      <c r="B198" s="13"/>
      <c r="C198" s="13"/>
      <c r="D198" s="13"/>
      <c r="E198" s="59"/>
      <c r="F198" s="13"/>
      <c r="G198" s="13"/>
      <c r="H198" s="13"/>
      <c r="I198" s="13"/>
      <c r="J198" s="97"/>
      <c r="K198" s="97"/>
      <c r="L198" s="213"/>
      <c r="M198" s="227"/>
      <c r="N198" s="65"/>
      <c r="O198" s="66"/>
      <c r="P198" s="65"/>
      <c r="Q198" s="65"/>
      <c r="R198" s="27"/>
      <c r="S198" s="27"/>
      <c r="T198" s="15"/>
      <c r="U198" s="58"/>
      <c r="V198" s="58"/>
      <c r="W198"/>
    </row>
    <row r="199" spans="1:23" x14ac:dyDescent="0.2">
      <c r="A199" s="13"/>
      <c r="B199" s="13"/>
      <c r="C199" s="13"/>
      <c r="D199" s="13"/>
      <c r="E199" s="59"/>
      <c r="F199" s="13"/>
      <c r="G199" s="13"/>
      <c r="H199" s="13"/>
      <c r="I199" s="13"/>
      <c r="J199" s="97"/>
      <c r="K199" s="97"/>
      <c r="L199" s="213"/>
      <c r="M199" s="227"/>
      <c r="N199" s="65"/>
      <c r="O199" s="66"/>
      <c r="P199" s="65"/>
      <c r="Q199" s="65"/>
      <c r="R199" s="27"/>
      <c r="S199" s="27"/>
      <c r="T199" s="15"/>
      <c r="U199" s="58"/>
      <c r="V199" s="58"/>
      <c r="W199"/>
    </row>
    <row r="200" spans="1:23" x14ac:dyDescent="0.2">
      <c r="A200" s="13"/>
      <c r="B200" s="13"/>
      <c r="C200" s="13"/>
      <c r="D200" s="13"/>
      <c r="E200" s="59"/>
      <c r="F200" s="13"/>
      <c r="G200" s="13"/>
      <c r="H200" s="13"/>
      <c r="I200" s="13"/>
      <c r="J200" s="97"/>
      <c r="K200" s="97"/>
      <c r="L200" s="213"/>
      <c r="M200" s="227"/>
      <c r="N200" s="65"/>
      <c r="O200" s="66"/>
      <c r="P200" s="65"/>
      <c r="Q200" s="65"/>
      <c r="R200" s="27"/>
      <c r="S200" s="27"/>
      <c r="T200" s="15"/>
      <c r="U200" s="58"/>
      <c r="V200" s="58"/>
      <c r="W200"/>
    </row>
    <row r="201" spans="1:23" x14ac:dyDescent="0.2">
      <c r="A201" s="13"/>
      <c r="B201" s="13"/>
      <c r="C201" s="13"/>
      <c r="D201" s="13"/>
      <c r="E201" s="59"/>
      <c r="F201" s="13"/>
      <c r="G201" s="13"/>
      <c r="H201" s="13"/>
      <c r="I201" s="13"/>
      <c r="J201" s="97"/>
      <c r="K201" s="97"/>
      <c r="L201" s="213"/>
      <c r="M201" s="227"/>
      <c r="N201" s="65"/>
      <c r="O201" s="66"/>
      <c r="P201" s="65"/>
      <c r="Q201" s="65"/>
      <c r="R201" s="27"/>
      <c r="S201" s="27"/>
      <c r="T201" s="15"/>
      <c r="U201" s="58"/>
      <c r="V201" s="58"/>
      <c r="W201"/>
    </row>
    <row r="202" spans="1:23" x14ac:dyDescent="0.2">
      <c r="A202" s="13"/>
      <c r="B202" s="13"/>
      <c r="C202" s="13"/>
      <c r="D202" s="13"/>
      <c r="E202" s="59"/>
      <c r="F202" s="13"/>
      <c r="G202" s="13"/>
      <c r="H202" s="13"/>
      <c r="I202" s="13"/>
      <c r="J202" s="97"/>
      <c r="K202" s="97"/>
      <c r="L202" s="213"/>
      <c r="M202" s="227"/>
      <c r="N202" s="65"/>
      <c r="O202" s="66"/>
      <c r="P202" s="65"/>
      <c r="Q202" s="65"/>
      <c r="R202" s="27"/>
      <c r="S202" s="27"/>
      <c r="T202" s="15"/>
      <c r="U202" s="58"/>
      <c r="V202" s="58"/>
      <c r="W202"/>
    </row>
    <row r="203" spans="1:23" x14ac:dyDescent="0.2">
      <c r="A203" s="13"/>
      <c r="B203" s="13"/>
      <c r="C203" s="13"/>
      <c r="D203" s="13"/>
      <c r="E203" s="59"/>
      <c r="F203" s="13"/>
      <c r="G203" s="13"/>
      <c r="H203" s="13"/>
      <c r="I203" s="13"/>
      <c r="J203" s="97"/>
      <c r="K203" s="97"/>
      <c r="L203" s="213"/>
      <c r="M203" s="227"/>
      <c r="N203" s="65"/>
      <c r="O203" s="66"/>
      <c r="P203" s="65"/>
      <c r="Q203" s="65"/>
      <c r="R203" s="27"/>
      <c r="S203" s="27"/>
      <c r="T203" s="15"/>
      <c r="U203" s="58"/>
      <c r="V203" s="58"/>
      <c r="W203"/>
    </row>
    <row r="204" spans="1:23" x14ac:dyDescent="0.2">
      <c r="A204" s="13"/>
      <c r="B204" s="13"/>
      <c r="C204" s="13"/>
      <c r="D204" s="13"/>
      <c r="E204" s="59"/>
      <c r="F204" s="13"/>
      <c r="G204" s="13"/>
      <c r="H204" s="13"/>
      <c r="I204" s="13"/>
      <c r="J204" s="97"/>
      <c r="K204" s="97"/>
      <c r="L204" s="213"/>
      <c r="M204" s="227"/>
      <c r="N204" s="65"/>
      <c r="O204" s="66"/>
      <c r="P204" s="65"/>
      <c r="Q204" s="65"/>
      <c r="R204" s="27"/>
      <c r="S204" s="27"/>
      <c r="T204" s="15"/>
      <c r="U204" s="58"/>
      <c r="V204" s="58"/>
      <c r="W204"/>
    </row>
    <row r="205" spans="1:23" x14ac:dyDescent="0.2">
      <c r="A205" s="13"/>
      <c r="B205" s="13"/>
      <c r="C205" s="13"/>
      <c r="D205" s="13"/>
      <c r="E205" s="59"/>
      <c r="F205" s="13"/>
      <c r="G205" s="13"/>
      <c r="H205" s="13"/>
      <c r="I205" s="13"/>
      <c r="J205" s="97"/>
      <c r="K205" s="97"/>
      <c r="L205" s="213"/>
      <c r="M205" s="227"/>
      <c r="N205" s="65"/>
      <c r="O205" s="66"/>
      <c r="P205" s="65"/>
      <c r="Q205" s="65"/>
      <c r="R205" s="27"/>
      <c r="S205" s="27"/>
      <c r="T205" s="15"/>
      <c r="U205" s="58"/>
      <c r="V205" s="58"/>
      <c r="W205"/>
    </row>
    <row r="206" spans="1:23" x14ac:dyDescent="0.2">
      <c r="A206" s="13"/>
      <c r="B206" s="13"/>
      <c r="C206" s="13"/>
      <c r="D206" s="13"/>
      <c r="E206" s="59"/>
      <c r="F206" s="13"/>
      <c r="G206" s="13"/>
      <c r="H206" s="13"/>
      <c r="I206" s="13"/>
      <c r="J206" s="97"/>
      <c r="K206" s="97"/>
      <c r="L206" s="213"/>
      <c r="M206" s="227"/>
      <c r="N206" s="65"/>
      <c r="O206" s="66"/>
      <c r="P206" s="65"/>
      <c r="Q206" s="65"/>
      <c r="R206" s="27"/>
      <c r="S206" s="27"/>
      <c r="T206" s="15"/>
      <c r="U206" s="58"/>
      <c r="V206" s="58"/>
      <c r="W206"/>
    </row>
    <row r="207" spans="1:23" x14ac:dyDescent="0.2">
      <c r="L207" s="213"/>
    </row>
    <row r="208" spans="1:23" x14ac:dyDescent="0.2">
      <c r="L208" s="213"/>
    </row>
    <row r="209" spans="12:12" x14ac:dyDescent="0.2">
      <c r="L209" s="213"/>
    </row>
  </sheetData>
  <mergeCells count="9">
    <mergeCell ref="A8:K8"/>
    <mergeCell ref="A1:J1"/>
    <mergeCell ref="A2:J2"/>
    <mergeCell ref="L2:Q2"/>
    <mergeCell ref="L8:V8"/>
    <mergeCell ref="A3:I3"/>
    <mergeCell ref="A5:C5"/>
    <mergeCell ref="D5:E5"/>
    <mergeCell ref="A7:V7"/>
  </mergeCells>
  <phoneticPr fontId="0" type="noConversion"/>
  <conditionalFormatting sqref="A73:I73 A75:I77 C60:C62 C20:C23 A32:I36">
    <cfRule type="expression" dxfId="4" priority="4" stopIfTrue="1">
      <formula>TRUE</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createTicker">
                <anchor moveWithCells="1">
                  <from>
                    <xdr:col>0</xdr:col>
                    <xdr:colOff>180975</xdr:colOff>
                    <xdr:row>1</xdr:row>
                    <xdr:rowOff>76200</xdr:rowOff>
                  </from>
                  <to>
                    <xdr:col>0</xdr:col>
                    <xdr:colOff>1066800</xdr:colOff>
                    <xdr:row>1</xdr:row>
                    <xdr:rowOff>276225</xdr:rowOff>
                  </to>
                </anchor>
              </controlPr>
            </control>
          </mc:Choice>
        </mc:AlternateContent>
        <mc:AlternateContent xmlns:mc="http://schemas.openxmlformats.org/markup-compatibility/2006">
          <mc:Choice Requires="x14">
            <control shapeId="18434" r:id="rId5" name="Button 2">
              <controlPr defaultSize="0" print="0" autoFill="0" autoPict="0" macro="[0]!Sheet12.requestHistoricalData">
                <anchor moveWithCells="1">
                  <from>
                    <xdr:col>2</xdr:col>
                    <xdr:colOff>542925</xdr:colOff>
                    <xdr:row>1</xdr:row>
                    <xdr:rowOff>76200</xdr:rowOff>
                  </from>
                  <to>
                    <xdr:col>4</xdr:col>
                    <xdr:colOff>552450</xdr:colOff>
                    <xdr:row>1</xdr:row>
                    <xdr:rowOff>276225</xdr:rowOff>
                  </to>
                </anchor>
              </controlPr>
            </control>
          </mc:Choice>
        </mc:AlternateContent>
        <mc:AlternateContent xmlns:mc="http://schemas.openxmlformats.org/markup-compatibility/2006">
          <mc:Choice Requires="x14">
            <control shapeId="18437" r:id="rId6" name="Button 5">
              <controlPr defaultSize="0" print="0" autoFill="0" autoPict="0" macro="[0]!createComboLegs">
                <anchor moveWithCells="1">
                  <from>
                    <xdr:col>1</xdr:col>
                    <xdr:colOff>38100</xdr:colOff>
                    <xdr:row>1</xdr:row>
                    <xdr:rowOff>76200</xdr:rowOff>
                  </from>
                  <to>
                    <xdr:col>2</xdr:col>
                    <xdr:colOff>247650</xdr:colOff>
                    <xdr:row>1</xdr:row>
                    <xdr:rowOff>276225</xdr:rowOff>
                  </to>
                </anchor>
              </controlPr>
            </control>
          </mc:Choice>
        </mc:AlternateContent>
        <mc:AlternateContent xmlns:mc="http://schemas.openxmlformats.org/markup-compatibility/2006">
          <mc:Choice Requires="x14">
            <control shapeId="18441" r:id="rId7" name="Button 9">
              <controlPr defaultSize="0" print="0" autoFill="0" autoPict="0" macro="[0]!Sheet12.cancelHistoricalData">
                <anchor moveWithCells="1" sizeWithCells="1">
                  <from>
                    <xdr:col>6</xdr:col>
                    <xdr:colOff>0</xdr:colOff>
                    <xdr:row>1</xdr:row>
                    <xdr:rowOff>76200</xdr:rowOff>
                  </from>
                  <to>
                    <xdr:col>8</xdr:col>
                    <xdr:colOff>19050</xdr:colOff>
                    <xdr:row>1</xdr:row>
                    <xdr:rowOff>276225</xdr:rowOff>
                  </to>
                </anchor>
              </controlPr>
            </control>
          </mc:Choice>
        </mc:AlternateContent>
        <mc:AlternateContent xmlns:mc="http://schemas.openxmlformats.org/markup-compatibility/2006">
          <mc:Choice Requires="x14">
            <control shapeId="18442" r:id="rId8" name="Button 10">
              <controlPr defaultSize="0" print="0" autoFill="0" autoPict="0" macro="[0]!Sheet12.onShowError">
                <anchor moveWithCells="1">
                  <from>
                    <xdr:col>8</xdr:col>
                    <xdr:colOff>342900</xdr:colOff>
                    <xdr:row>1</xdr:row>
                    <xdr:rowOff>76200</xdr:rowOff>
                  </from>
                  <to>
                    <xdr:col>9</xdr:col>
                    <xdr:colOff>38100</xdr:colOff>
                    <xdr:row>1</xdr:row>
                    <xdr:rowOff>276225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IV209"/>
  <sheetViews>
    <sheetView zoomScale="80" zoomScaleNormal="80" workbookViewId="0">
      <pane ySplit="9" topLeftCell="A10" activePane="bottomLeft" state="frozenSplit"/>
      <selection pane="bottomLeft" activeCell="B5" sqref="B5"/>
    </sheetView>
  </sheetViews>
  <sheetFormatPr defaultRowHeight="12.75" x14ac:dyDescent="0.2"/>
  <cols>
    <col min="1" max="1" width="14.5703125" customWidth="1"/>
    <col min="2" max="2" width="37" bestFit="1" customWidth="1"/>
    <col min="3" max="3" width="13.140625" bestFit="1" customWidth="1"/>
    <col min="4" max="4" width="42.85546875" customWidth="1"/>
    <col min="5" max="5" width="10.42578125" style="54" bestFit="1" customWidth="1"/>
    <col min="6" max="6" width="23.7109375" style="54" bestFit="1" customWidth="1"/>
    <col min="7" max="7" width="9.5703125" style="54" customWidth="1"/>
    <col min="8" max="8" width="16" style="54" customWidth="1"/>
    <col min="9" max="9" width="13.28515625" style="54" customWidth="1"/>
    <col min="10" max="10" width="11.85546875" customWidth="1"/>
    <col min="11" max="11" width="15.85546875" bestFit="1" customWidth="1"/>
    <col min="12" max="12" width="15" bestFit="1" customWidth="1"/>
    <col min="13" max="21" width="11.85546875" customWidth="1"/>
    <col min="22" max="22" width="13.140625" bestFit="1" customWidth="1"/>
    <col min="23" max="23" width="17.7109375" customWidth="1"/>
    <col min="24" max="24" width="13.140625" bestFit="1" customWidth="1"/>
    <col min="33" max="33" width="11.5703125" style="57" customWidth="1"/>
    <col min="34" max="34" width="10" style="57" bestFit="1" customWidth="1"/>
  </cols>
  <sheetData>
    <row r="1" spans="1:256" x14ac:dyDescent="0.2">
      <c r="A1" s="342" t="s">
        <v>47</v>
      </c>
      <c r="B1" s="276"/>
      <c r="C1" s="276"/>
      <c r="D1" s="277"/>
      <c r="E1" s="47"/>
      <c r="F1" s="47"/>
      <c r="G1" s="47"/>
      <c r="H1" s="25"/>
      <c r="I1" s="25"/>
      <c r="J1" s="25"/>
      <c r="K1" s="25"/>
      <c r="L1" s="25"/>
      <c r="M1" s="25"/>
      <c r="N1" s="25"/>
      <c r="O1" s="25"/>
      <c r="P1" s="25"/>
      <c r="Q1" s="25"/>
      <c r="R1" s="25"/>
      <c r="S1" s="25"/>
      <c r="T1" s="25"/>
      <c r="U1" s="25"/>
      <c r="V1" s="25"/>
      <c r="W1" s="25"/>
      <c r="X1" s="25"/>
      <c r="Y1" s="25"/>
      <c r="Z1" s="25"/>
      <c r="AA1" s="25"/>
      <c r="AG1"/>
      <c r="AH1"/>
    </row>
    <row r="2" spans="1:256" ht="28.5" customHeight="1" x14ac:dyDescent="0.2">
      <c r="A2" s="448"/>
      <c r="B2" s="279"/>
      <c r="C2" s="279"/>
      <c r="D2" s="280"/>
      <c r="E2" s="47"/>
      <c r="F2" s="449" t="s">
        <v>298</v>
      </c>
      <c r="G2" s="450"/>
      <c r="H2" s="450"/>
      <c r="I2" s="450"/>
      <c r="J2" s="450"/>
      <c r="K2" s="450"/>
      <c r="L2" s="451"/>
      <c r="O2" s="25"/>
      <c r="P2" s="25"/>
      <c r="Q2" s="25"/>
      <c r="R2" s="25"/>
      <c r="S2" s="25"/>
      <c r="T2" s="25"/>
      <c r="U2" s="25"/>
      <c r="V2" s="25"/>
      <c r="W2" s="25"/>
      <c r="X2" s="25"/>
      <c r="Y2" s="25"/>
      <c r="Z2" s="25"/>
      <c r="AG2"/>
      <c r="AH2"/>
    </row>
    <row r="3" spans="1:256" x14ac:dyDescent="0.2">
      <c r="A3" s="257"/>
      <c r="B3" s="257"/>
      <c r="C3" s="257"/>
      <c r="D3" s="257"/>
      <c r="E3" s="257"/>
      <c r="F3" s="257"/>
      <c r="G3" s="257"/>
      <c r="H3" s="257"/>
      <c r="I3" s="257"/>
      <c r="J3" s="19"/>
      <c r="K3" s="19"/>
      <c r="L3" s="19"/>
      <c r="M3" s="19"/>
      <c r="N3" s="19"/>
      <c r="O3" s="19"/>
      <c r="P3" s="19"/>
      <c r="Q3" s="19"/>
      <c r="R3" s="19"/>
      <c r="S3" s="19"/>
      <c r="T3" s="19"/>
      <c r="U3" s="19"/>
      <c r="V3" s="19"/>
      <c r="W3" s="19"/>
      <c r="X3" s="19"/>
      <c r="AG3"/>
      <c r="AH3"/>
    </row>
    <row r="4" spans="1:256" s="25" customFormat="1" x14ac:dyDescent="0.2">
      <c r="A4" s="82" t="s">
        <v>51</v>
      </c>
      <c r="B4" s="83"/>
      <c r="C4" s="83"/>
      <c r="D4" s="84"/>
      <c r="F4" s="70" t="s">
        <v>152</v>
      </c>
      <c r="G4" s="73">
        <v>10</v>
      </c>
      <c r="H4" s="18"/>
      <c r="J4"/>
      <c r="K4"/>
      <c r="L4"/>
      <c r="M4"/>
    </row>
    <row r="5" spans="1:256" s="25" customFormat="1" x14ac:dyDescent="0.2">
      <c r="A5" s="71" t="s">
        <v>58</v>
      </c>
      <c r="B5" s="156" t="s">
        <v>498</v>
      </c>
      <c r="C5" s="85"/>
      <c r="D5" s="102"/>
      <c r="F5" s="71" t="s">
        <v>153</v>
      </c>
      <c r="G5" s="22">
        <v>42</v>
      </c>
      <c r="H5" s="85"/>
      <c r="J5"/>
      <c r="K5"/>
      <c r="L5"/>
      <c r="M5"/>
    </row>
    <row r="6" spans="1:256" s="7" customFormat="1" x14ac:dyDescent="0.2">
      <c r="G6" s="25"/>
      <c r="H6" s="25"/>
      <c r="I6" s="25"/>
      <c r="J6"/>
      <c r="K6"/>
      <c r="L6"/>
      <c r="M6"/>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W6" s="25"/>
      <c r="BX6" s="25"/>
      <c r="BY6" s="25"/>
      <c r="BZ6" s="25"/>
      <c r="CA6" s="25"/>
      <c r="CB6" s="25"/>
      <c r="CC6" s="25"/>
      <c r="CD6" s="25"/>
      <c r="CE6" s="25"/>
      <c r="CF6" s="25"/>
      <c r="CG6" s="25"/>
      <c r="CH6" s="25"/>
      <c r="CI6" s="25"/>
      <c r="CJ6" s="25"/>
      <c r="CK6" s="25"/>
      <c r="CL6" s="25"/>
      <c r="CM6" s="25"/>
      <c r="CN6" s="25"/>
      <c r="CO6" s="25"/>
      <c r="CP6" s="25"/>
      <c r="CQ6" s="25"/>
      <c r="CR6" s="25"/>
      <c r="CS6" s="25"/>
      <c r="CT6" s="25"/>
      <c r="CU6" s="25"/>
      <c r="CV6" s="25"/>
      <c r="CW6" s="25"/>
      <c r="CX6" s="25"/>
      <c r="CY6" s="25"/>
      <c r="CZ6" s="25"/>
      <c r="DA6" s="25"/>
      <c r="DB6" s="25"/>
      <c r="DC6" s="25"/>
      <c r="DD6" s="25"/>
      <c r="DE6" s="25"/>
      <c r="DF6" s="25"/>
      <c r="DG6" s="25"/>
      <c r="DH6" s="25"/>
      <c r="DI6" s="25"/>
      <c r="DJ6" s="25"/>
      <c r="DK6" s="25"/>
      <c r="DL6" s="25"/>
      <c r="DM6" s="25"/>
      <c r="DN6" s="25"/>
      <c r="DO6" s="25"/>
      <c r="DP6" s="25"/>
      <c r="DQ6" s="25"/>
      <c r="DR6" s="25"/>
      <c r="DS6" s="25"/>
      <c r="DT6" s="25"/>
      <c r="DU6" s="25"/>
      <c r="DV6" s="25"/>
      <c r="DW6" s="25"/>
      <c r="DX6" s="25"/>
      <c r="DY6" s="25"/>
      <c r="DZ6" s="25"/>
      <c r="EA6" s="25"/>
      <c r="EB6" s="25"/>
      <c r="EC6" s="25"/>
      <c r="ED6" s="25"/>
      <c r="EE6" s="25"/>
      <c r="EF6" s="25"/>
      <c r="EG6" s="25"/>
      <c r="EH6" s="25"/>
      <c r="EI6" s="25"/>
      <c r="EJ6" s="25"/>
      <c r="EK6" s="25"/>
      <c r="EL6" s="25"/>
      <c r="EM6" s="25"/>
      <c r="EN6" s="25"/>
      <c r="EO6" s="25"/>
      <c r="EP6" s="25"/>
      <c r="EQ6" s="25"/>
      <c r="ER6" s="25"/>
      <c r="ES6" s="25"/>
      <c r="ET6" s="25"/>
      <c r="EU6" s="25"/>
      <c r="EV6" s="25"/>
      <c r="EW6" s="25"/>
      <c r="EX6" s="25"/>
      <c r="EY6" s="25"/>
      <c r="EZ6" s="25"/>
      <c r="FA6" s="25"/>
      <c r="FB6" s="25"/>
      <c r="FC6" s="25"/>
      <c r="FD6" s="25"/>
      <c r="FE6" s="25"/>
      <c r="FF6" s="25"/>
      <c r="FG6" s="25"/>
      <c r="FH6" s="25"/>
      <c r="FI6" s="25"/>
      <c r="FJ6" s="25"/>
      <c r="FK6" s="25"/>
      <c r="FL6" s="25"/>
      <c r="FM6" s="25"/>
      <c r="FN6" s="25"/>
      <c r="FO6" s="25"/>
      <c r="FP6" s="25"/>
      <c r="FQ6" s="25"/>
      <c r="FR6" s="25"/>
      <c r="FS6" s="25"/>
      <c r="FT6" s="25"/>
      <c r="FU6" s="25"/>
      <c r="FV6" s="25"/>
      <c r="FW6" s="25"/>
      <c r="FX6" s="25"/>
      <c r="FY6" s="25"/>
      <c r="FZ6" s="25"/>
      <c r="GA6" s="25"/>
      <c r="GB6" s="25"/>
      <c r="GC6" s="25"/>
      <c r="GD6" s="25"/>
      <c r="GE6" s="25"/>
      <c r="GF6" s="25"/>
      <c r="GG6" s="25"/>
      <c r="GH6" s="25"/>
      <c r="GI6" s="25"/>
      <c r="GJ6" s="25"/>
      <c r="GK6" s="25"/>
      <c r="GL6" s="25"/>
      <c r="GM6" s="25"/>
      <c r="GN6" s="25"/>
      <c r="GO6" s="25"/>
      <c r="GP6" s="25"/>
      <c r="GQ6" s="25"/>
      <c r="GR6" s="25"/>
      <c r="GS6" s="25"/>
      <c r="GT6" s="25"/>
      <c r="GU6" s="25"/>
      <c r="GV6" s="25"/>
      <c r="GW6" s="25"/>
      <c r="GX6" s="25"/>
      <c r="GY6" s="25"/>
      <c r="GZ6" s="25"/>
      <c r="HA6" s="25"/>
      <c r="HB6" s="25"/>
      <c r="HC6" s="25"/>
      <c r="HD6" s="25"/>
      <c r="HE6" s="25"/>
      <c r="HF6" s="25"/>
      <c r="HG6" s="25"/>
      <c r="HH6" s="25"/>
      <c r="HI6" s="25"/>
      <c r="HJ6" s="25"/>
      <c r="HK6" s="25"/>
      <c r="HL6" s="25"/>
      <c r="HM6" s="25"/>
      <c r="HN6" s="25"/>
      <c r="HO6" s="25"/>
      <c r="HP6" s="25"/>
      <c r="HQ6" s="25"/>
      <c r="HR6" s="25"/>
      <c r="HS6" s="25"/>
      <c r="HT6" s="25"/>
      <c r="HU6" s="25"/>
      <c r="HV6" s="25"/>
      <c r="HW6" s="25"/>
      <c r="HX6" s="25"/>
      <c r="HY6" s="25"/>
      <c r="HZ6" s="25"/>
      <c r="IA6" s="25"/>
      <c r="IB6" s="25"/>
      <c r="IC6" s="25"/>
      <c r="ID6" s="25"/>
      <c r="IE6" s="25"/>
      <c r="IF6" s="25"/>
      <c r="IG6" s="25"/>
      <c r="IH6" s="25"/>
      <c r="II6" s="25"/>
      <c r="IJ6" s="25"/>
      <c r="IK6" s="25"/>
      <c r="IL6" s="25"/>
      <c r="IM6" s="25"/>
      <c r="IN6" s="25"/>
      <c r="IO6" s="25"/>
      <c r="IP6" s="25"/>
      <c r="IQ6" s="25"/>
      <c r="IR6" s="25"/>
      <c r="IS6" s="25"/>
      <c r="IT6" s="25"/>
      <c r="IU6" s="25"/>
      <c r="IV6" s="25"/>
    </row>
    <row r="7" spans="1:256" x14ac:dyDescent="0.2">
      <c r="A7" s="420" t="s">
        <v>222</v>
      </c>
      <c r="B7" s="264"/>
      <c r="C7" s="264"/>
      <c r="D7" s="264"/>
      <c r="E7" s="264"/>
      <c r="F7" s="264"/>
      <c r="G7" s="264"/>
      <c r="H7" s="264"/>
      <c r="I7" s="264"/>
      <c r="J7" s="264"/>
      <c r="K7" s="264"/>
      <c r="L7" s="264"/>
      <c r="M7" s="264"/>
      <c r="N7" s="264"/>
      <c r="O7" s="264"/>
      <c r="P7" s="264"/>
      <c r="Q7" s="264"/>
      <c r="R7" s="264"/>
      <c r="S7" s="264"/>
      <c r="T7" s="264"/>
      <c r="U7" s="264"/>
      <c r="V7" s="264"/>
      <c r="W7" s="268"/>
      <c r="X7" s="268"/>
      <c r="AG7"/>
      <c r="AH7"/>
    </row>
    <row r="8" spans="1:256" x14ac:dyDescent="0.2">
      <c r="A8" s="89" t="s">
        <v>22</v>
      </c>
      <c r="B8" s="89" t="s">
        <v>219</v>
      </c>
      <c r="C8" s="89" t="s">
        <v>253</v>
      </c>
      <c r="D8" s="90" t="s">
        <v>223</v>
      </c>
      <c r="E8" s="89" t="s">
        <v>224</v>
      </c>
      <c r="F8" s="89" t="s">
        <v>225</v>
      </c>
      <c r="G8" s="89" t="s">
        <v>239</v>
      </c>
      <c r="H8" s="89" t="s">
        <v>243</v>
      </c>
      <c r="I8" s="89" t="s">
        <v>34</v>
      </c>
      <c r="J8" s="89" t="s">
        <v>34</v>
      </c>
      <c r="K8" s="89" t="s">
        <v>245</v>
      </c>
      <c r="L8" s="89" t="s">
        <v>226</v>
      </c>
      <c r="M8" s="89" t="s">
        <v>228</v>
      </c>
      <c r="N8" s="89" t="s">
        <v>228</v>
      </c>
      <c r="O8" s="89" t="s">
        <v>231</v>
      </c>
      <c r="P8" s="89" t="s">
        <v>231</v>
      </c>
      <c r="Q8" s="89" t="s">
        <v>233</v>
      </c>
      <c r="R8" s="89" t="s">
        <v>233</v>
      </c>
      <c r="S8" s="89" t="s">
        <v>234</v>
      </c>
      <c r="T8" s="89" t="s">
        <v>234</v>
      </c>
      <c r="U8" s="89" t="s">
        <v>235</v>
      </c>
      <c r="V8" s="89" t="s">
        <v>235</v>
      </c>
      <c r="W8" s="89" t="s">
        <v>236</v>
      </c>
      <c r="X8" s="89" t="s">
        <v>237</v>
      </c>
      <c r="AG8"/>
      <c r="AH8"/>
      <c r="AK8" s="57"/>
    </row>
    <row r="9" spans="1:256" s="23" customFormat="1" x14ac:dyDescent="0.2">
      <c r="A9" s="89"/>
      <c r="B9" s="86"/>
      <c r="C9" s="86"/>
      <c r="D9" s="86"/>
      <c r="E9" s="86"/>
      <c r="F9" s="86"/>
      <c r="G9" s="86" t="s">
        <v>240</v>
      </c>
      <c r="H9" s="86" t="s">
        <v>244</v>
      </c>
      <c r="I9" s="86" t="s">
        <v>229</v>
      </c>
      <c r="J9" s="86" t="s">
        <v>230</v>
      </c>
      <c r="K9" s="86" t="s">
        <v>232</v>
      </c>
      <c r="L9" s="86" t="s">
        <v>227</v>
      </c>
      <c r="M9" s="86" t="s">
        <v>229</v>
      </c>
      <c r="N9" s="86" t="s">
        <v>230</v>
      </c>
      <c r="O9" s="86" t="s">
        <v>232</v>
      </c>
      <c r="P9" s="86" t="s">
        <v>230</v>
      </c>
      <c r="Q9" s="86" t="s">
        <v>232</v>
      </c>
      <c r="R9" s="86" t="s">
        <v>230</v>
      </c>
      <c r="S9" s="86" t="s">
        <v>232</v>
      </c>
      <c r="T9" s="86" t="s">
        <v>230</v>
      </c>
      <c r="U9" s="86" t="s">
        <v>232</v>
      </c>
      <c r="V9" s="86" t="s">
        <v>230</v>
      </c>
      <c r="W9" s="86" t="s">
        <v>182</v>
      </c>
      <c r="X9" s="86" t="s">
        <v>238</v>
      </c>
    </row>
    <row r="10" spans="1:256" x14ac:dyDescent="0.2">
      <c r="A10" s="213"/>
      <c r="B10" s="228" t="s">
        <v>638</v>
      </c>
      <c r="C10" s="13" t="b">
        <v>1</v>
      </c>
      <c r="D10" s="13" t="s">
        <v>631</v>
      </c>
      <c r="E10" s="13" t="s">
        <v>636</v>
      </c>
      <c r="F10" s="13" t="s">
        <v>637</v>
      </c>
      <c r="G10" s="13" t="s">
        <v>246</v>
      </c>
      <c r="H10" s="240">
        <v>30</v>
      </c>
      <c r="I10" s="59"/>
      <c r="J10" s="59"/>
      <c r="K10" s="59"/>
      <c r="L10" s="59"/>
      <c r="M10" s="13"/>
      <c r="N10" s="13"/>
      <c r="O10" s="13"/>
      <c r="P10" s="13"/>
      <c r="Q10" s="13"/>
      <c r="R10" s="13"/>
      <c r="S10" s="13"/>
      <c r="T10" s="13"/>
      <c r="U10" s="13"/>
      <c r="V10" s="13"/>
      <c r="W10" s="13"/>
      <c r="X10" s="13"/>
      <c r="AG10"/>
      <c r="AH10"/>
    </row>
    <row r="11" spans="1:256" x14ac:dyDescent="0.2">
      <c r="A11" s="213"/>
      <c r="B11" s="228" t="s">
        <v>639</v>
      </c>
      <c r="C11" s="13" t="b">
        <v>1</v>
      </c>
      <c r="D11" s="13" t="s">
        <v>631</v>
      </c>
      <c r="E11" s="13" t="s">
        <v>249</v>
      </c>
      <c r="F11" s="13" t="s">
        <v>635</v>
      </c>
      <c r="G11" s="13" t="s">
        <v>246</v>
      </c>
      <c r="H11" s="240">
        <v>30</v>
      </c>
      <c r="I11" s="59"/>
      <c r="J11" s="59"/>
      <c r="K11" s="59"/>
      <c r="L11" s="59"/>
      <c r="M11" s="13"/>
      <c r="N11" s="13"/>
      <c r="O11" s="13"/>
      <c r="P11" s="13"/>
      <c r="Q11" s="13"/>
      <c r="R11" s="13"/>
      <c r="S11" s="13"/>
      <c r="T11" s="13"/>
      <c r="U11" s="13"/>
      <c r="V11" s="13"/>
      <c r="W11" s="13"/>
      <c r="X11" s="13"/>
      <c r="AG11"/>
      <c r="AH11"/>
    </row>
    <row r="12" spans="1:256" x14ac:dyDescent="0.2">
      <c r="A12" s="213"/>
      <c r="B12" s="228" t="s">
        <v>258</v>
      </c>
      <c r="C12" s="13" t="b">
        <v>1</v>
      </c>
      <c r="D12" s="13" t="s">
        <v>258</v>
      </c>
      <c r="E12" s="13" t="s">
        <v>11</v>
      </c>
      <c r="F12" s="13" t="s">
        <v>462</v>
      </c>
      <c r="G12" s="13" t="s">
        <v>246</v>
      </c>
      <c r="H12" s="59">
        <v>20</v>
      </c>
      <c r="I12" s="59">
        <v>5</v>
      </c>
      <c r="J12" s="59"/>
      <c r="K12" s="59">
        <v>1000000</v>
      </c>
      <c r="L12" s="59">
        <v>200</v>
      </c>
      <c r="M12" s="13">
        <v>1000000000</v>
      </c>
      <c r="N12" s="13"/>
      <c r="O12" s="13"/>
      <c r="P12" s="13"/>
      <c r="Q12" s="13"/>
      <c r="R12" s="13"/>
      <c r="S12" s="13"/>
      <c r="T12" s="13"/>
      <c r="U12" s="13"/>
      <c r="V12" s="13"/>
      <c r="W12" s="13"/>
      <c r="X12" s="13"/>
      <c r="AG12"/>
      <c r="AH12"/>
    </row>
    <row r="13" spans="1:256" x14ac:dyDescent="0.2">
      <c r="A13" s="213"/>
      <c r="B13" s="228" t="s">
        <v>395</v>
      </c>
      <c r="C13" s="13" t="b">
        <v>1</v>
      </c>
      <c r="D13" s="13" t="s">
        <v>395</v>
      </c>
      <c r="E13" s="13" t="s">
        <v>11</v>
      </c>
      <c r="F13" s="13" t="s">
        <v>462</v>
      </c>
      <c r="G13" s="13" t="s">
        <v>246</v>
      </c>
      <c r="H13" s="59">
        <v>20</v>
      </c>
      <c r="I13" s="59">
        <v>5</v>
      </c>
      <c r="J13" s="59"/>
      <c r="K13" s="59">
        <v>1000000</v>
      </c>
      <c r="L13" s="59">
        <v>200</v>
      </c>
      <c r="M13" s="13">
        <v>1000000000</v>
      </c>
      <c r="N13" s="13"/>
      <c r="O13" s="13"/>
      <c r="P13" s="13"/>
      <c r="Q13" s="13"/>
      <c r="R13" s="13"/>
      <c r="S13" s="13"/>
      <c r="T13" s="13"/>
      <c r="U13" s="13"/>
      <c r="V13" s="13"/>
      <c r="W13" s="13"/>
      <c r="X13" s="13"/>
      <c r="AG13"/>
      <c r="AH13"/>
    </row>
    <row r="14" spans="1:256" x14ac:dyDescent="0.2">
      <c r="A14" s="213"/>
      <c r="B14" s="228" t="s">
        <v>259</v>
      </c>
      <c r="C14" s="13" t="b">
        <v>1</v>
      </c>
      <c r="D14" s="13" t="s">
        <v>259</v>
      </c>
      <c r="E14" s="13" t="s">
        <v>11</v>
      </c>
      <c r="F14" s="13" t="s">
        <v>462</v>
      </c>
      <c r="G14" s="13" t="s">
        <v>246</v>
      </c>
      <c r="H14" s="59">
        <v>20</v>
      </c>
      <c r="I14" s="59">
        <v>5</v>
      </c>
      <c r="J14" s="59"/>
      <c r="K14" s="59">
        <v>1000000</v>
      </c>
      <c r="L14" s="59">
        <v>200</v>
      </c>
      <c r="M14" s="13">
        <v>1000000000</v>
      </c>
      <c r="N14" s="13"/>
      <c r="O14" s="13"/>
      <c r="P14" s="13"/>
      <c r="Q14" s="13"/>
      <c r="R14" s="13"/>
      <c r="S14" s="13"/>
      <c r="T14" s="13"/>
      <c r="U14" s="13"/>
      <c r="V14" s="13"/>
      <c r="W14" s="13"/>
      <c r="X14" s="13"/>
      <c r="AG14"/>
      <c r="AH14"/>
    </row>
    <row r="15" spans="1:256" x14ac:dyDescent="0.2">
      <c r="A15" s="213"/>
      <c r="B15" s="228" t="s">
        <v>260</v>
      </c>
      <c r="C15" s="13" t="b">
        <v>1</v>
      </c>
      <c r="D15" s="13" t="s">
        <v>260</v>
      </c>
      <c r="E15" s="13" t="s">
        <v>11</v>
      </c>
      <c r="F15" s="13" t="s">
        <v>462</v>
      </c>
      <c r="G15" s="13" t="s">
        <v>246</v>
      </c>
      <c r="H15" s="59">
        <v>20</v>
      </c>
      <c r="I15" s="59">
        <v>5</v>
      </c>
      <c r="J15" s="59"/>
      <c r="K15" s="59">
        <v>1000000</v>
      </c>
      <c r="L15" s="59">
        <v>200</v>
      </c>
      <c r="M15" s="13">
        <v>1000000000</v>
      </c>
      <c r="N15" s="13"/>
      <c r="O15" s="13"/>
      <c r="P15" s="13"/>
      <c r="Q15" s="13"/>
      <c r="R15" s="13"/>
      <c r="S15" s="13"/>
      <c r="T15" s="13"/>
      <c r="U15" s="13"/>
      <c r="V15" s="13"/>
      <c r="W15" s="13"/>
      <c r="X15" s="13"/>
      <c r="AG15"/>
      <c r="AH15"/>
    </row>
    <row r="16" spans="1:256" x14ac:dyDescent="0.2">
      <c r="A16" s="213"/>
      <c r="B16" s="228" t="s">
        <v>261</v>
      </c>
      <c r="C16" s="13" t="b">
        <v>0</v>
      </c>
      <c r="D16" s="13" t="s">
        <v>261</v>
      </c>
      <c r="E16" s="13" t="s">
        <v>11</v>
      </c>
      <c r="F16" s="13" t="s">
        <v>462</v>
      </c>
      <c r="G16" s="13" t="s">
        <v>246</v>
      </c>
      <c r="H16" s="59">
        <v>20</v>
      </c>
      <c r="I16" s="59">
        <v>5</v>
      </c>
      <c r="J16" s="59"/>
      <c r="K16" s="59">
        <v>1000000</v>
      </c>
      <c r="L16" s="59">
        <v>200</v>
      </c>
      <c r="M16" s="13">
        <v>1000000000</v>
      </c>
      <c r="N16" s="13"/>
      <c r="O16" s="13"/>
      <c r="P16" s="13"/>
      <c r="Q16" s="13"/>
      <c r="R16" s="13"/>
      <c r="S16" s="13"/>
      <c r="T16" s="13"/>
      <c r="U16" s="13"/>
      <c r="V16" s="13"/>
      <c r="W16" s="13"/>
      <c r="X16" s="13"/>
      <c r="AG16"/>
      <c r="AH16"/>
    </row>
    <row r="17" spans="1:34" x14ac:dyDescent="0.2">
      <c r="A17" s="213"/>
      <c r="B17" s="228" t="s">
        <v>257</v>
      </c>
      <c r="C17" s="13" t="b">
        <v>0</v>
      </c>
      <c r="D17" s="13" t="s">
        <v>257</v>
      </c>
      <c r="E17" s="13" t="s">
        <v>11</v>
      </c>
      <c r="F17" s="13" t="s">
        <v>462</v>
      </c>
      <c r="G17" s="13" t="s">
        <v>246</v>
      </c>
      <c r="H17" s="59">
        <v>20</v>
      </c>
      <c r="I17" s="59">
        <v>5</v>
      </c>
      <c r="J17" s="59"/>
      <c r="K17" s="59">
        <v>1000000</v>
      </c>
      <c r="L17" s="59">
        <v>200</v>
      </c>
      <c r="M17" s="13">
        <v>1000000000</v>
      </c>
      <c r="N17" s="13"/>
      <c r="O17" s="13"/>
      <c r="P17" s="13"/>
      <c r="Q17" s="13"/>
      <c r="R17" s="13"/>
      <c r="S17" s="13"/>
      <c r="T17" s="13"/>
      <c r="U17" s="13"/>
      <c r="V17" s="13"/>
      <c r="W17" s="13"/>
      <c r="X17" s="13"/>
      <c r="AG17"/>
      <c r="AH17"/>
    </row>
    <row r="18" spans="1:34" x14ac:dyDescent="0.2">
      <c r="A18" s="213"/>
      <c r="B18" s="228" t="s">
        <v>262</v>
      </c>
      <c r="C18" s="13" t="b">
        <v>0</v>
      </c>
      <c r="D18" s="13" t="s">
        <v>262</v>
      </c>
      <c r="E18" s="13" t="s">
        <v>11</v>
      </c>
      <c r="F18" s="13" t="s">
        <v>462</v>
      </c>
      <c r="G18" s="13" t="s">
        <v>246</v>
      </c>
      <c r="H18" s="59">
        <v>20</v>
      </c>
      <c r="I18" s="59">
        <v>5</v>
      </c>
      <c r="J18" s="59"/>
      <c r="K18" s="59">
        <v>1000000</v>
      </c>
      <c r="L18" s="59">
        <v>200</v>
      </c>
      <c r="M18" s="13">
        <v>1000000000</v>
      </c>
      <c r="N18" s="13"/>
      <c r="O18" s="13"/>
      <c r="P18" s="13"/>
      <c r="Q18" s="13"/>
      <c r="R18" s="13"/>
      <c r="S18" s="13"/>
      <c r="T18" s="13"/>
      <c r="U18" s="13"/>
      <c r="V18" s="13"/>
      <c r="W18" s="13"/>
      <c r="X18" s="13"/>
      <c r="AG18"/>
      <c r="AH18"/>
    </row>
    <row r="19" spans="1:34" x14ac:dyDescent="0.2">
      <c r="A19" s="213"/>
      <c r="B19" s="228" t="s">
        <v>263</v>
      </c>
      <c r="C19" s="13" t="b">
        <v>0</v>
      </c>
      <c r="D19" s="13" t="s">
        <v>263</v>
      </c>
      <c r="E19" s="13" t="s">
        <v>11</v>
      </c>
      <c r="F19" s="13" t="s">
        <v>462</v>
      </c>
      <c r="G19" s="13" t="s">
        <v>246</v>
      </c>
      <c r="H19" s="59">
        <v>20</v>
      </c>
      <c r="I19" s="59">
        <v>5</v>
      </c>
      <c r="J19" s="59"/>
      <c r="K19" s="59">
        <v>1000000</v>
      </c>
      <c r="L19" s="59">
        <v>200</v>
      </c>
      <c r="M19" s="13">
        <v>1000000000</v>
      </c>
      <c r="N19" s="13"/>
      <c r="O19" s="13"/>
      <c r="P19" s="13"/>
      <c r="Q19" s="13"/>
      <c r="R19" s="13"/>
      <c r="S19" s="13"/>
      <c r="T19" s="13"/>
      <c r="U19" s="13"/>
      <c r="V19" s="13"/>
      <c r="W19" s="13"/>
      <c r="X19" s="13"/>
      <c r="AG19"/>
      <c r="AH19"/>
    </row>
    <row r="20" spans="1:34" x14ac:dyDescent="0.2">
      <c r="A20" s="213"/>
      <c r="B20" s="228" t="s">
        <v>650</v>
      </c>
      <c r="C20" s="13" t="b">
        <v>0</v>
      </c>
      <c r="D20" s="13" t="s">
        <v>340</v>
      </c>
      <c r="E20" s="13" t="s">
        <v>11</v>
      </c>
      <c r="F20" s="13" t="s">
        <v>462</v>
      </c>
      <c r="G20" s="13" t="s">
        <v>246</v>
      </c>
      <c r="H20" s="59">
        <v>20</v>
      </c>
      <c r="I20" s="59">
        <v>5</v>
      </c>
      <c r="J20" s="59"/>
      <c r="K20" s="59">
        <v>1000000</v>
      </c>
      <c r="L20" s="59">
        <v>200</v>
      </c>
      <c r="M20" s="13">
        <v>1000000000</v>
      </c>
      <c r="N20" s="13"/>
      <c r="O20" s="13"/>
      <c r="P20" s="13"/>
      <c r="Q20" s="13"/>
      <c r="R20" s="13"/>
      <c r="S20" s="13"/>
      <c r="T20" s="13"/>
      <c r="U20" s="13"/>
      <c r="V20" s="13"/>
      <c r="W20" s="13"/>
      <c r="X20" s="13"/>
      <c r="AG20"/>
      <c r="AH20"/>
    </row>
    <row r="21" spans="1:34" x14ac:dyDescent="0.2">
      <c r="A21" s="213"/>
      <c r="B21" s="228" t="s">
        <v>651</v>
      </c>
      <c r="C21" s="13" t="b">
        <v>0</v>
      </c>
      <c r="D21" s="13" t="s">
        <v>341</v>
      </c>
      <c r="E21" s="13" t="s">
        <v>11</v>
      </c>
      <c r="F21" s="13" t="s">
        <v>462</v>
      </c>
      <c r="G21" s="13" t="s">
        <v>246</v>
      </c>
      <c r="H21" s="59">
        <v>20</v>
      </c>
      <c r="I21" s="59">
        <v>5</v>
      </c>
      <c r="J21" s="59"/>
      <c r="K21" s="59">
        <v>1000000</v>
      </c>
      <c r="L21" s="59">
        <v>200</v>
      </c>
      <c r="M21" s="13">
        <v>1000000000</v>
      </c>
      <c r="N21" s="13"/>
      <c r="O21" s="13"/>
      <c r="P21" s="13"/>
      <c r="Q21" s="13"/>
      <c r="R21" s="13"/>
      <c r="S21" s="13"/>
      <c r="T21" s="13"/>
      <c r="U21" s="13"/>
      <c r="V21" s="13"/>
      <c r="W21" s="13"/>
      <c r="X21" s="13"/>
      <c r="AG21"/>
      <c r="AH21"/>
    </row>
    <row r="22" spans="1:34" x14ac:dyDescent="0.2">
      <c r="A22" s="213"/>
      <c r="B22" s="229" t="s">
        <v>248</v>
      </c>
      <c r="C22" s="13" t="b">
        <v>0</v>
      </c>
      <c r="D22" s="87" t="s">
        <v>632</v>
      </c>
      <c r="E22" s="87" t="s">
        <v>11</v>
      </c>
      <c r="F22" s="13" t="s">
        <v>462</v>
      </c>
      <c r="G22" s="87" t="s">
        <v>246</v>
      </c>
      <c r="H22" s="88">
        <v>20</v>
      </c>
      <c r="I22" s="88">
        <v>5</v>
      </c>
      <c r="J22" s="88"/>
      <c r="K22" s="88">
        <v>1000</v>
      </c>
      <c r="L22" s="88">
        <v>50</v>
      </c>
      <c r="M22" s="87">
        <v>10000000</v>
      </c>
      <c r="N22" s="87"/>
      <c r="O22" s="87"/>
      <c r="P22" s="87"/>
      <c r="Q22" s="87"/>
      <c r="R22" s="87"/>
      <c r="S22" s="87"/>
      <c r="T22" s="87"/>
      <c r="U22" s="87"/>
      <c r="V22" s="87"/>
      <c r="W22" s="87"/>
      <c r="X22" s="87"/>
      <c r="AG22"/>
      <c r="AH22"/>
    </row>
    <row r="23" spans="1:34" x14ac:dyDescent="0.2">
      <c r="A23" s="213"/>
      <c r="B23" s="228" t="s">
        <v>2</v>
      </c>
      <c r="C23" s="13" t="b">
        <v>0</v>
      </c>
      <c r="D23" s="13" t="s">
        <v>631</v>
      </c>
      <c r="E23" s="13" t="s">
        <v>11</v>
      </c>
      <c r="F23" s="13" t="s">
        <v>1</v>
      </c>
      <c r="G23" s="13" t="s">
        <v>247</v>
      </c>
      <c r="H23" s="59">
        <v>30</v>
      </c>
      <c r="I23" s="59">
        <v>5</v>
      </c>
      <c r="J23" s="59"/>
      <c r="K23" s="59"/>
      <c r="L23" s="59"/>
      <c r="M23" s="13"/>
      <c r="N23" s="13"/>
      <c r="O23" s="13"/>
      <c r="P23" s="13"/>
      <c r="Q23" s="13"/>
      <c r="R23" s="13"/>
      <c r="S23" s="13"/>
      <c r="T23" s="13"/>
      <c r="U23" s="13"/>
      <c r="V23" s="13"/>
      <c r="W23" s="13"/>
      <c r="X23" s="13"/>
      <c r="AG23"/>
      <c r="AH23"/>
    </row>
    <row r="24" spans="1:34" x14ac:dyDescent="0.2">
      <c r="A24" s="213"/>
      <c r="B24" s="228" t="s">
        <v>3</v>
      </c>
      <c r="C24" s="13" t="b">
        <v>0</v>
      </c>
      <c r="D24" s="13" t="s">
        <v>631</v>
      </c>
      <c r="E24" s="13" t="s">
        <v>11</v>
      </c>
      <c r="F24" s="13" t="s">
        <v>462</v>
      </c>
      <c r="G24" s="13" t="s">
        <v>247</v>
      </c>
      <c r="H24" s="59">
        <v>30</v>
      </c>
      <c r="I24" s="59">
        <v>5</v>
      </c>
      <c r="J24" s="59"/>
      <c r="K24" s="59"/>
      <c r="L24" s="59"/>
      <c r="M24" s="13"/>
      <c r="N24" s="13"/>
      <c r="O24" s="13"/>
      <c r="P24" s="13"/>
      <c r="Q24" s="13"/>
      <c r="R24" s="13"/>
      <c r="S24" s="13"/>
      <c r="T24" s="13"/>
      <c r="U24" s="13"/>
      <c r="V24" s="13"/>
      <c r="W24" s="13"/>
      <c r="X24" s="13"/>
      <c r="AG24"/>
      <c r="AH24"/>
    </row>
    <row r="25" spans="1:34" x14ac:dyDescent="0.2">
      <c r="A25" s="213"/>
      <c r="B25" s="228" t="s">
        <v>649</v>
      </c>
      <c r="C25" s="13" t="b">
        <v>0</v>
      </c>
      <c r="D25" s="13" t="s">
        <v>631</v>
      </c>
      <c r="E25" s="13" t="s">
        <v>249</v>
      </c>
      <c r="F25" s="13" t="s">
        <v>635</v>
      </c>
      <c r="G25" s="13"/>
      <c r="H25" s="59">
        <v>30</v>
      </c>
      <c r="I25" s="59">
        <v>5</v>
      </c>
      <c r="J25" s="59"/>
      <c r="K25" s="59"/>
      <c r="L25" s="59"/>
      <c r="M25" s="13"/>
      <c r="N25" s="13"/>
      <c r="O25" s="13"/>
      <c r="P25" s="13"/>
      <c r="Q25" s="13"/>
      <c r="R25" s="13"/>
      <c r="S25" s="13"/>
      <c r="T25" s="13"/>
      <c r="U25" s="13"/>
      <c r="V25" s="13"/>
      <c r="W25" s="13"/>
      <c r="X25" s="13"/>
      <c r="AG25"/>
      <c r="AH25"/>
    </row>
    <row r="26" spans="1:34" x14ac:dyDescent="0.2">
      <c r="A26" s="213"/>
      <c r="B26" s="228" t="s">
        <v>251</v>
      </c>
      <c r="C26" s="13" t="b">
        <v>0</v>
      </c>
      <c r="D26" s="13" t="s">
        <v>633</v>
      </c>
      <c r="E26" s="13" t="s">
        <v>11</v>
      </c>
      <c r="F26" s="13" t="s">
        <v>250</v>
      </c>
      <c r="G26" s="13" t="s">
        <v>246</v>
      </c>
      <c r="H26" s="59">
        <v>25</v>
      </c>
      <c r="I26" s="59">
        <v>5</v>
      </c>
      <c r="J26" s="59"/>
      <c r="K26" s="59"/>
      <c r="L26" s="59"/>
      <c r="M26" s="13"/>
      <c r="N26" s="13"/>
      <c r="O26" s="13"/>
      <c r="P26" s="13"/>
      <c r="Q26" s="13"/>
      <c r="R26" s="13"/>
      <c r="S26" s="13"/>
      <c r="T26" s="13"/>
      <c r="U26" s="13"/>
      <c r="V26" s="13"/>
      <c r="W26" s="13"/>
      <c r="X26" s="13"/>
      <c r="AG26"/>
      <c r="AH26"/>
    </row>
    <row r="27" spans="1:34" x14ac:dyDescent="0.2">
      <c r="A27" s="213"/>
      <c r="B27" s="228" t="s">
        <v>252</v>
      </c>
      <c r="C27" s="13" t="b">
        <v>0</v>
      </c>
      <c r="D27" s="13" t="s">
        <v>258</v>
      </c>
      <c r="E27" s="13" t="s">
        <v>11</v>
      </c>
      <c r="F27" s="13" t="s">
        <v>250</v>
      </c>
      <c r="G27" s="13" t="s">
        <v>242</v>
      </c>
      <c r="H27" s="59">
        <v>25</v>
      </c>
      <c r="I27" s="59">
        <v>5</v>
      </c>
      <c r="J27" s="59">
        <v>100</v>
      </c>
      <c r="K27" s="59"/>
      <c r="L27" s="59">
        <v>1000</v>
      </c>
      <c r="M27" s="87">
        <v>10000000</v>
      </c>
      <c r="N27" s="13"/>
      <c r="O27" s="13"/>
      <c r="P27" s="13"/>
      <c r="Q27" s="13"/>
      <c r="R27" s="13"/>
      <c r="S27" s="13"/>
      <c r="T27" s="13"/>
      <c r="U27" s="13"/>
      <c r="V27" s="13"/>
      <c r="W27" s="13"/>
      <c r="X27" s="13"/>
      <c r="AG27"/>
      <c r="AH27"/>
    </row>
    <row r="28" spans="1:34" x14ac:dyDescent="0.2">
      <c r="A28" s="213"/>
      <c r="B28" s="228" t="s">
        <v>5</v>
      </c>
      <c r="C28" s="13" t="b">
        <v>0</v>
      </c>
      <c r="D28" s="13" t="s">
        <v>632</v>
      </c>
      <c r="E28" s="13" t="s">
        <v>4</v>
      </c>
      <c r="F28" s="13" t="s">
        <v>4</v>
      </c>
      <c r="G28" s="13"/>
      <c r="H28" s="59">
        <v>40</v>
      </c>
      <c r="I28" s="59">
        <v>5</v>
      </c>
      <c r="J28" s="59"/>
      <c r="K28" s="59"/>
      <c r="L28" s="59"/>
      <c r="M28" s="13"/>
      <c r="N28" s="13"/>
      <c r="O28" s="13"/>
      <c r="P28" s="13"/>
      <c r="Q28" s="13"/>
      <c r="R28" s="13"/>
      <c r="S28" s="13"/>
      <c r="T28" s="13"/>
      <c r="U28" s="13"/>
      <c r="V28" s="13"/>
      <c r="W28" s="13"/>
      <c r="X28" s="13"/>
      <c r="AG28"/>
      <c r="AH28"/>
    </row>
    <row r="29" spans="1:34" x14ac:dyDescent="0.2">
      <c r="A29" s="213"/>
      <c r="B29" s="228" t="s">
        <v>6</v>
      </c>
      <c r="C29" s="158" t="b">
        <v>0</v>
      </c>
      <c r="D29" s="13" t="s">
        <v>632</v>
      </c>
      <c r="E29" s="5" t="s">
        <v>7</v>
      </c>
      <c r="F29" s="5" t="s">
        <v>0</v>
      </c>
      <c r="G29" s="5"/>
      <c r="H29" s="60">
        <v>20</v>
      </c>
      <c r="I29" s="59">
        <v>5</v>
      </c>
      <c r="J29" s="60"/>
      <c r="K29" s="60"/>
      <c r="L29" s="60"/>
      <c r="M29" s="13"/>
      <c r="N29" s="13"/>
      <c r="O29" s="13"/>
      <c r="P29" s="13"/>
      <c r="Q29" s="13"/>
      <c r="R29" s="13"/>
      <c r="S29" s="13"/>
      <c r="T29" s="13"/>
      <c r="U29" s="13"/>
      <c r="V29" s="13"/>
      <c r="W29" s="13"/>
      <c r="X29" s="13"/>
      <c r="AG29"/>
      <c r="AH29"/>
    </row>
    <row r="30" spans="1:34" x14ac:dyDescent="0.2">
      <c r="A30" s="213"/>
      <c r="B30" s="228" t="s">
        <v>389</v>
      </c>
      <c r="C30" s="13" t="b">
        <v>0</v>
      </c>
      <c r="D30" s="13" t="s">
        <v>389</v>
      </c>
      <c r="E30" s="13" t="s">
        <v>11</v>
      </c>
      <c r="F30" s="13" t="s">
        <v>462</v>
      </c>
      <c r="G30" s="13" t="s">
        <v>246</v>
      </c>
      <c r="H30" s="59">
        <v>25</v>
      </c>
      <c r="I30" s="59">
        <v>5</v>
      </c>
      <c r="J30" s="59"/>
      <c r="K30" s="59"/>
      <c r="L30" s="59"/>
      <c r="M30" s="13"/>
      <c r="N30" s="13"/>
      <c r="O30" s="13"/>
      <c r="P30" s="13"/>
      <c r="Q30" s="13"/>
      <c r="R30" s="13"/>
      <c r="S30" s="13"/>
      <c r="T30" s="13"/>
      <c r="U30" s="13"/>
      <c r="V30" s="13"/>
      <c r="W30" s="13"/>
      <c r="X30" s="13"/>
      <c r="AG30"/>
      <c r="AH30"/>
    </row>
    <row r="31" spans="1:34" x14ac:dyDescent="0.2">
      <c r="A31" s="213"/>
      <c r="B31" s="228" t="s">
        <v>390</v>
      </c>
      <c r="C31" s="13" t="b">
        <v>0</v>
      </c>
      <c r="D31" s="14" t="s">
        <v>390</v>
      </c>
      <c r="E31" s="14" t="s">
        <v>11</v>
      </c>
      <c r="F31" s="13" t="s">
        <v>462</v>
      </c>
      <c r="G31" s="14" t="s">
        <v>246</v>
      </c>
      <c r="H31" s="59">
        <v>25</v>
      </c>
      <c r="I31" s="59">
        <v>5</v>
      </c>
      <c r="J31" s="59"/>
      <c r="K31" s="59"/>
      <c r="L31" s="59"/>
      <c r="M31" s="13"/>
      <c r="N31" s="13"/>
      <c r="O31" s="13"/>
      <c r="P31" s="13"/>
      <c r="Q31" s="13"/>
      <c r="R31" s="13"/>
      <c r="S31" s="13"/>
      <c r="T31" s="13"/>
      <c r="U31" s="13"/>
      <c r="V31" s="13"/>
      <c r="W31" s="13"/>
      <c r="X31" s="13"/>
      <c r="AG31"/>
      <c r="AH31"/>
    </row>
    <row r="32" spans="1:34" x14ac:dyDescent="0.2">
      <c r="A32" s="213"/>
      <c r="B32" s="228" t="s">
        <v>391</v>
      </c>
      <c r="C32" s="13" t="b">
        <v>0</v>
      </c>
      <c r="D32" s="14" t="s">
        <v>391</v>
      </c>
      <c r="E32" s="14" t="s">
        <v>11</v>
      </c>
      <c r="F32" s="13" t="s">
        <v>462</v>
      </c>
      <c r="G32" s="14" t="s">
        <v>246</v>
      </c>
      <c r="H32" s="59">
        <v>25</v>
      </c>
      <c r="I32" s="59">
        <v>5</v>
      </c>
      <c r="J32" s="59"/>
      <c r="K32" s="59"/>
      <c r="L32" s="59"/>
      <c r="M32" s="59"/>
      <c r="N32" s="13"/>
      <c r="O32" s="13"/>
      <c r="P32" s="13"/>
      <c r="Q32" s="13"/>
      <c r="R32" s="13"/>
      <c r="S32" s="13"/>
      <c r="T32" s="13"/>
      <c r="U32" s="13"/>
      <c r="V32" s="13"/>
      <c r="W32" s="13"/>
      <c r="X32" s="13"/>
      <c r="AG32"/>
      <c r="AH32"/>
    </row>
    <row r="33" spans="1:34" x14ac:dyDescent="0.2">
      <c r="A33" s="213"/>
      <c r="B33" s="228" t="s">
        <v>392</v>
      </c>
      <c r="C33" s="13" t="b">
        <v>0</v>
      </c>
      <c r="D33" s="14" t="s">
        <v>392</v>
      </c>
      <c r="E33" s="14" t="s">
        <v>11</v>
      </c>
      <c r="F33" s="13" t="s">
        <v>462</v>
      </c>
      <c r="G33" s="14" t="s">
        <v>246</v>
      </c>
      <c r="H33" s="59">
        <v>25</v>
      </c>
      <c r="I33" s="59">
        <v>5</v>
      </c>
      <c r="J33" s="59"/>
      <c r="K33" s="59"/>
      <c r="L33" s="59"/>
      <c r="M33" s="59"/>
      <c r="N33" s="13"/>
      <c r="O33" s="13"/>
      <c r="P33" s="13"/>
      <c r="Q33" s="13"/>
      <c r="R33" s="13"/>
      <c r="S33" s="13"/>
      <c r="T33" s="13"/>
      <c r="U33" s="13"/>
      <c r="V33" s="13"/>
      <c r="W33" s="13"/>
      <c r="X33" s="13"/>
      <c r="AG33"/>
      <c r="AH33"/>
    </row>
    <row r="34" spans="1:34" x14ac:dyDescent="0.2">
      <c r="A34" s="213"/>
      <c r="B34" s="228" t="s">
        <v>393</v>
      </c>
      <c r="C34" s="13" t="b">
        <v>0</v>
      </c>
      <c r="D34" s="13" t="s">
        <v>393</v>
      </c>
      <c r="E34" s="14" t="s">
        <v>11</v>
      </c>
      <c r="F34" s="13" t="s">
        <v>462</v>
      </c>
      <c r="G34" s="14" t="s">
        <v>246</v>
      </c>
      <c r="H34" s="59">
        <v>25</v>
      </c>
      <c r="I34" s="59">
        <v>5</v>
      </c>
      <c r="J34" s="59"/>
      <c r="K34" s="59"/>
      <c r="L34" s="59"/>
      <c r="M34" s="59"/>
      <c r="N34" s="13"/>
      <c r="O34" s="13"/>
      <c r="P34" s="13"/>
      <c r="Q34" s="13"/>
      <c r="R34" s="13"/>
      <c r="S34" s="13"/>
      <c r="T34" s="13"/>
      <c r="U34" s="13"/>
      <c r="V34" s="13"/>
      <c r="W34" s="13"/>
      <c r="X34" s="13"/>
      <c r="AG34"/>
      <c r="AH34"/>
    </row>
    <row r="35" spans="1:34" x14ac:dyDescent="0.2">
      <c r="A35" s="213"/>
      <c r="B35" s="228" t="s">
        <v>394</v>
      </c>
      <c r="C35" s="13" t="b">
        <v>0</v>
      </c>
      <c r="D35" s="13" t="s">
        <v>394</v>
      </c>
      <c r="E35" s="14" t="s">
        <v>11</v>
      </c>
      <c r="F35" s="13" t="s">
        <v>462</v>
      </c>
      <c r="G35" s="14" t="s">
        <v>246</v>
      </c>
      <c r="H35" s="59">
        <v>25</v>
      </c>
      <c r="I35" s="59">
        <v>5</v>
      </c>
      <c r="J35" s="59"/>
      <c r="K35" s="59"/>
      <c r="L35" s="59"/>
      <c r="M35" s="59"/>
      <c r="N35" s="13"/>
      <c r="O35" s="13"/>
      <c r="P35" s="13"/>
      <c r="Q35" s="13"/>
      <c r="R35" s="13"/>
      <c r="S35" s="13"/>
      <c r="T35" s="13"/>
      <c r="U35" s="13"/>
      <c r="V35" s="13"/>
      <c r="W35" s="13"/>
      <c r="X35" s="13"/>
      <c r="AG35"/>
      <c r="AH35"/>
    </row>
    <row r="36" spans="1:34" x14ac:dyDescent="0.2">
      <c r="A36" s="213"/>
      <c r="B36" s="228" t="s">
        <v>396</v>
      </c>
      <c r="C36" s="13" t="b">
        <v>0</v>
      </c>
      <c r="D36" s="13" t="s">
        <v>396</v>
      </c>
      <c r="E36" s="14" t="s">
        <v>11</v>
      </c>
      <c r="F36" s="13" t="s">
        <v>462</v>
      </c>
      <c r="G36" s="14" t="s">
        <v>246</v>
      </c>
      <c r="H36" s="59">
        <v>25</v>
      </c>
      <c r="I36" s="59">
        <v>5</v>
      </c>
      <c r="J36" s="59"/>
      <c r="K36" s="59"/>
      <c r="L36" s="59"/>
      <c r="M36" s="59"/>
      <c r="N36" s="13"/>
      <c r="O36" s="13"/>
      <c r="P36" s="13"/>
      <c r="Q36" s="13"/>
      <c r="R36" s="13"/>
      <c r="S36" s="13"/>
      <c r="T36" s="13"/>
      <c r="U36" s="13"/>
      <c r="V36" s="13"/>
      <c r="W36" s="13"/>
      <c r="X36" s="13"/>
      <c r="AG36"/>
      <c r="AH36"/>
    </row>
    <row r="37" spans="1:34" x14ac:dyDescent="0.2">
      <c r="A37" s="213"/>
      <c r="B37" s="228" t="s">
        <v>397</v>
      </c>
      <c r="C37" s="13" t="b">
        <v>0</v>
      </c>
      <c r="D37" s="13" t="s">
        <v>397</v>
      </c>
      <c r="E37" s="14" t="s">
        <v>11</v>
      </c>
      <c r="F37" s="13" t="s">
        <v>462</v>
      </c>
      <c r="G37" s="14" t="s">
        <v>246</v>
      </c>
      <c r="H37" s="59">
        <v>25</v>
      </c>
      <c r="I37" s="59">
        <v>5</v>
      </c>
      <c r="J37" s="59"/>
      <c r="K37" s="59"/>
      <c r="L37" s="59"/>
      <c r="M37" s="59"/>
      <c r="N37" s="13"/>
      <c r="O37" s="13"/>
      <c r="P37" s="13"/>
      <c r="Q37" s="13"/>
      <c r="R37" s="13"/>
      <c r="S37" s="13"/>
      <c r="T37" s="13"/>
      <c r="U37" s="13"/>
      <c r="V37" s="13"/>
      <c r="W37" s="13"/>
      <c r="X37" s="13"/>
      <c r="AG37"/>
      <c r="AH37"/>
    </row>
    <row r="38" spans="1:34" x14ac:dyDescent="0.2">
      <c r="A38" s="213"/>
      <c r="B38" s="228" t="s">
        <v>398</v>
      </c>
      <c r="C38" s="13" t="b">
        <v>0</v>
      </c>
      <c r="D38" s="13" t="s">
        <v>398</v>
      </c>
      <c r="E38" s="14" t="s">
        <v>11</v>
      </c>
      <c r="F38" s="13" t="s">
        <v>462</v>
      </c>
      <c r="G38" s="14" t="s">
        <v>246</v>
      </c>
      <c r="H38" s="59">
        <v>25</v>
      </c>
      <c r="I38" s="59">
        <v>5</v>
      </c>
      <c r="J38" s="59"/>
      <c r="K38" s="59"/>
      <c r="L38" s="59"/>
      <c r="M38" s="59"/>
      <c r="N38" s="13"/>
      <c r="O38" s="13"/>
      <c r="P38" s="13"/>
      <c r="Q38" s="13"/>
      <c r="R38" s="13"/>
      <c r="S38" s="13"/>
      <c r="T38" s="13"/>
      <c r="U38" s="13"/>
      <c r="V38" s="13"/>
      <c r="W38" s="13"/>
      <c r="X38" s="13"/>
      <c r="AG38"/>
      <c r="AH38"/>
    </row>
    <row r="39" spans="1:34" x14ac:dyDescent="0.2">
      <c r="A39" s="213"/>
      <c r="B39" s="228" t="s">
        <v>399</v>
      </c>
      <c r="C39" s="13" t="b">
        <v>0</v>
      </c>
      <c r="D39" s="13" t="s">
        <v>399</v>
      </c>
      <c r="E39" s="14" t="s">
        <v>11</v>
      </c>
      <c r="F39" s="13" t="s">
        <v>462</v>
      </c>
      <c r="G39" s="14" t="s">
        <v>246</v>
      </c>
      <c r="H39" s="59">
        <v>25</v>
      </c>
      <c r="I39" s="59">
        <v>5</v>
      </c>
      <c r="J39" s="59"/>
      <c r="K39" s="59"/>
      <c r="L39" s="59"/>
      <c r="M39" s="59"/>
      <c r="N39" s="13"/>
      <c r="O39" s="13"/>
      <c r="P39" s="13"/>
      <c r="Q39" s="13"/>
      <c r="R39" s="13"/>
      <c r="S39" s="13"/>
      <c r="T39" s="13"/>
      <c r="U39" s="13"/>
      <c r="V39" s="13"/>
      <c r="W39" s="13"/>
      <c r="X39" s="13"/>
      <c r="AG39"/>
      <c r="AH39"/>
    </row>
    <row r="40" spans="1:34" x14ac:dyDescent="0.2">
      <c r="A40" s="213"/>
      <c r="B40" s="228" t="s">
        <v>400</v>
      </c>
      <c r="C40" s="13" t="b">
        <v>0</v>
      </c>
      <c r="D40" s="13" t="s">
        <v>400</v>
      </c>
      <c r="E40" s="14" t="s">
        <v>11</v>
      </c>
      <c r="F40" s="13" t="s">
        <v>462</v>
      </c>
      <c r="G40" s="14" t="s">
        <v>246</v>
      </c>
      <c r="H40" s="59">
        <v>25</v>
      </c>
      <c r="I40" s="59"/>
      <c r="J40" s="59"/>
      <c r="K40" s="59"/>
      <c r="L40" s="59"/>
      <c r="M40" s="59"/>
      <c r="N40" s="13"/>
      <c r="O40" s="13"/>
      <c r="P40" s="13"/>
      <c r="Q40" s="13"/>
      <c r="R40" s="13"/>
      <c r="S40" s="13"/>
      <c r="T40" s="13"/>
      <c r="U40" s="13"/>
      <c r="V40" s="13"/>
      <c r="W40" s="13"/>
      <c r="X40" s="13"/>
      <c r="AG40"/>
      <c r="AH40"/>
    </row>
    <row r="41" spans="1:34" x14ac:dyDescent="0.2">
      <c r="A41" s="213"/>
      <c r="B41" s="228" t="s">
        <v>259</v>
      </c>
      <c r="C41" s="13" t="b">
        <v>0</v>
      </c>
      <c r="D41" s="13" t="s">
        <v>259</v>
      </c>
      <c r="E41" s="14" t="s">
        <v>11</v>
      </c>
      <c r="F41" s="13" t="s">
        <v>462</v>
      </c>
      <c r="G41" s="14" t="s">
        <v>246</v>
      </c>
      <c r="H41" s="59">
        <v>25</v>
      </c>
      <c r="I41" s="59"/>
      <c r="J41" s="59"/>
      <c r="K41" s="59"/>
      <c r="L41" s="59"/>
      <c r="M41" s="59"/>
      <c r="N41" s="13"/>
      <c r="O41" s="13"/>
      <c r="P41" s="13"/>
      <c r="Q41" s="13"/>
      <c r="R41" s="13"/>
      <c r="S41" s="13"/>
      <c r="T41" s="13"/>
      <c r="U41" s="13"/>
      <c r="V41" s="13"/>
      <c r="W41" s="13"/>
      <c r="X41" s="13"/>
      <c r="AG41"/>
      <c r="AH41"/>
    </row>
    <row r="42" spans="1:34" x14ac:dyDescent="0.2">
      <c r="A42" s="213"/>
      <c r="B42" s="228" t="s">
        <v>260</v>
      </c>
      <c r="C42" s="13" t="b">
        <v>0</v>
      </c>
      <c r="D42" s="13" t="s">
        <v>260</v>
      </c>
      <c r="E42" s="14" t="s">
        <v>11</v>
      </c>
      <c r="F42" s="13" t="s">
        <v>462</v>
      </c>
      <c r="G42" s="14" t="s">
        <v>246</v>
      </c>
      <c r="H42" s="59">
        <v>25</v>
      </c>
      <c r="I42" s="59"/>
      <c r="J42" s="59"/>
      <c r="K42" s="59"/>
      <c r="L42" s="59"/>
      <c r="M42" s="59"/>
      <c r="N42" s="13"/>
      <c r="O42" s="13"/>
      <c r="P42" s="13"/>
      <c r="Q42" s="13"/>
      <c r="R42" s="13"/>
      <c r="S42" s="13"/>
      <c r="T42" s="13"/>
      <c r="U42" s="13"/>
      <c r="V42" s="13"/>
      <c r="W42" s="13"/>
      <c r="X42" s="13"/>
      <c r="AG42"/>
      <c r="AH42"/>
    </row>
    <row r="43" spans="1:34" x14ac:dyDescent="0.2">
      <c r="A43" s="213"/>
      <c r="B43" s="228"/>
      <c r="C43" s="13"/>
      <c r="D43" s="13"/>
      <c r="E43" s="14"/>
      <c r="F43" s="13"/>
      <c r="G43" s="14"/>
      <c r="H43" s="59"/>
      <c r="I43" s="59"/>
      <c r="J43" s="59"/>
      <c r="K43" s="59"/>
      <c r="L43" s="59"/>
      <c r="M43" s="59"/>
      <c r="N43" s="13"/>
      <c r="O43" s="13"/>
      <c r="P43" s="13"/>
      <c r="Q43" s="13"/>
      <c r="R43" s="13"/>
      <c r="S43" s="13"/>
      <c r="T43" s="13"/>
      <c r="U43" s="13"/>
      <c r="V43" s="13"/>
      <c r="W43" s="13"/>
      <c r="X43" s="13"/>
      <c r="AG43"/>
      <c r="AH43"/>
    </row>
    <row r="44" spans="1:34" x14ac:dyDescent="0.2">
      <c r="A44" s="213"/>
      <c r="B44" s="228"/>
      <c r="C44" s="13"/>
      <c r="D44" s="13"/>
      <c r="E44" s="13"/>
      <c r="F44" s="13"/>
      <c r="G44" s="13"/>
      <c r="H44" s="240"/>
      <c r="I44" s="59"/>
      <c r="J44" s="59"/>
      <c r="K44" s="59"/>
      <c r="L44" s="59"/>
      <c r="M44" s="59"/>
      <c r="N44" s="13"/>
      <c r="O44" s="13"/>
      <c r="P44" s="13"/>
      <c r="Q44" s="13"/>
      <c r="R44" s="13"/>
      <c r="S44" s="13"/>
      <c r="T44" s="13"/>
      <c r="U44" s="13"/>
      <c r="V44" s="13"/>
      <c r="W44" s="13"/>
      <c r="X44" s="13"/>
      <c r="AG44"/>
      <c r="AH44"/>
    </row>
    <row r="45" spans="1:34" x14ac:dyDescent="0.2">
      <c r="A45" s="213"/>
      <c r="B45" s="228"/>
      <c r="C45" s="13"/>
      <c r="D45" s="13"/>
      <c r="E45" s="13"/>
      <c r="F45" s="13"/>
      <c r="G45" s="13"/>
      <c r="H45" s="240"/>
      <c r="I45" s="59"/>
      <c r="J45" s="59"/>
      <c r="K45" s="59"/>
      <c r="L45" s="59"/>
      <c r="M45" s="59"/>
      <c r="N45" s="13"/>
      <c r="O45" s="13"/>
      <c r="P45" s="13"/>
      <c r="Q45" s="13"/>
      <c r="R45" s="13"/>
      <c r="S45" s="13"/>
      <c r="T45" s="13"/>
      <c r="U45" s="13"/>
      <c r="V45" s="13"/>
      <c r="W45" s="13"/>
      <c r="X45" s="13"/>
      <c r="AG45"/>
      <c r="AH45"/>
    </row>
    <row r="46" spans="1:34" x14ac:dyDescent="0.2">
      <c r="A46" s="213"/>
      <c r="B46" s="228"/>
      <c r="C46" s="13"/>
      <c r="D46" s="13"/>
      <c r="E46" s="14"/>
      <c r="F46" s="87"/>
      <c r="G46" s="14"/>
      <c r="H46" s="59"/>
      <c r="I46" s="59"/>
      <c r="J46" s="59"/>
      <c r="K46" s="59"/>
      <c r="L46" s="59"/>
      <c r="M46" s="59"/>
      <c r="N46" s="13"/>
      <c r="O46" s="13"/>
      <c r="P46" s="13"/>
      <c r="Q46" s="13"/>
      <c r="R46" s="13"/>
      <c r="S46" s="13"/>
      <c r="T46" s="13"/>
      <c r="U46" s="13"/>
      <c r="V46" s="13"/>
      <c r="W46" s="13"/>
      <c r="X46" s="13"/>
      <c r="AG46"/>
      <c r="AH46"/>
    </row>
    <row r="47" spans="1:34" x14ac:dyDescent="0.2">
      <c r="A47" s="213"/>
      <c r="B47" s="228"/>
      <c r="C47" s="13"/>
      <c r="D47" s="13"/>
      <c r="E47" s="14"/>
      <c r="F47" s="87"/>
      <c r="G47" s="14"/>
      <c r="H47" s="59"/>
      <c r="I47" s="59"/>
      <c r="J47" s="59"/>
      <c r="K47" s="59"/>
      <c r="L47" s="59"/>
      <c r="M47" s="59"/>
      <c r="N47" s="13"/>
      <c r="O47" s="13"/>
      <c r="P47" s="13"/>
      <c r="Q47" s="13"/>
      <c r="R47" s="13"/>
      <c r="S47" s="13"/>
      <c r="T47" s="13"/>
      <c r="U47" s="13"/>
      <c r="V47" s="13"/>
      <c r="W47" s="13"/>
      <c r="X47" s="13"/>
      <c r="AG47"/>
      <c r="AH47"/>
    </row>
    <row r="48" spans="1:34" x14ac:dyDescent="0.2">
      <c r="A48" s="213"/>
      <c r="B48" s="228"/>
      <c r="C48" s="13"/>
      <c r="D48" s="13"/>
      <c r="E48" s="14"/>
      <c r="F48" s="87"/>
      <c r="G48" s="14"/>
      <c r="H48" s="59"/>
      <c r="I48" s="59"/>
      <c r="J48" s="59"/>
      <c r="K48" s="59"/>
      <c r="L48" s="59"/>
      <c r="M48" s="59"/>
      <c r="N48" s="13"/>
      <c r="O48" s="13"/>
      <c r="P48" s="13"/>
      <c r="Q48" s="13"/>
      <c r="R48" s="13"/>
      <c r="S48" s="13"/>
      <c r="T48" s="13"/>
      <c r="U48" s="13"/>
      <c r="V48" s="13"/>
      <c r="W48" s="13"/>
      <c r="X48" s="13"/>
      <c r="AG48"/>
      <c r="AH48"/>
    </row>
    <row r="49" spans="1:34" x14ac:dyDescent="0.2">
      <c r="A49" s="213"/>
      <c r="B49" s="230"/>
      <c r="C49" s="13"/>
      <c r="D49" s="13"/>
      <c r="E49" s="14"/>
      <c r="F49" s="87"/>
      <c r="G49" s="14"/>
      <c r="H49" s="59"/>
      <c r="I49" s="59"/>
      <c r="J49" s="59"/>
      <c r="K49" s="59"/>
      <c r="L49" s="59"/>
      <c r="M49" s="59"/>
      <c r="N49" s="13"/>
      <c r="O49" s="13"/>
      <c r="P49" s="13"/>
      <c r="Q49" s="13"/>
      <c r="R49" s="13"/>
      <c r="S49" s="13"/>
      <c r="T49" s="13"/>
      <c r="U49" s="13"/>
      <c r="V49" s="13"/>
      <c r="W49" s="13"/>
      <c r="X49" s="13"/>
      <c r="AG49"/>
      <c r="AH49"/>
    </row>
    <row r="50" spans="1:34" x14ac:dyDescent="0.2">
      <c r="A50" s="213"/>
      <c r="B50" s="228"/>
      <c r="C50" s="13"/>
      <c r="D50" s="13"/>
      <c r="E50" s="14"/>
      <c r="F50" s="87"/>
      <c r="G50" s="14"/>
      <c r="H50" s="59"/>
      <c r="I50" s="59"/>
      <c r="J50" s="59"/>
      <c r="K50" s="59"/>
      <c r="L50" s="59"/>
      <c r="M50" s="59"/>
      <c r="N50" s="13"/>
      <c r="O50" s="13"/>
      <c r="P50" s="13"/>
      <c r="Q50" s="13"/>
      <c r="R50" s="13"/>
      <c r="S50" s="13"/>
      <c r="T50" s="13"/>
      <c r="U50" s="13"/>
      <c r="V50" s="13"/>
      <c r="W50" s="13"/>
      <c r="X50" s="13"/>
      <c r="AG50"/>
      <c r="AH50"/>
    </row>
    <row r="51" spans="1:34" x14ac:dyDescent="0.2">
      <c r="A51" s="213"/>
      <c r="B51" s="228"/>
      <c r="C51" s="13"/>
      <c r="D51" s="13"/>
      <c r="E51" s="13"/>
      <c r="F51" s="13"/>
      <c r="G51" s="160"/>
      <c r="H51" s="59"/>
      <c r="I51" s="59"/>
      <c r="J51" s="59"/>
      <c r="K51" s="59"/>
      <c r="L51" s="59"/>
      <c r="M51" s="59"/>
      <c r="N51" s="13"/>
      <c r="O51" s="13"/>
      <c r="P51" s="13"/>
      <c r="Q51" s="13"/>
      <c r="R51" s="13"/>
      <c r="S51" s="13"/>
      <c r="T51" s="13"/>
      <c r="U51" s="13"/>
      <c r="V51" s="13"/>
      <c r="W51" s="13"/>
      <c r="X51" s="13"/>
      <c r="AG51"/>
      <c r="AH51"/>
    </row>
    <row r="52" spans="1:34" x14ac:dyDescent="0.2">
      <c r="A52" s="213"/>
      <c r="B52" s="228"/>
      <c r="C52" s="13"/>
      <c r="D52" s="13"/>
      <c r="E52" s="13"/>
      <c r="F52" s="13"/>
      <c r="G52" s="59"/>
      <c r="H52" s="59"/>
      <c r="I52" s="59"/>
      <c r="J52" s="59"/>
      <c r="K52" s="59"/>
      <c r="L52" s="13"/>
      <c r="M52" s="13"/>
      <c r="N52" s="13"/>
      <c r="O52" s="13"/>
      <c r="P52" s="13"/>
      <c r="Q52" s="13"/>
      <c r="R52" s="13"/>
      <c r="S52" s="13"/>
      <c r="T52" s="13"/>
      <c r="U52" s="13"/>
      <c r="V52" s="13"/>
      <c r="W52" s="13"/>
      <c r="X52" s="13"/>
      <c r="AG52"/>
      <c r="AH52"/>
    </row>
    <row r="53" spans="1:34" x14ac:dyDescent="0.2">
      <c r="A53" s="213"/>
      <c r="B53" s="228"/>
      <c r="C53" s="13"/>
      <c r="D53" s="13"/>
      <c r="E53" s="13"/>
      <c r="F53" s="13"/>
      <c r="G53" s="59"/>
      <c r="H53" s="59"/>
      <c r="I53" s="59"/>
      <c r="J53" s="59"/>
      <c r="K53" s="59"/>
      <c r="L53" s="13"/>
      <c r="M53" s="13"/>
      <c r="N53" s="13"/>
      <c r="O53" s="13"/>
      <c r="P53" s="13"/>
      <c r="Q53" s="13"/>
      <c r="R53" s="13"/>
      <c r="S53" s="13"/>
      <c r="T53" s="13"/>
      <c r="U53" s="13"/>
      <c r="V53" s="13"/>
      <c r="W53" s="13"/>
      <c r="X53" s="13"/>
      <c r="AG53"/>
      <c r="AH53"/>
    </row>
    <row r="54" spans="1:34" x14ac:dyDescent="0.2">
      <c r="A54" s="213"/>
      <c r="B54" s="228"/>
      <c r="C54" s="13"/>
      <c r="D54" s="13"/>
      <c r="E54" s="13"/>
      <c r="F54" s="13"/>
      <c r="G54" s="59"/>
      <c r="H54" s="59"/>
      <c r="I54" s="59"/>
      <c r="J54" s="59"/>
      <c r="K54" s="59"/>
      <c r="L54" s="13"/>
      <c r="M54" s="13"/>
      <c r="N54" s="13"/>
      <c r="O54" s="13"/>
      <c r="P54" s="13"/>
      <c r="Q54" s="13"/>
      <c r="R54" s="13"/>
      <c r="S54" s="13"/>
      <c r="T54" s="13"/>
      <c r="U54" s="13"/>
      <c r="V54" s="13"/>
      <c r="W54" s="13"/>
      <c r="X54" s="13"/>
      <c r="AG54"/>
      <c r="AH54"/>
    </row>
    <row r="55" spans="1:34" x14ac:dyDescent="0.2">
      <c r="A55" s="213"/>
      <c r="B55" s="228"/>
      <c r="C55" s="13"/>
      <c r="D55" s="13"/>
      <c r="E55" s="13"/>
      <c r="F55" s="13"/>
      <c r="G55" s="59"/>
      <c r="H55" s="59"/>
      <c r="I55" s="59"/>
      <c r="J55" s="59"/>
      <c r="K55" s="59"/>
      <c r="L55" s="13"/>
      <c r="M55" s="13"/>
      <c r="N55" s="13"/>
      <c r="O55" s="13"/>
      <c r="P55" s="13"/>
      <c r="Q55" s="13"/>
      <c r="R55" s="13"/>
      <c r="S55" s="13"/>
      <c r="T55" s="13"/>
      <c r="U55" s="13"/>
      <c r="V55" s="13"/>
      <c r="W55" s="13"/>
      <c r="X55" s="13"/>
      <c r="AG55"/>
      <c r="AH55"/>
    </row>
    <row r="56" spans="1:34" x14ac:dyDescent="0.2">
      <c r="A56" s="213"/>
      <c r="B56" s="228"/>
      <c r="C56" s="13"/>
      <c r="D56" s="13"/>
      <c r="E56" s="13"/>
      <c r="F56" s="13"/>
      <c r="G56" s="59"/>
      <c r="H56" s="59"/>
      <c r="I56" s="59"/>
      <c r="J56" s="59"/>
      <c r="K56" s="59"/>
      <c r="L56" s="13"/>
      <c r="M56" s="13"/>
      <c r="N56" s="13"/>
      <c r="O56" s="13"/>
      <c r="P56" s="13"/>
      <c r="Q56" s="13"/>
      <c r="R56" s="13"/>
      <c r="S56" s="13"/>
      <c r="T56" s="13"/>
      <c r="U56" s="13"/>
      <c r="V56" s="13"/>
      <c r="W56" s="13"/>
      <c r="X56" s="13"/>
      <c r="AG56"/>
      <c r="AH56"/>
    </row>
    <row r="57" spans="1:34" x14ac:dyDescent="0.2">
      <c r="A57" s="213"/>
      <c r="B57" s="228"/>
      <c r="C57" s="13"/>
      <c r="D57" s="13"/>
      <c r="E57" s="13"/>
      <c r="F57" s="13"/>
      <c r="G57" s="59"/>
      <c r="H57" s="59"/>
      <c r="I57" s="59"/>
      <c r="J57" s="59"/>
      <c r="K57" s="59"/>
      <c r="L57" s="13"/>
      <c r="M57" s="13"/>
      <c r="N57" s="13"/>
      <c r="O57" s="13"/>
      <c r="P57" s="13"/>
      <c r="Q57" s="13"/>
      <c r="R57" s="13"/>
      <c r="S57" s="13"/>
      <c r="T57" s="13"/>
      <c r="U57" s="13"/>
      <c r="V57" s="13"/>
      <c r="W57" s="13"/>
      <c r="X57" s="13"/>
      <c r="AG57"/>
      <c r="AH57"/>
    </row>
    <row r="58" spans="1:34" x14ac:dyDescent="0.2">
      <c r="A58" s="213"/>
      <c r="B58" s="228"/>
      <c r="C58" s="13"/>
      <c r="D58" s="13"/>
      <c r="E58" s="13"/>
      <c r="F58" s="13"/>
      <c r="G58" s="59"/>
      <c r="H58" s="59"/>
      <c r="I58" s="59"/>
      <c r="J58" s="59"/>
      <c r="K58" s="59"/>
      <c r="L58" s="13"/>
      <c r="M58" s="13"/>
      <c r="N58" s="13"/>
      <c r="O58" s="13"/>
      <c r="P58" s="13"/>
      <c r="Q58" s="13"/>
      <c r="R58" s="13"/>
      <c r="S58" s="13"/>
      <c r="T58" s="13"/>
      <c r="U58" s="13"/>
      <c r="V58" s="13"/>
      <c r="W58" s="13"/>
      <c r="X58" s="13"/>
      <c r="AG58"/>
      <c r="AH58"/>
    </row>
    <row r="59" spans="1:34" x14ac:dyDescent="0.2">
      <c r="A59" s="213"/>
      <c r="B59" s="228"/>
      <c r="C59" s="13"/>
      <c r="D59" s="13"/>
      <c r="E59" s="13"/>
      <c r="F59" s="13"/>
      <c r="G59" s="59"/>
      <c r="H59" s="59"/>
      <c r="I59" s="59"/>
      <c r="J59" s="59"/>
      <c r="K59" s="59"/>
      <c r="L59" s="13"/>
      <c r="M59" s="13"/>
      <c r="N59" s="13"/>
      <c r="O59" s="13"/>
      <c r="P59" s="13"/>
      <c r="Q59" s="13"/>
      <c r="R59" s="13"/>
      <c r="S59" s="13"/>
      <c r="T59" s="13"/>
      <c r="U59" s="13"/>
      <c r="V59" s="13"/>
      <c r="W59" s="13"/>
      <c r="X59" s="13"/>
      <c r="AG59"/>
      <c r="AH59"/>
    </row>
    <row r="60" spans="1:34" x14ac:dyDescent="0.2">
      <c r="A60" s="213"/>
      <c r="B60" s="228"/>
      <c r="C60" s="13"/>
      <c r="D60" s="13"/>
      <c r="E60" s="13"/>
      <c r="F60" s="13"/>
      <c r="G60" s="59"/>
      <c r="H60" s="59"/>
      <c r="I60" s="59"/>
      <c r="J60" s="59"/>
      <c r="K60" s="59"/>
      <c r="L60" s="13"/>
      <c r="M60" s="13"/>
      <c r="N60" s="13"/>
      <c r="O60" s="13"/>
      <c r="P60" s="13"/>
      <c r="Q60" s="13"/>
      <c r="R60" s="13"/>
      <c r="S60" s="13"/>
      <c r="T60" s="13"/>
      <c r="U60" s="13"/>
      <c r="V60" s="13"/>
      <c r="W60" s="13"/>
      <c r="X60" s="13"/>
      <c r="AG60"/>
      <c r="AH60"/>
    </row>
    <row r="61" spans="1:34" x14ac:dyDescent="0.2">
      <c r="A61" s="213"/>
      <c r="B61" s="228"/>
      <c r="C61" s="13"/>
      <c r="D61" s="13"/>
      <c r="E61" s="13"/>
      <c r="F61" s="13"/>
      <c r="G61" s="59"/>
      <c r="H61" s="59"/>
      <c r="I61" s="59"/>
      <c r="J61" s="59"/>
      <c r="K61" s="59"/>
      <c r="L61" s="13"/>
      <c r="M61" s="13"/>
      <c r="N61" s="13"/>
      <c r="O61" s="13"/>
      <c r="P61" s="13"/>
      <c r="Q61" s="13"/>
      <c r="R61" s="13"/>
      <c r="S61" s="13"/>
      <c r="T61" s="13"/>
      <c r="U61" s="13"/>
      <c r="V61" s="13"/>
      <c r="W61" s="13"/>
      <c r="X61" s="13"/>
      <c r="AG61"/>
      <c r="AH61"/>
    </row>
    <row r="62" spans="1:34" x14ac:dyDescent="0.2">
      <c r="A62" s="213"/>
      <c r="B62" s="228"/>
      <c r="C62" s="13"/>
      <c r="D62" s="13"/>
      <c r="E62" s="13"/>
      <c r="F62" s="13"/>
      <c r="G62" s="59"/>
      <c r="H62" s="59"/>
      <c r="I62" s="59"/>
      <c r="J62" s="59"/>
      <c r="K62" s="59"/>
      <c r="L62" s="13"/>
      <c r="M62" s="13"/>
      <c r="N62" s="13"/>
      <c r="O62" s="13"/>
      <c r="P62" s="13"/>
      <c r="Q62" s="13"/>
      <c r="R62" s="13"/>
      <c r="S62" s="13"/>
      <c r="T62" s="13"/>
      <c r="U62" s="13"/>
      <c r="V62" s="13"/>
      <c r="W62" s="13"/>
      <c r="X62" s="13"/>
      <c r="AG62"/>
      <c r="AH62"/>
    </row>
    <row r="63" spans="1:34" x14ac:dyDescent="0.2">
      <c r="A63" s="213"/>
      <c r="B63" s="228"/>
      <c r="C63" s="13"/>
      <c r="D63" s="13"/>
      <c r="E63" s="13"/>
      <c r="F63" s="13"/>
      <c r="G63" s="59"/>
      <c r="H63" s="59"/>
      <c r="I63" s="59"/>
      <c r="J63" s="59"/>
      <c r="K63" s="59"/>
      <c r="L63" s="13"/>
      <c r="M63" s="13"/>
      <c r="N63" s="13"/>
      <c r="O63" s="13"/>
      <c r="P63" s="13"/>
      <c r="Q63" s="13"/>
      <c r="R63" s="13"/>
      <c r="S63" s="13"/>
      <c r="T63" s="13"/>
      <c r="U63" s="13"/>
      <c r="V63" s="13"/>
      <c r="W63" s="13"/>
      <c r="X63" s="13"/>
      <c r="AG63"/>
      <c r="AH63"/>
    </row>
    <row r="64" spans="1:34" x14ac:dyDescent="0.2">
      <c r="A64" s="213"/>
      <c r="B64" s="228"/>
      <c r="C64" s="13"/>
      <c r="D64" s="13"/>
      <c r="E64" s="13"/>
      <c r="F64" s="13"/>
      <c r="G64" s="59"/>
      <c r="H64" s="59"/>
      <c r="I64" s="59"/>
      <c r="J64" s="59"/>
      <c r="K64" s="59"/>
      <c r="L64" s="13"/>
      <c r="M64" s="13"/>
      <c r="N64" s="13"/>
      <c r="O64" s="13"/>
      <c r="P64" s="13"/>
      <c r="Q64" s="13"/>
      <c r="R64" s="13"/>
      <c r="S64" s="13"/>
      <c r="T64" s="13"/>
      <c r="U64" s="13"/>
      <c r="V64" s="13"/>
      <c r="W64" s="13"/>
      <c r="X64" s="13"/>
      <c r="AG64"/>
      <c r="AH64"/>
    </row>
    <row r="65" spans="1:34" x14ac:dyDescent="0.2">
      <c r="A65" s="213"/>
      <c r="B65" s="228"/>
      <c r="C65" s="13"/>
      <c r="D65" s="13"/>
      <c r="E65" s="13"/>
      <c r="F65" s="13"/>
      <c r="G65" s="59"/>
      <c r="H65" s="59"/>
      <c r="I65" s="59"/>
      <c r="J65" s="59"/>
      <c r="K65" s="59"/>
      <c r="L65" s="13"/>
      <c r="M65" s="13"/>
      <c r="N65" s="13"/>
      <c r="O65" s="13"/>
      <c r="P65" s="13"/>
      <c r="Q65" s="13"/>
      <c r="R65" s="13"/>
      <c r="S65" s="13"/>
      <c r="T65" s="13"/>
      <c r="U65" s="13"/>
      <c r="V65" s="13"/>
      <c r="W65" s="13"/>
      <c r="X65" s="13"/>
      <c r="AG65"/>
      <c r="AH65"/>
    </row>
    <row r="66" spans="1:34" x14ac:dyDescent="0.2">
      <c r="A66" s="213"/>
      <c r="B66" s="228"/>
      <c r="C66" s="13"/>
      <c r="D66" s="13"/>
      <c r="E66" s="13"/>
      <c r="F66" s="13"/>
      <c r="G66" s="59"/>
      <c r="H66" s="59"/>
      <c r="I66" s="59"/>
      <c r="J66" s="59"/>
      <c r="K66" s="59"/>
      <c r="L66" s="13"/>
      <c r="M66" s="13"/>
      <c r="N66" s="13"/>
      <c r="O66" s="13"/>
      <c r="P66" s="13"/>
      <c r="Q66" s="13"/>
      <c r="R66" s="13"/>
      <c r="S66" s="13"/>
      <c r="T66" s="13"/>
      <c r="U66" s="13"/>
      <c r="V66" s="13"/>
      <c r="W66" s="13"/>
      <c r="X66" s="13"/>
      <c r="AG66"/>
      <c r="AH66"/>
    </row>
    <row r="67" spans="1:34" x14ac:dyDescent="0.2">
      <c r="A67" s="213"/>
      <c r="B67" s="228"/>
      <c r="C67" s="13"/>
      <c r="D67" s="13"/>
      <c r="E67" s="13"/>
      <c r="F67" s="13"/>
      <c r="G67" s="59"/>
      <c r="H67" s="59"/>
      <c r="I67" s="59"/>
      <c r="J67" s="59"/>
      <c r="K67" s="59"/>
      <c r="L67" s="13"/>
      <c r="M67" s="13"/>
      <c r="N67" s="13"/>
      <c r="O67" s="13"/>
      <c r="P67" s="13"/>
      <c r="Q67" s="13"/>
      <c r="R67" s="13"/>
      <c r="S67" s="13"/>
      <c r="T67" s="13"/>
      <c r="U67" s="13"/>
      <c r="V67" s="13"/>
      <c r="W67" s="13"/>
      <c r="X67" s="13"/>
      <c r="AG67"/>
      <c r="AH67"/>
    </row>
    <row r="68" spans="1:34" x14ac:dyDescent="0.2">
      <c r="A68" s="213"/>
      <c r="B68" s="228"/>
      <c r="C68" s="13"/>
      <c r="D68" s="13"/>
      <c r="E68" s="13"/>
      <c r="F68" s="13"/>
      <c r="G68" s="59"/>
      <c r="H68" s="59"/>
      <c r="I68" s="59"/>
      <c r="J68" s="59"/>
      <c r="K68" s="59"/>
      <c r="L68" s="13"/>
      <c r="M68" s="13"/>
      <c r="N68" s="13"/>
      <c r="O68" s="13"/>
      <c r="P68" s="13"/>
      <c r="Q68" s="13"/>
      <c r="R68" s="13"/>
      <c r="S68" s="13"/>
      <c r="T68" s="13"/>
      <c r="U68" s="13"/>
      <c r="V68" s="13"/>
      <c r="W68" s="13"/>
      <c r="X68" s="13"/>
      <c r="AG68"/>
      <c r="AH68"/>
    </row>
    <row r="69" spans="1:34" x14ac:dyDescent="0.2">
      <c r="A69" s="213"/>
      <c r="B69" s="228"/>
      <c r="C69" s="13"/>
      <c r="D69" s="13"/>
      <c r="E69" s="13"/>
      <c r="F69" s="13"/>
      <c r="G69" s="59"/>
      <c r="H69" s="59"/>
      <c r="I69" s="59"/>
      <c r="J69" s="59"/>
      <c r="K69" s="59"/>
      <c r="L69" s="13"/>
      <c r="M69" s="13"/>
      <c r="N69" s="13"/>
      <c r="O69" s="13"/>
      <c r="P69" s="13"/>
      <c r="Q69" s="13"/>
      <c r="R69" s="13"/>
      <c r="S69" s="13"/>
      <c r="T69" s="13"/>
      <c r="U69" s="13"/>
      <c r="V69" s="13"/>
      <c r="W69" s="13"/>
      <c r="X69" s="13"/>
      <c r="AG69"/>
      <c r="AH69"/>
    </row>
    <row r="70" spans="1:34" x14ac:dyDescent="0.2">
      <c r="A70" s="213"/>
      <c r="B70" s="228"/>
      <c r="C70" s="13"/>
      <c r="D70" s="13"/>
      <c r="E70" s="13"/>
      <c r="F70" s="13"/>
      <c r="G70" s="59"/>
      <c r="H70" s="59"/>
      <c r="I70" s="59"/>
      <c r="J70" s="59"/>
      <c r="K70" s="59"/>
      <c r="L70" s="13"/>
      <c r="M70" s="13"/>
      <c r="N70" s="13"/>
      <c r="O70" s="13"/>
      <c r="P70" s="13"/>
      <c r="Q70" s="13"/>
      <c r="R70" s="13"/>
      <c r="S70" s="13"/>
      <c r="T70" s="13"/>
      <c r="U70" s="13"/>
      <c r="V70" s="13"/>
      <c r="W70" s="13"/>
      <c r="X70" s="13"/>
      <c r="AG70"/>
      <c r="AH70"/>
    </row>
    <row r="71" spans="1:34" x14ac:dyDescent="0.2">
      <c r="A71" s="213"/>
      <c r="B71" s="228"/>
      <c r="C71" s="13"/>
      <c r="D71" s="13"/>
      <c r="E71" s="13"/>
      <c r="F71" s="13"/>
      <c r="G71" s="59"/>
      <c r="H71" s="59"/>
      <c r="I71" s="59"/>
      <c r="J71" s="59"/>
      <c r="K71" s="59"/>
      <c r="L71" s="13"/>
      <c r="M71" s="13"/>
      <c r="N71" s="13"/>
      <c r="O71" s="13"/>
      <c r="P71" s="13"/>
      <c r="Q71" s="13"/>
      <c r="R71" s="13"/>
      <c r="S71" s="13"/>
      <c r="T71" s="13"/>
      <c r="U71" s="13"/>
      <c r="V71" s="13"/>
      <c r="W71" s="13"/>
      <c r="X71" s="13"/>
      <c r="AG71"/>
      <c r="AH71"/>
    </row>
    <row r="72" spans="1:34" x14ac:dyDescent="0.2">
      <c r="A72" s="213"/>
      <c r="B72" s="228"/>
      <c r="C72" s="13"/>
      <c r="D72" s="13"/>
      <c r="E72" s="13"/>
      <c r="F72" s="13"/>
      <c r="G72" s="59"/>
      <c r="H72" s="59"/>
      <c r="I72" s="59"/>
      <c r="J72" s="59"/>
      <c r="K72" s="59"/>
      <c r="L72" s="13"/>
      <c r="M72" s="13"/>
      <c r="N72" s="13"/>
      <c r="O72" s="13"/>
      <c r="P72" s="13"/>
      <c r="Q72" s="13"/>
      <c r="R72" s="13"/>
      <c r="S72" s="13"/>
      <c r="T72" s="13"/>
      <c r="U72" s="13"/>
      <c r="V72" s="13"/>
      <c r="W72" s="13"/>
      <c r="X72" s="13"/>
      <c r="AG72"/>
      <c r="AH72"/>
    </row>
    <row r="73" spans="1:34" x14ac:dyDescent="0.2">
      <c r="A73" s="213"/>
      <c r="B73" s="228"/>
      <c r="C73" s="13"/>
      <c r="D73" s="13"/>
      <c r="E73" s="13"/>
      <c r="F73" s="13"/>
      <c r="G73" s="59"/>
      <c r="H73" s="59"/>
      <c r="I73" s="59"/>
      <c r="J73" s="59"/>
      <c r="K73" s="59"/>
      <c r="L73" s="13"/>
      <c r="M73" s="13"/>
      <c r="N73" s="13"/>
      <c r="O73" s="13"/>
      <c r="P73" s="13"/>
      <c r="Q73" s="13"/>
      <c r="R73" s="13"/>
      <c r="S73" s="13"/>
      <c r="T73" s="13"/>
      <c r="U73" s="13"/>
      <c r="V73" s="13"/>
      <c r="W73" s="13"/>
      <c r="X73" s="13"/>
      <c r="AG73"/>
      <c r="AH73"/>
    </row>
    <row r="74" spans="1:34" x14ac:dyDescent="0.2">
      <c r="A74" s="213"/>
      <c r="B74" s="228"/>
      <c r="C74" s="13"/>
      <c r="D74" s="13"/>
      <c r="E74" s="13"/>
      <c r="F74" s="13"/>
      <c r="G74" s="59"/>
      <c r="H74" s="59"/>
      <c r="I74" s="59"/>
      <c r="J74" s="59"/>
      <c r="K74" s="59"/>
      <c r="L74" s="13"/>
      <c r="M74" s="13"/>
      <c r="N74" s="13"/>
      <c r="O74" s="13"/>
      <c r="P74" s="13"/>
      <c r="Q74" s="13"/>
      <c r="R74" s="13"/>
      <c r="S74" s="13"/>
      <c r="T74" s="13"/>
      <c r="U74" s="13"/>
      <c r="V74" s="13"/>
      <c r="W74" s="13"/>
      <c r="X74" s="13"/>
      <c r="AG74"/>
      <c r="AH74"/>
    </row>
    <row r="75" spans="1:34" x14ac:dyDescent="0.2">
      <c r="A75" s="213"/>
      <c r="B75" s="228"/>
      <c r="C75" s="13"/>
      <c r="D75" s="13"/>
      <c r="E75" s="13"/>
      <c r="F75" s="13"/>
      <c r="G75" s="59"/>
      <c r="H75" s="59"/>
      <c r="I75" s="59"/>
      <c r="J75" s="59"/>
      <c r="K75" s="59"/>
      <c r="L75" s="13"/>
      <c r="M75" s="13"/>
      <c r="N75" s="13"/>
      <c r="O75" s="13"/>
      <c r="P75" s="13"/>
      <c r="Q75" s="13"/>
      <c r="R75" s="13"/>
      <c r="S75" s="13"/>
      <c r="T75" s="13"/>
      <c r="U75" s="13"/>
      <c r="V75" s="13"/>
      <c r="W75" s="13"/>
      <c r="X75" s="13"/>
      <c r="AG75"/>
      <c r="AH75"/>
    </row>
    <row r="76" spans="1:34" x14ac:dyDescent="0.2">
      <c r="A76" s="213"/>
      <c r="B76" s="228"/>
      <c r="C76" s="13"/>
      <c r="D76" s="13"/>
      <c r="E76" s="13"/>
      <c r="F76" s="13"/>
      <c r="G76" s="59"/>
      <c r="H76" s="59"/>
      <c r="I76" s="59"/>
      <c r="J76" s="59"/>
      <c r="K76" s="59"/>
      <c r="L76" s="13"/>
      <c r="M76" s="13"/>
      <c r="N76" s="13"/>
      <c r="O76" s="13"/>
      <c r="P76" s="13"/>
      <c r="Q76" s="13"/>
      <c r="R76" s="13"/>
      <c r="S76" s="13"/>
      <c r="T76" s="13"/>
      <c r="U76" s="13"/>
      <c r="V76" s="13"/>
      <c r="W76" s="13"/>
      <c r="X76" s="13"/>
      <c r="AG76"/>
      <c r="AH76"/>
    </row>
    <row r="77" spans="1:34" x14ac:dyDescent="0.2">
      <c r="A77" s="213"/>
      <c r="B77" s="228"/>
      <c r="C77" s="13"/>
      <c r="D77" s="13"/>
      <c r="E77" s="13"/>
      <c r="F77" s="13"/>
      <c r="G77" s="59"/>
      <c r="H77" s="59"/>
      <c r="I77" s="59"/>
      <c r="J77" s="59"/>
      <c r="K77" s="59"/>
      <c r="L77" s="13"/>
      <c r="M77" s="13"/>
      <c r="N77" s="13"/>
      <c r="O77" s="13"/>
      <c r="P77" s="13"/>
      <c r="Q77" s="13"/>
      <c r="R77" s="13"/>
      <c r="S77" s="13"/>
      <c r="T77" s="13"/>
      <c r="U77" s="13"/>
      <c r="V77" s="13"/>
      <c r="W77" s="13"/>
      <c r="X77" s="13"/>
      <c r="AG77"/>
      <c r="AH77"/>
    </row>
    <row r="78" spans="1:34" x14ac:dyDescent="0.2">
      <c r="A78" s="213"/>
      <c r="B78" s="228"/>
      <c r="C78" s="13"/>
      <c r="D78" s="13"/>
      <c r="E78" s="13"/>
      <c r="F78" s="13"/>
      <c r="G78" s="59"/>
      <c r="H78" s="59"/>
      <c r="I78" s="59"/>
      <c r="J78" s="59"/>
      <c r="K78" s="59"/>
      <c r="L78" s="13"/>
      <c r="M78" s="13"/>
      <c r="N78" s="13"/>
      <c r="O78" s="13"/>
      <c r="P78" s="13"/>
      <c r="Q78" s="13"/>
      <c r="R78" s="13"/>
      <c r="S78" s="13"/>
      <c r="T78" s="13"/>
      <c r="U78" s="13"/>
      <c r="V78" s="13"/>
      <c r="W78" s="13"/>
      <c r="X78" s="13"/>
      <c r="AG78"/>
      <c r="AH78"/>
    </row>
    <row r="79" spans="1:34" x14ac:dyDescent="0.2">
      <c r="A79" s="213"/>
      <c r="B79" s="228"/>
      <c r="C79" s="13"/>
      <c r="D79" s="13"/>
      <c r="E79" s="13"/>
      <c r="F79" s="13"/>
      <c r="G79" s="59"/>
      <c r="H79" s="59"/>
      <c r="I79" s="59"/>
      <c r="J79" s="59"/>
      <c r="K79" s="59"/>
      <c r="L79" s="13"/>
      <c r="M79" s="13"/>
      <c r="N79" s="13"/>
      <c r="O79" s="13"/>
      <c r="P79" s="13"/>
      <c r="Q79" s="13"/>
      <c r="R79" s="13"/>
      <c r="S79" s="13"/>
      <c r="T79" s="13"/>
      <c r="U79" s="13"/>
      <c r="V79" s="13"/>
      <c r="W79" s="13"/>
      <c r="X79" s="13"/>
      <c r="AG79"/>
      <c r="AH79"/>
    </row>
    <row r="80" spans="1:34" x14ac:dyDescent="0.2">
      <c r="A80" s="213"/>
      <c r="B80" s="228"/>
      <c r="C80" s="13"/>
      <c r="D80" s="13"/>
      <c r="E80" s="13"/>
      <c r="F80" s="13"/>
      <c r="G80" s="59"/>
      <c r="H80" s="59"/>
      <c r="I80" s="59"/>
      <c r="J80" s="59"/>
      <c r="K80" s="59"/>
      <c r="L80" s="13"/>
      <c r="M80" s="13"/>
      <c r="N80" s="13"/>
      <c r="O80" s="13"/>
      <c r="P80" s="13"/>
      <c r="Q80" s="13"/>
      <c r="R80" s="13"/>
      <c r="S80" s="13"/>
      <c r="T80" s="13"/>
      <c r="U80" s="13"/>
      <c r="V80" s="13"/>
      <c r="W80" s="13"/>
      <c r="X80" s="13"/>
      <c r="AG80"/>
      <c r="AH80"/>
    </row>
    <row r="81" spans="1:34" x14ac:dyDescent="0.2">
      <c r="A81" s="213"/>
      <c r="B81" s="228"/>
      <c r="C81" s="13"/>
      <c r="D81" s="13"/>
      <c r="E81" s="13"/>
      <c r="F81" s="13"/>
      <c r="G81" s="59"/>
      <c r="H81" s="59"/>
      <c r="I81" s="59"/>
      <c r="J81" s="59"/>
      <c r="K81" s="59"/>
      <c r="L81" s="13"/>
      <c r="M81" s="13"/>
      <c r="N81" s="13"/>
      <c r="O81" s="13"/>
      <c r="P81" s="13"/>
      <c r="Q81" s="13"/>
      <c r="R81" s="13"/>
      <c r="S81" s="13"/>
      <c r="T81" s="13"/>
      <c r="U81" s="13"/>
      <c r="V81" s="13"/>
      <c r="W81" s="13"/>
      <c r="X81" s="13"/>
      <c r="AG81"/>
      <c r="AH81"/>
    </row>
    <row r="82" spans="1:34" x14ac:dyDescent="0.2">
      <c r="A82" s="213"/>
      <c r="B82" s="228"/>
      <c r="C82" s="13"/>
      <c r="D82" s="13"/>
      <c r="E82" s="13"/>
      <c r="F82" s="13"/>
      <c r="G82" s="59"/>
      <c r="H82" s="59"/>
      <c r="I82" s="59"/>
      <c r="J82" s="59"/>
      <c r="K82" s="59"/>
      <c r="L82" s="13"/>
      <c r="M82" s="13"/>
      <c r="N82" s="13"/>
      <c r="O82" s="13"/>
      <c r="P82" s="13"/>
      <c r="Q82" s="13"/>
      <c r="R82" s="13"/>
      <c r="S82" s="13"/>
      <c r="T82" s="13"/>
      <c r="U82" s="13"/>
      <c r="V82" s="13"/>
      <c r="W82" s="13"/>
      <c r="X82" s="13"/>
      <c r="AG82"/>
      <c r="AH82"/>
    </row>
    <row r="83" spans="1:34" x14ac:dyDescent="0.2">
      <c r="A83" s="213"/>
      <c r="B83" s="228"/>
      <c r="C83" s="13"/>
      <c r="D83" s="13"/>
      <c r="E83" s="13"/>
      <c r="F83" s="13"/>
      <c r="G83" s="59"/>
      <c r="H83" s="59"/>
      <c r="I83" s="59"/>
      <c r="J83" s="59"/>
      <c r="K83" s="59"/>
      <c r="L83" s="13"/>
      <c r="M83" s="13"/>
      <c r="N83" s="13"/>
      <c r="O83" s="13"/>
      <c r="P83" s="13"/>
      <c r="Q83" s="13"/>
      <c r="R83" s="13"/>
      <c r="S83" s="13"/>
      <c r="T83" s="13"/>
      <c r="U83" s="13"/>
      <c r="V83" s="13"/>
      <c r="W83" s="13"/>
      <c r="X83" s="13"/>
      <c r="AG83"/>
      <c r="AH83"/>
    </row>
    <row r="84" spans="1:34" x14ac:dyDescent="0.2">
      <c r="A84" s="213"/>
      <c r="B84" s="228"/>
      <c r="C84" s="13"/>
      <c r="D84" s="13"/>
      <c r="E84" s="13"/>
      <c r="F84" s="13"/>
      <c r="G84" s="59"/>
      <c r="H84" s="59"/>
      <c r="I84" s="59"/>
      <c r="J84" s="59"/>
      <c r="K84" s="59"/>
      <c r="L84" s="13"/>
      <c r="M84" s="13"/>
      <c r="N84" s="13"/>
      <c r="O84" s="13"/>
      <c r="P84" s="13"/>
      <c r="Q84" s="13"/>
      <c r="R84" s="13"/>
      <c r="S84" s="13"/>
      <c r="T84" s="13"/>
      <c r="U84" s="13"/>
      <c r="V84" s="13"/>
      <c r="W84" s="13"/>
      <c r="X84" s="13"/>
      <c r="AG84"/>
      <c r="AH84"/>
    </row>
    <row r="85" spans="1:34" x14ac:dyDescent="0.2">
      <c r="A85" s="213"/>
      <c r="B85" s="228"/>
      <c r="C85" s="13"/>
      <c r="D85" s="13"/>
      <c r="E85" s="13"/>
      <c r="F85" s="13"/>
      <c r="G85" s="59"/>
      <c r="H85" s="59"/>
      <c r="I85" s="59"/>
      <c r="J85" s="59"/>
      <c r="K85" s="59"/>
      <c r="L85" s="13"/>
      <c r="M85" s="13"/>
      <c r="N85" s="13"/>
      <c r="O85" s="13"/>
      <c r="P85" s="13"/>
      <c r="Q85" s="13"/>
      <c r="R85" s="13"/>
      <c r="S85" s="13"/>
      <c r="T85" s="13"/>
      <c r="U85" s="13"/>
      <c r="V85" s="13"/>
      <c r="W85" s="13"/>
      <c r="X85" s="13"/>
      <c r="AG85"/>
      <c r="AH85"/>
    </row>
    <row r="86" spans="1:34" x14ac:dyDescent="0.2">
      <c r="A86" s="213"/>
      <c r="B86" s="228"/>
      <c r="C86" s="13"/>
      <c r="D86" s="13"/>
      <c r="E86" s="13"/>
      <c r="F86" s="13"/>
      <c r="G86" s="59"/>
      <c r="H86" s="59"/>
      <c r="I86" s="59"/>
      <c r="J86" s="59"/>
      <c r="K86" s="59"/>
      <c r="L86" s="13"/>
      <c r="M86" s="13"/>
      <c r="N86" s="13"/>
      <c r="O86" s="13"/>
      <c r="P86" s="13"/>
      <c r="Q86" s="13"/>
      <c r="R86" s="13"/>
      <c r="S86" s="13"/>
      <c r="T86" s="13"/>
      <c r="U86" s="13"/>
      <c r="V86" s="13"/>
      <c r="W86" s="13"/>
      <c r="X86" s="13"/>
      <c r="AG86"/>
      <c r="AH86"/>
    </row>
    <row r="87" spans="1:34" x14ac:dyDescent="0.2">
      <c r="A87" s="213"/>
      <c r="B87" s="228"/>
      <c r="C87" s="13"/>
      <c r="D87" s="13"/>
      <c r="E87" s="13"/>
      <c r="F87" s="13"/>
      <c r="G87" s="59"/>
      <c r="H87" s="59"/>
      <c r="I87" s="59"/>
      <c r="J87" s="59"/>
      <c r="K87" s="59"/>
      <c r="L87" s="13"/>
      <c r="M87" s="13"/>
      <c r="N87" s="13"/>
      <c r="O87" s="13"/>
      <c r="P87" s="13"/>
      <c r="Q87" s="13"/>
      <c r="R87" s="13"/>
      <c r="S87" s="13"/>
      <c r="T87" s="13"/>
      <c r="U87" s="13"/>
      <c r="V87" s="13"/>
      <c r="W87" s="13"/>
      <c r="X87" s="13"/>
      <c r="AG87"/>
      <c r="AH87"/>
    </row>
    <row r="88" spans="1:34" x14ac:dyDescent="0.2">
      <c r="A88" s="213"/>
      <c r="B88" s="228"/>
      <c r="C88" s="13"/>
      <c r="D88" s="13"/>
      <c r="E88" s="13"/>
      <c r="F88" s="13"/>
      <c r="G88" s="59"/>
      <c r="H88" s="59"/>
      <c r="I88" s="59"/>
      <c r="J88" s="59"/>
      <c r="K88" s="59"/>
      <c r="L88" s="13"/>
      <c r="M88" s="13"/>
      <c r="N88" s="13"/>
      <c r="O88" s="13"/>
      <c r="P88" s="13"/>
      <c r="Q88" s="13"/>
      <c r="R88" s="13"/>
      <c r="S88" s="13"/>
      <c r="T88" s="13"/>
      <c r="U88" s="13"/>
      <c r="V88" s="13"/>
      <c r="W88" s="13"/>
      <c r="X88" s="13"/>
      <c r="AG88"/>
      <c r="AH88"/>
    </row>
    <row r="89" spans="1:34" x14ac:dyDescent="0.2">
      <c r="A89" s="213"/>
      <c r="B89" s="228"/>
      <c r="C89" s="13"/>
      <c r="D89" s="13"/>
      <c r="E89" s="13"/>
      <c r="F89" s="13"/>
      <c r="G89" s="59"/>
      <c r="H89" s="59"/>
      <c r="I89" s="59"/>
      <c r="J89" s="59"/>
      <c r="K89" s="59"/>
      <c r="L89" s="13"/>
      <c r="M89" s="13"/>
      <c r="N89" s="13"/>
      <c r="O89" s="13"/>
      <c r="P89" s="13"/>
      <c r="Q89" s="13"/>
      <c r="R89" s="13"/>
      <c r="S89" s="13"/>
      <c r="T89" s="13"/>
      <c r="U89" s="13"/>
      <c r="V89" s="13"/>
      <c r="W89" s="13"/>
      <c r="X89" s="13"/>
      <c r="AG89"/>
      <c r="AH89"/>
    </row>
    <row r="90" spans="1:34" x14ac:dyDescent="0.2">
      <c r="A90" s="213"/>
      <c r="B90" s="228"/>
      <c r="C90" s="13"/>
      <c r="D90" s="13"/>
      <c r="E90" s="13"/>
      <c r="F90" s="13"/>
      <c r="G90" s="59"/>
      <c r="H90" s="59"/>
      <c r="I90" s="59"/>
      <c r="J90" s="59"/>
      <c r="K90" s="59"/>
      <c r="L90" s="13"/>
      <c r="M90" s="13"/>
      <c r="N90" s="13"/>
      <c r="O90" s="13"/>
      <c r="P90" s="13"/>
      <c r="Q90" s="13"/>
      <c r="R90" s="13"/>
      <c r="S90" s="13"/>
      <c r="T90" s="13"/>
      <c r="U90" s="13"/>
      <c r="V90" s="13"/>
      <c r="W90" s="13"/>
      <c r="X90" s="13"/>
      <c r="AG90"/>
      <c r="AH90"/>
    </row>
    <row r="91" spans="1:34" x14ac:dyDescent="0.2">
      <c r="A91" s="213"/>
      <c r="B91" s="228"/>
      <c r="C91" s="13"/>
      <c r="D91" s="13"/>
      <c r="E91" s="13"/>
      <c r="F91" s="13"/>
      <c r="G91" s="59"/>
      <c r="H91" s="59"/>
      <c r="I91" s="59"/>
      <c r="J91" s="59"/>
      <c r="K91" s="59"/>
      <c r="L91" s="13"/>
      <c r="M91" s="13"/>
      <c r="N91" s="13"/>
      <c r="O91" s="13"/>
      <c r="P91" s="13"/>
      <c r="Q91" s="13"/>
      <c r="R91" s="13"/>
      <c r="S91" s="13"/>
      <c r="T91" s="13"/>
      <c r="U91" s="13"/>
      <c r="V91" s="13"/>
      <c r="W91" s="13"/>
      <c r="X91" s="13"/>
      <c r="AG91"/>
      <c r="AH91"/>
    </row>
    <row r="92" spans="1:34" x14ac:dyDescent="0.2">
      <c r="A92" s="213"/>
      <c r="B92" s="228"/>
      <c r="C92" s="13"/>
      <c r="D92" s="13"/>
      <c r="E92" s="13"/>
      <c r="F92" s="13"/>
      <c r="G92" s="59"/>
      <c r="H92" s="59"/>
      <c r="I92" s="59"/>
      <c r="J92" s="59"/>
      <c r="K92" s="59"/>
      <c r="L92" s="13"/>
      <c r="M92" s="13"/>
      <c r="N92" s="13"/>
      <c r="O92" s="13"/>
      <c r="P92" s="13"/>
      <c r="Q92" s="13"/>
      <c r="R92" s="13"/>
      <c r="S92" s="13"/>
      <c r="T92" s="13"/>
      <c r="U92" s="13"/>
      <c r="V92" s="13"/>
      <c r="W92" s="13"/>
      <c r="X92" s="13"/>
      <c r="AG92"/>
      <c r="AH92"/>
    </row>
    <row r="93" spans="1:34" x14ac:dyDescent="0.2">
      <c r="A93" s="213"/>
      <c r="B93" s="228"/>
      <c r="C93" s="13"/>
      <c r="D93" s="13"/>
      <c r="E93" s="13"/>
      <c r="F93" s="13"/>
      <c r="G93" s="59"/>
      <c r="H93" s="59"/>
      <c r="I93" s="59"/>
      <c r="J93" s="59"/>
      <c r="K93" s="59"/>
      <c r="L93" s="13"/>
      <c r="M93" s="13"/>
      <c r="N93" s="13"/>
      <c r="O93" s="13"/>
      <c r="P93" s="13"/>
      <c r="Q93" s="13"/>
      <c r="R93" s="13"/>
      <c r="S93" s="13"/>
      <c r="T93" s="13"/>
      <c r="U93" s="13"/>
      <c r="V93" s="13"/>
      <c r="W93" s="13"/>
      <c r="X93" s="13"/>
      <c r="AG93"/>
      <c r="AH93"/>
    </row>
    <row r="94" spans="1:34" x14ac:dyDescent="0.2">
      <c r="A94" s="213"/>
      <c r="B94" s="228"/>
      <c r="C94" s="13"/>
      <c r="D94" s="13"/>
      <c r="E94" s="13"/>
      <c r="F94" s="13"/>
      <c r="G94" s="59"/>
      <c r="H94" s="59"/>
      <c r="I94" s="59"/>
      <c r="J94" s="59"/>
      <c r="K94" s="59"/>
      <c r="L94" s="13"/>
      <c r="M94" s="13"/>
      <c r="N94" s="13"/>
      <c r="O94" s="13"/>
      <c r="P94" s="13"/>
      <c r="Q94" s="13"/>
      <c r="R94" s="13"/>
      <c r="S94" s="13"/>
      <c r="T94" s="13"/>
      <c r="U94" s="13"/>
      <c r="V94" s="13"/>
      <c r="W94" s="13"/>
      <c r="X94" s="13"/>
      <c r="AG94"/>
      <c r="AH94"/>
    </row>
    <row r="95" spans="1:34" x14ac:dyDescent="0.2">
      <c r="A95" s="213"/>
      <c r="B95" s="228"/>
      <c r="C95" s="13"/>
      <c r="D95" s="13"/>
      <c r="E95" s="13"/>
      <c r="F95" s="13"/>
      <c r="G95" s="59"/>
      <c r="H95" s="59"/>
      <c r="I95" s="59"/>
      <c r="J95" s="59"/>
      <c r="K95" s="59"/>
      <c r="L95" s="13"/>
      <c r="M95" s="13"/>
      <c r="N95" s="13"/>
      <c r="O95" s="13"/>
      <c r="P95" s="13"/>
      <c r="Q95" s="13"/>
      <c r="R95" s="13"/>
      <c r="S95" s="13"/>
      <c r="T95" s="13"/>
      <c r="U95" s="13"/>
      <c r="V95" s="13"/>
      <c r="W95" s="13"/>
      <c r="X95" s="13"/>
      <c r="AG95"/>
      <c r="AH95"/>
    </row>
    <row r="96" spans="1:34" x14ac:dyDescent="0.2">
      <c r="A96" s="213"/>
      <c r="B96" s="228"/>
      <c r="C96" s="13"/>
      <c r="D96" s="13"/>
      <c r="E96" s="13"/>
      <c r="F96" s="13"/>
      <c r="G96" s="59"/>
      <c r="H96" s="59"/>
      <c r="I96" s="59"/>
      <c r="J96" s="59"/>
      <c r="K96" s="59"/>
      <c r="L96" s="13"/>
      <c r="M96" s="13"/>
      <c r="N96" s="13"/>
      <c r="O96" s="13"/>
      <c r="P96" s="13"/>
      <c r="Q96" s="13"/>
      <c r="R96" s="13"/>
      <c r="S96" s="13"/>
      <c r="T96" s="13"/>
      <c r="U96" s="13"/>
      <c r="V96" s="13"/>
      <c r="W96" s="13"/>
      <c r="X96" s="13"/>
      <c r="AG96"/>
      <c r="AH96"/>
    </row>
    <row r="97" spans="1:34" x14ac:dyDescent="0.2">
      <c r="A97" s="213"/>
      <c r="B97" s="228"/>
      <c r="C97" s="13"/>
      <c r="D97" s="13"/>
      <c r="E97" s="13"/>
      <c r="F97" s="13"/>
      <c r="G97" s="59"/>
      <c r="H97" s="59"/>
      <c r="I97" s="59"/>
      <c r="J97" s="59"/>
      <c r="K97" s="59"/>
      <c r="L97" s="13"/>
      <c r="M97" s="13"/>
      <c r="N97" s="13"/>
      <c r="O97" s="13"/>
      <c r="P97" s="13"/>
      <c r="Q97" s="13"/>
      <c r="R97" s="13"/>
      <c r="S97" s="13"/>
      <c r="T97" s="13"/>
      <c r="U97" s="13"/>
      <c r="V97" s="13"/>
      <c r="W97" s="13"/>
      <c r="X97" s="13"/>
      <c r="AG97"/>
      <c r="AH97"/>
    </row>
    <row r="98" spans="1:34" x14ac:dyDescent="0.2">
      <c r="A98" s="213"/>
      <c r="B98" s="228"/>
      <c r="C98" s="13"/>
      <c r="D98" s="13"/>
      <c r="E98" s="13"/>
      <c r="F98" s="13"/>
      <c r="G98" s="59"/>
      <c r="H98" s="59"/>
      <c r="I98" s="59"/>
      <c r="J98" s="59"/>
      <c r="K98" s="59"/>
      <c r="L98" s="13"/>
      <c r="M98" s="13"/>
      <c r="N98" s="13"/>
      <c r="O98" s="13"/>
      <c r="P98" s="13"/>
      <c r="Q98" s="13"/>
      <c r="R98" s="13"/>
      <c r="S98" s="13"/>
      <c r="T98" s="13"/>
      <c r="U98" s="13"/>
      <c r="V98" s="13"/>
      <c r="W98" s="13"/>
      <c r="X98" s="13"/>
      <c r="AG98"/>
      <c r="AH98"/>
    </row>
    <row r="99" spans="1:34" x14ac:dyDescent="0.2">
      <c r="A99" s="213"/>
      <c r="B99" s="228"/>
      <c r="C99" s="13"/>
      <c r="D99" s="13"/>
      <c r="E99" s="13"/>
      <c r="F99" s="13"/>
      <c r="G99" s="59"/>
      <c r="H99" s="59"/>
      <c r="I99" s="59"/>
      <c r="J99" s="59"/>
      <c r="K99" s="59"/>
      <c r="L99" s="13"/>
      <c r="M99" s="13"/>
      <c r="N99" s="13"/>
      <c r="O99" s="13"/>
      <c r="P99" s="13"/>
      <c r="Q99" s="13"/>
      <c r="R99" s="13"/>
      <c r="S99" s="13"/>
      <c r="T99" s="13"/>
      <c r="U99" s="13"/>
      <c r="V99" s="13"/>
      <c r="W99" s="13"/>
      <c r="X99" s="13"/>
      <c r="AG99"/>
      <c r="AH99"/>
    </row>
    <row r="100" spans="1:34" x14ac:dyDescent="0.2">
      <c r="A100" s="213"/>
      <c r="B100" s="228"/>
      <c r="C100" s="13"/>
      <c r="D100" s="13"/>
      <c r="E100" s="13"/>
      <c r="F100" s="13"/>
      <c r="G100" s="59"/>
      <c r="H100" s="59"/>
      <c r="I100" s="59"/>
      <c r="J100" s="59"/>
      <c r="K100" s="59"/>
      <c r="L100" s="13"/>
      <c r="M100" s="13"/>
      <c r="N100" s="13"/>
      <c r="O100" s="13"/>
      <c r="P100" s="13"/>
      <c r="Q100" s="13"/>
      <c r="R100" s="13"/>
      <c r="S100" s="13"/>
      <c r="T100" s="13"/>
      <c r="U100" s="13"/>
      <c r="V100" s="13"/>
      <c r="W100" s="13"/>
      <c r="X100" s="13"/>
      <c r="AG100"/>
      <c r="AH100"/>
    </row>
    <row r="101" spans="1:34" x14ac:dyDescent="0.2">
      <c r="A101" s="213"/>
      <c r="B101" s="228"/>
      <c r="C101" s="13"/>
      <c r="D101" s="13"/>
      <c r="E101" s="13"/>
      <c r="F101" s="13"/>
      <c r="G101" s="59"/>
      <c r="H101" s="59"/>
      <c r="I101" s="59"/>
      <c r="J101" s="59"/>
      <c r="K101" s="59"/>
      <c r="L101" s="13"/>
      <c r="M101" s="13"/>
      <c r="N101" s="13"/>
      <c r="O101" s="13"/>
      <c r="P101" s="13"/>
      <c r="Q101" s="13"/>
      <c r="R101" s="13"/>
      <c r="S101" s="13"/>
      <c r="T101" s="13"/>
      <c r="U101" s="13"/>
      <c r="V101" s="13"/>
      <c r="W101" s="13"/>
      <c r="X101" s="13"/>
      <c r="AG101"/>
      <c r="AH101"/>
    </row>
    <row r="102" spans="1:34" x14ac:dyDescent="0.2">
      <c r="A102" s="213"/>
      <c r="B102" s="228"/>
      <c r="C102" s="13"/>
      <c r="D102" s="13"/>
      <c r="E102" s="13"/>
      <c r="F102" s="13"/>
      <c r="G102" s="59"/>
      <c r="H102" s="59"/>
      <c r="I102" s="59"/>
      <c r="J102" s="59"/>
      <c r="K102" s="59"/>
      <c r="L102" s="13"/>
      <c r="M102" s="13"/>
      <c r="N102" s="13"/>
      <c r="O102" s="13"/>
      <c r="P102" s="13"/>
      <c r="Q102" s="13"/>
      <c r="R102" s="13"/>
      <c r="S102" s="13"/>
      <c r="T102" s="13"/>
      <c r="U102" s="13"/>
      <c r="V102" s="13"/>
      <c r="W102" s="13"/>
      <c r="X102" s="13"/>
      <c r="AG102"/>
      <c r="AH102"/>
    </row>
    <row r="103" spans="1:34" x14ac:dyDescent="0.2">
      <c r="A103" s="213"/>
      <c r="B103" s="228"/>
      <c r="C103" s="13"/>
      <c r="D103" s="13"/>
      <c r="E103" s="13"/>
      <c r="F103" s="13"/>
      <c r="G103" s="59"/>
      <c r="H103" s="59"/>
      <c r="I103" s="59"/>
      <c r="J103" s="59"/>
      <c r="K103" s="59"/>
      <c r="L103" s="13"/>
      <c r="M103" s="13"/>
      <c r="N103" s="13"/>
      <c r="O103" s="13"/>
      <c r="P103" s="13"/>
      <c r="Q103" s="13"/>
      <c r="R103" s="13"/>
      <c r="S103" s="13"/>
      <c r="T103" s="13"/>
      <c r="U103" s="13"/>
      <c r="V103" s="13"/>
      <c r="W103" s="13"/>
      <c r="X103" s="13"/>
      <c r="AG103"/>
      <c r="AH103"/>
    </row>
    <row r="104" spans="1:34" x14ac:dyDescent="0.2">
      <c r="A104" s="213"/>
      <c r="B104" s="228"/>
      <c r="C104" s="13"/>
      <c r="D104" s="13"/>
      <c r="E104" s="13"/>
      <c r="F104" s="13"/>
      <c r="G104" s="59"/>
      <c r="H104" s="59"/>
      <c r="I104" s="59"/>
      <c r="J104" s="59"/>
      <c r="K104" s="59"/>
      <c r="L104" s="13"/>
      <c r="M104" s="13"/>
      <c r="N104" s="13"/>
      <c r="O104" s="13"/>
      <c r="P104" s="13"/>
      <c r="Q104" s="13"/>
      <c r="R104" s="13"/>
      <c r="S104" s="13"/>
      <c r="T104" s="13"/>
      <c r="U104" s="13"/>
      <c r="V104" s="13"/>
      <c r="W104" s="13"/>
      <c r="X104" s="13"/>
      <c r="AG104"/>
      <c r="AH104"/>
    </row>
    <row r="105" spans="1:34" x14ac:dyDescent="0.2">
      <c r="A105" s="213"/>
      <c r="B105" s="228"/>
      <c r="C105" s="13"/>
      <c r="D105" s="13"/>
      <c r="E105" s="13"/>
      <c r="F105" s="13"/>
      <c r="G105" s="59"/>
      <c r="H105" s="59"/>
      <c r="I105" s="59"/>
      <c r="J105" s="59"/>
      <c r="K105" s="59"/>
      <c r="L105" s="13"/>
      <c r="M105" s="13"/>
      <c r="N105" s="13"/>
      <c r="O105" s="13"/>
      <c r="P105" s="13"/>
      <c r="Q105" s="13"/>
      <c r="R105" s="13"/>
      <c r="S105" s="13"/>
      <c r="T105" s="13"/>
      <c r="U105" s="13"/>
      <c r="V105" s="13"/>
      <c r="W105" s="13"/>
      <c r="X105" s="13"/>
      <c r="AG105"/>
      <c r="AH105"/>
    </row>
    <row r="106" spans="1:34" x14ac:dyDescent="0.2">
      <c r="A106" s="213"/>
      <c r="B106" s="228"/>
      <c r="C106" s="13"/>
      <c r="D106" s="13"/>
      <c r="E106" s="13"/>
      <c r="F106" s="13"/>
      <c r="G106" s="59"/>
      <c r="H106" s="59"/>
      <c r="I106" s="59"/>
      <c r="J106" s="59"/>
      <c r="K106" s="59"/>
      <c r="L106" s="13"/>
      <c r="M106" s="13"/>
      <c r="N106" s="13"/>
      <c r="O106" s="13"/>
      <c r="P106" s="13"/>
      <c r="Q106" s="13"/>
      <c r="R106" s="13"/>
      <c r="S106" s="13"/>
      <c r="T106" s="13"/>
      <c r="U106" s="13"/>
      <c r="V106" s="13"/>
      <c r="W106" s="13"/>
      <c r="X106" s="13"/>
      <c r="AG106"/>
      <c r="AH106"/>
    </row>
    <row r="107" spans="1:34" x14ac:dyDescent="0.2">
      <c r="A107" s="213"/>
      <c r="B107" s="228"/>
      <c r="C107" s="13"/>
      <c r="D107" s="13"/>
      <c r="E107" s="13"/>
      <c r="F107" s="13"/>
      <c r="G107" s="59"/>
      <c r="H107" s="59"/>
      <c r="I107" s="59"/>
      <c r="J107" s="59"/>
      <c r="K107" s="59"/>
      <c r="L107" s="13"/>
      <c r="M107" s="13"/>
      <c r="N107" s="13"/>
      <c r="O107" s="13"/>
      <c r="P107" s="13"/>
      <c r="Q107" s="13"/>
      <c r="R107" s="13"/>
      <c r="S107" s="13"/>
      <c r="T107" s="13"/>
      <c r="U107" s="13"/>
      <c r="V107" s="13"/>
      <c r="W107" s="13"/>
      <c r="X107" s="13"/>
      <c r="AG107"/>
      <c r="AH107"/>
    </row>
    <row r="108" spans="1:34" x14ac:dyDescent="0.2">
      <c r="A108" s="213"/>
      <c r="B108" s="228"/>
      <c r="C108" s="13"/>
      <c r="D108" s="13"/>
      <c r="E108" s="13"/>
      <c r="F108" s="13"/>
      <c r="G108" s="59"/>
      <c r="H108" s="59"/>
      <c r="I108" s="59"/>
      <c r="J108" s="59"/>
      <c r="K108" s="59"/>
      <c r="L108" s="13"/>
      <c r="M108" s="13"/>
      <c r="N108" s="13"/>
      <c r="O108" s="13"/>
      <c r="P108" s="13"/>
      <c r="Q108" s="13"/>
      <c r="R108" s="13"/>
      <c r="S108" s="13"/>
      <c r="T108" s="13"/>
      <c r="U108" s="13"/>
      <c r="V108" s="13"/>
      <c r="W108" s="13"/>
      <c r="X108" s="13"/>
      <c r="AG108"/>
      <c r="AH108"/>
    </row>
    <row r="109" spans="1:34" x14ac:dyDescent="0.2">
      <c r="A109" s="213"/>
      <c r="B109" s="228"/>
      <c r="C109" s="13"/>
      <c r="D109" s="13"/>
      <c r="E109" s="13"/>
      <c r="F109" s="13"/>
      <c r="G109" s="59"/>
      <c r="H109" s="59"/>
      <c r="I109" s="59"/>
      <c r="J109" s="59"/>
      <c r="K109" s="59"/>
      <c r="L109" s="13"/>
      <c r="M109" s="13"/>
      <c r="N109" s="13"/>
      <c r="O109" s="13"/>
      <c r="P109" s="13"/>
      <c r="Q109" s="13"/>
      <c r="R109" s="13"/>
      <c r="S109" s="13"/>
      <c r="T109" s="13"/>
      <c r="U109" s="13"/>
      <c r="V109" s="13"/>
      <c r="W109" s="13"/>
      <c r="X109" s="13"/>
      <c r="AG109"/>
      <c r="AH109"/>
    </row>
    <row r="110" spans="1:34" x14ac:dyDescent="0.2">
      <c r="A110" s="213"/>
      <c r="B110" s="228"/>
      <c r="C110" s="13"/>
      <c r="D110" s="13"/>
      <c r="E110" s="13"/>
      <c r="F110" s="13"/>
      <c r="G110" s="59"/>
      <c r="H110" s="59"/>
      <c r="I110" s="59"/>
      <c r="J110" s="59"/>
      <c r="K110" s="59"/>
      <c r="L110" s="13"/>
      <c r="M110" s="13"/>
      <c r="N110" s="13"/>
      <c r="O110" s="13"/>
      <c r="P110" s="13"/>
      <c r="Q110" s="13"/>
      <c r="R110" s="13"/>
      <c r="S110" s="13"/>
      <c r="T110" s="13"/>
      <c r="U110" s="13"/>
      <c r="V110" s="13"/>
      <c r="W110" s="13"/>
      <c r="X110" s="13"/>
      <c r="AG110"/>
      <c r="AH110"/>
    </row>
    <row r="111" spans="1:34" x14ac:dyDescent="0.2">
      <c r="A111" s="213"/>
      <c r="B111" s="228"/>
      <c r="C111" s="13"/>
      <c r="D111" s="13"/>
      <c r="E111" s="13"/>
      <c r="F111" s="13"/>
      <c r="G111" s="59"/>
      <c r="H111" s="59"/>
      <c r="I111" s="59"/>
      <c r="J111" s="59"/>
      <c r="K111" s="59"/>
      <c r="L111" s="13"/>
      <c r="M111" s="13"/>
      <c r="N111" s="13"/>
      <c r="O111" s="13"/>
      <c r="P111" s="13"/>
      <c r="Q111" s="13"/>
      <c r="R111" s="13"/>
      <c r="S111" s="13"/>
      <c r="T111" s="13"/>
      <c r="U111" s="13"/>
      <c r="V111" s="13"/>
      <c r="W111" s="13"/>
      <c r="X111" s="13"/>
      <c r="AG111"/>
      <c r="AH111"/>
    </row>
    <row r="112" spans="1:34" x14ac:dyDescent="0.2">
      <c r="A112" s="213"/>
      <c r="B112" s="228"/>
      <c r="C112" s="13"/>
      <c r="D112" s="13"/>
      <c r="E112" s="13"/>
      <c r="F112" s="13"/>
      <c r="G112" s="59"/>
      <c r="H112" s="59"/>
      <c r="I112" s="59"/>
      <c r="J112" s="59"/>
      <c r="K112" s="59"/>
      <c r="L112" s="13"/>
      <c r="M112" s="13"/>
      <c r="N112" s="13"/>
      <c r="O112" s="13"/>
      <c r="P112" s="13"/>
      <c r="Q112" s="13"/>
      <c r="R112" s="13"/>
      <c r="S112" s="13"/>
      <c r="T112" s="13"/>
      <c r="U112" s="13"/>
      <c r="V112" s="13"/>
      <c r="W112" s="13"/>
      <c r="X112" s="13"/>
      <c r="AG112"/>
      <c r="AH112"/>
    </row>
    <row r="113" spans="1:34" x14ac:dyDescent="0.2">
      <c r="A113" s="213"/>
      <c r="B113" s="228"/>
      <c r="C113" s="13"/>
      <c r="D113" s="13"/>
      <c r="E113" s="13"/>
      <c r="F113" s="13"/>
      <c r="G113" s="59"/>
      <c r="H113" s="59"/>
      <c r="I113" s="59"/>
      <c r="J113" s="59"/>
      <c r="K113" s="59"/>
      <c r="L113" s="13"/>
      <c r="M113" s="13"/>
      <c r="N113" s="13"/>
      <c r="O113" s="13"/>
      <c r="P113" s="13"/>
      <c r="Q113" s="13"/>
      <c r="R113" s="13"/>
      <c r="S113" s="13"/>
      <c r="T113" s="13"/>
      <c r="U113" s="13"/>
      <c r="V113" s="13"/>
      <c r="W113" s="13"/>
      <c r="X113" s="13"/>
      <c r="AG113"/>
      <c r="AH113"/>
    </row>
    <row r="114" spans="1:34" x14ac:dyDescent="0.2">
      <c r="A114" s="213"/>
      <c r="B114" s="228"/>
      <c r="C114" s="13"/>
      <c r="D114" s="13"/>
      <c r="E114" s="13"/>
      <c r="F114" s="13"/>
      <c r="G114" s="59"/>
      <c r="H114" s="59"/>
      <c r="I114" s="59"/>
      <c r="J114" s="59"/>
      <c r="K114" s="59"/>
      <c r="L114" s="13"/>
      <c r="M114" s="13"/>
      <c r="N114" s="13"/>
      <c r="O114" s="13"/>
      <c r="P114" s="13"/>
      <c r="Q114" s="13"/>
      <c r="R114" s="13"/>
      <c r="S114" s="13"/>
      <c r="T114" s="13"/>
      <c r="U114" s="13"/>
      <c r="V114" s="13"/>
      <c r="W114" s="13"/>
      <c r="X114" s="13"/>
      <c r="AG114"/>
      <c r="AH114"/>
    </row>
    <row r="115" spans="1:34" x14ac:dyDescent="0.2">
      <c r="A115" s="213"/>
      <c r="B115" s="228"/>
      <c r="C115" s="13"/>
      <c r="D115" s="13"/>
      <c r="E115" s="13"/>
      <c r="F115" s="13"/>
      <c r="G115" s="59"/>
      <c r="H115" s="59"/>
      <c r="I115" s="59"/>
      <c r="J115" s="59"/>
      <c r="K115" s="59"/>
      <c r="L115" s="13"/>
      <c r="M115" s="13"/>
      <c r="N115" s="13"/>
      <c r="O115" s="13"/>
      <c r="P115" s="13"/>
      <c r="Q115" s="13"/>
      <c r="R115" s="13"/>
      <c r="S115" s="13"/>
      <c r="T115" s="13"/>
      <c r="U115" s="13"/>
      <c r="V115" s="13"/>
      <c r="W115" s="13"/>
      <c r="X115" s="13"/>
      <c r="AG115"/>
      <c r="AH115"/>
    </row>
    <row r="116" spans="1:34" x14ac:dyDescent="0.2">
      <c r="A116" s="213"/>
      <c r="B116" s="228"/>
      <c r="C116" s="13"/>
      <c r="D116" s="13"/>
      <c r="E116" s="13"/>
      <c r="F116" s="13"/>
      <c r="G116" s="59"/>
      <c r="H116" s="59"/>
      <c r="I116" s="59"/>
      <c r="J116" s="59"/>
      <c r="K116" s="59"/>
      <c r="L116" s="13"/>
      <c r="M116" s="13"/>
      <c r="N116" s="13"/>
      <c r="O116" s="13"/>
      <c r="P116" s="13"/>
      <c r="Q116" s="13"/>
      <c r="R116" s="13"/>
      <c r="S116" s="13"/>
      <c r="T116" s="13"/>
      <c r="U116" s="13"/>
      <c r="V116" s="13"/>
      <c r="W116" s="13"/>
      <c r="X116" s="13"/>
      <c r="AG116"/>
      <c r="AH116"/>
    </row>
    <row r="117" spans="1:34" x14ac:dyDescent="0.2">
      <c r="A117" s="213"/>
      <c r="B117" s="228"/>
      <c r="C117" s="13"/>
      <c r="D117" s="13"/>
      <c r="E117" s="13"/>
      <c r="F117" s="13"/>
      <c r="G117" s="59"/>
      <c r="H117" s="59"/>
      <c r="I117" s="59"/>
      <c r="J117" s="59"/>
      <c r="K117" s="59"/>
      <c r="L117" s="13"/>
      <c r="M117" s="13"/>
      <c r="N117" s="13"/>
      <c r="O117" s="13"/>
      <c r="P117" s="13"/>
      <c r="Q117" s="13"/>
      <c r="R117" s="13"/>
      <c r="S117" s="13"/>
      <c r="T117" s="13"/>
      <c r="U117" s="13"/>
      <c r="V117" s="13"/>
      <c r="W117" s="13"/>
      <c r="X117" s="13"/>
      <c r="AG117"/>
      <c r="AH117"/>
    </row>
    <row r="118" spans="1:34" x14ac:dyDescent="0.2">
      <c r="A118" s="213"/>
      <c r="B118" s="228"/>
      <c r="C118" s="13"/>
      <c r="D118" s="13"/>
      <c r="E118" s="13"/>
      <c r="F118" s="13"/>
      <c r="G118" s="59"/>
      <c r="H118" s="59"/>
      <c r="I118" s="59"/>
      <c r="J118" s="59"/>
      <c r="K118" s="59"/>
      <c r="L118" s="13"/>
      <c r="M118" s="13"/>
      <c r="N118" s="13"/>
      <c r="O118" s="13"/>
      <c r="P118" s="13"/>
      <c r="Q118" s="13"/>
      <c r="R118" s="13"/>
      <c r="S118" s="13"/>
      <c r="T118" s="13"/>
      <c r="U118" s="13"/>
      <c r="V118" s="13"/>
      <c r="W118" s="13"/>
      <c r="X118" s="13"/>
      <c r="AG118"/>
      <c r="AH118"/>
    </row>
    <row r="119" spans="1:34" x14ac:dyDescent="0.2">
      <c r="A119" s="213"/>
      <c r="B119" s="228"/>
      <c r="C119" s="13"/>
      <c r="D119" s="13"/>
      <c r="E119" s="13"/>
      <c r="F119" s="13"/>
      <c r="G119" s="59"/>
      <c r="H119" s="59"/>
      <c r="I119" s="59"/>
      <c r="J119" s="59"/>
      <c r="K119" s="59"/>
      <c r="L119" s="13"/>
      <c r="M119" s="13"/>
      <c r="N119" s="13"/>
      <c r="O119" s="13"/>
      <c r="P119" s="13"/>
      <c r="Q119" s="13"/>
      <c r="R119" s="13"/>
      <c r="S119" s="13"/>
      <c r="T119" s="13"/>
      <c r="U119" s="13"/>
      <c r="V119" s="13"/>
      <c r="W119" s="13"/>
      <c r="X119" s="13"/>
      <c r="AG119"/>
      <c r="AH119"/>
    </row>
    <row r="120" spans="1:34" x14ac:dyDescent="0.2">
      <c r="A120" s="213"/>
      <c r="B120" s="228"/>
      <c r="C120" s="13"/>
      <c r="D120" s="13"/>
      <c r="E120" s="13"/>
      <c r="F120" s="13"/>
      <c r="G120" s="59"/>
      <c r="H120" s="59"/>
      <c r="I120" s="59"/>
      <c r="J120" s="59"/>
      <c r="K120" s="59"/>
      <c r="L120" s="13"/>
      <c r="M120" s="13"/>
      <c r="N120" s="13"/>
      <c r="O120" s="13"/>
      <c r="P120" s="13"/>
      <c r="Q120" s="13"/>
      <c r="R120" s="13"/>
      <c r="S120" s="13"/>
      <c r="T120" s="13"/>
      <c r="U120" s="13"/>
      <c r="V120" s="13"/>
      <c r="W120" s="13"/>
      <c r="X120" s="13"/>
      <c r="AG120"/>
      <c r="AH120"/>
    </row>
    <row r="121" spans="1:34" x14ac:dyDescent="0.2">
      <c r="A121" s="213"/>
      <c r="B121" s="228"/>
      <c r="C121" s="13"/>
      <c r="D121" s="13"/>
      <c r="E121" s="13"/>
      <c r="F121" s="13"/>
      <c r="G121" s="59"/>
      <c r="H121" s="59"/>
      <c r="I121" s="59"/>
      <c r="J121" s="59"/>
      <c r="K121" s="59"/>
      <c r="L121" s="13"/>
      <c r="M121" s="13"/>
      <c r="N121" s="13"/>
      <c r="O121" s="13"/>
      <c r="P121" s="13"/>
      <c r="Q121" s="13"/>
      <c r="R121" s="13"/>
      <c r="S121" s="13"/>
      <c r="T121" s="13"/>
      <c r="U121" s="13"/>
      <c r="V121" s="13"/>
      <c r="W121" s="13"/>
      <c r="X121" s="13"/>
      <c r="AG121"/>
      <c r="AH121"/>
    </row>
    <row r="122" spans="1:34" x14ac:dyDescent="0.2">
      <c r="A122" s="213"/>
      <c r="B122" s="228"/>
      <c r="C122" s="13"/>
      <c r="D122" s="13"/>
      <c r="E122" s="13"/>
      <c r="F122" s="13"/>
      <c r="G122" s="59"/>
      <c r="H122" s="59"/>
      <c r="I122" s="59"/>
      <c r="J122" s="59"/>
      <c r="K122" s="59"/>
      <c r="L122" s="13"/>
      <c r="M122" s="13"/>
      <c r="N122" s="13"/>
      <c r="O122" s="13"/>
      <c r="P122" s="13"/>
      <c r="Q122" s="13"/>
      <c r="R122" s="13"/>
      <c r="S122" s="13"/>
      <c r="T122" s="13"/>
      <c r="U122" s="13"/>
      <c r="V122" s="13"/>
      <c r="W122" s="13"/>
      <c r="X122" s="13"/>
      <c r="AG122"/>
      <c r="AH122"/>
    </row>
    <row r="123" spans="1:34" x14ac:dyDescent="0.2">
      <c r="A123" s="213"/>
      <c r="B123" s="228"/>
      <c r="C123" s="13"/>
      <c r="D123" s="13"/>
      <c r="E123" s="13"/>
      <c r="F123" s="13"/>
      <c r="G123" s="59"/>
      <c r="H123" s="59"/>
      <c r="I123" s="59"/>
      <c r="J123" s="59"/>
      <c r="K123" s="59"/>
      <c r="L123" s="13"/>
      <c r="M123" s="13"/>
      <c r="N123" s="13"/>
      <c r="O123" s="13"/>
      <c r="P123" s="13"/>
      <c r="Q123" s="13"/>
      <c r="R123" s="13"/>
      <c r="S123" s="13"/>
      <c r="T123" s="13"/>
      <c r="U123" s="13"/>
      <c r="V123" s="13"/>
      <c r="W123" s="13"/>
      <c r="X123" s="13"/>
      <c r="AG123"/>
      <c r="AH123"/>
    </row>
    <row r="124" spans="1:34" x14ac:dyDescent="0.2">
      <c r="A124" s="213"/>
      <c r="B124" s="228"/>
      <c r="C124" s="13"/>
      <c r="D124" s="13"/>
      <c r="E124" s="13"/>
      <c r="F124" s="13"/>
      <c r="G124" s="59"/>
      <c r="H124" s="59"/>
      <c r="I124" s="59"/>
      <c r="J124" s="59"/>
      <c r="K124" s="59"/>
      <c r="L124" s="13"/>
      <c r="M124" s="13"/>
      <c r="N124" s="13"/>
      <c r="O124" s="13"/>
      <c r="P124" s="13"/>
      <c r="Q124" s="13"/>
      <c r="R124" s="13"/>
      <c r="S124" s="13"/>
      <c r="T124" s="13"/>
      <c r="U124" s="13"/>
      <c r="V124" s="13"/>
      <c r="W124" s="13"/>
      <c r="X124" s="13"/>
      <c r="AG124"/>
      <c r="AH124"/>
    </row>
    <row r="125" spans="1:34" x14ac:dyDescent="0.2">
      <c r="A125" s="213"/>
      <c r="B125" s="228"/>
      <c r="C125" s="13"/>
      <c r="D125" s="13"/>
      <c r="E125" s="13"/>
      <c r="F125" s="13"/>
      <c r="G125" s="59"/>
      <c r="H125" s="59"/>
      <c r="I125" s="59"/>
      <c r="J125" s="59"/>
      <c r="K125" s="59"/>
      <c r="L125" s="13"/>
      <c r="M125" s="13"/>
      <c r="N125" s="13"/>
      <c r="O125" s="13"/>
      <c r="P125" s="13"/>
      <c r="Q125" s="13"/>
      <c r="R125" s="13"/>
      <c r="S125" s="13"/>
      <c r="T125" s="13"/>
      <c r="U125" s="13"/>
      <c r="V125" s="13"/>
      <c r="W125" s="13"/>
      <c r="X125" s="13"/>
      <c r="AG125"/>
      <c r="AH125"/>
    </row>
    <row r="126" spans="1:34" x14ac:dyDescent="0.2">
      <c r="A126" s="213"/>
      <c r="B126" s="228"/>
      <c r="C126" s="13"/>
      <c r="D126" s="13"/>
      <c r="E126" s="13"/>
      <c r="F126" s="13"/>
      <c r="G126" s="59"/>
      <c r="H126" s="59"/>
      <c r="I126" s="59"/>
      <c r="J126" s="59"/>
      <c r="K126" s="59"/>
      <c r="L126" s="13"/>
      <c r="M126" s="13"/>
      <c r="N126" s="13"/>
      <c r="O126" s="13"/>
      <c r="P126" s="13"/>
      <c r="Q126" s="13"/>
      <c r="R126" s="13"/>
      <c r="S126" s="13"/>
      <c r="T126" s="13"/>
      <c r="U126" s="13"/>
      <c r="V126" s="13"/>
      <c r="W126" s="13"/>
      <c r="X126" s="13"/>
      <c r="AG126"/>
      <c r="AH126"/>
    </row>
    <row r="127" spans="1:34" x14ac:dyDescent="0.2">
      <c r="A127" s="213"/>
      <c r="B127" s="228"/>
      <c r="C127" s="13"/>
      <c r="D127" s="13"/>
      <c r="E127" s="13"/>
      <c r="F127" s="13"/>
      <c r="G127" s="59"/>
      <c r="H127" s="59"/>
      <c r="I127" s="59"/>
      <c r="J127" s="59"/>
      <c r="K127" s="59"/>
      <c r="L127" s="13"/>
      <c r="M127" s="13"/>
      <c r="N127" s="13"/>
      <c r="O127" s="13"/>
      <c r="P127" s="13"/>
      <c r="Q127" s="13"/>
      <c r="R127" s="13"/>
      <c r="S127" s="13"/>
      <c r="T127" s="13"/>
      <c r="U127" s="13"/>
      <c r="V127" s="13"/>
      <c r="W127" s="13"/>
      <c r="X127" s="13"/>
      <c r="AG127"/>
      <c r="AH127"/>
    </row>
    <row r="128" spans="1:34" x14ac:dyDescent="0.2">
      <c r="A128" s="213"/>
      <c r="B128" s="228"/>
      <c r="C128" s="13"/>
      <c r="D128" s="13"/>
      <c r="E128" s="13"/>
      <c r="F128" s="13"/>
      <c r="G128" s="59"/>
      <c r="H128" s="59"/>
      <c r="I128" s="59"/>
      <c r="J128" s="59"/>
      <c r="K128" s="59"/>
      <c r="L128" s="13"/>
      <c r="M128" s="13"/>
      <c r="N128" s="13"/>
      <c r="O128" s="13"/>
      <c r="P128" s="13"/>
      <c r="Q128" s="13"/>
      <c r="R128" s="13"/>
      <c r="S128" s="13"/>
      <c r="T128" s="13"/>
      <c r="U128" s="13"/>
      <c r="V128" s="13"/>
      <c r="W128" s="13"/>
      <c r="X128" s="13"/>
      <c r="AG128"/>
      <c r="AH128"/>
    </row>
    <row r="129" spans="1:34" x14ac:dyDescent="0.2">
      <c r="A129" s="213"/>
      <c r="B129" s="228"/>
      <c r="C129" s="13"/>
      <c r="D129" s="13"/>
      <c r="E129" s="13"/>
      <c r="F129" s="13"/>
      <c r="G129" s="59"/>
      <c r="H129" s="59"/>
      <c r="I129" s="59"/>
      <c r="J129" s="59"/>
      <c r="K129" s="59"/>
      <c r="L129" s="13"/>
      <c r="M129" s="13"/>
      <c r="N129" s="13"/>
      <c r="O129" s="13"/>
      <c r="P129" s="13"/>
      <c r="Q129" s="13"/>
      <c r="R129" s="13"/>
      <c r="S129" s="13"/>
      <c r="T129" s="13"/>
      <c r="U129" s="13"/>
      <c r="V129" s="13"/>
      <c r="W129" s="13"/>
      <c r="X129" s="13"/>
      <c r="AG129"/>
      <c r="AH129"/>
    </row>
    <row r="130" spans="1:34" x14ac:dyDescent="0.2">
      <c r="A130" s="213"/>
      <c r="B130" s="228"/>
      <c r="C130" s="13"/>
      <c r="D130" s="13"/>
      <c r="E130" s="13"/>
      <c r="F130" s="13"/>
      <c r="G130" s="59"/>
      <c r="H130" s="59"/>
      <c r="I130" s="59"/>
      <c r="J130" s="59"/>
      <c r="K130" s="59"/>
      <c r="L130" s="13"/>
      <c r="M130" s="13"/>
      <c r="N130" s="13"/>
      <c r="O130" s="13"/>
      <c r="P130" s="13"/>
      <c r="Q130" s="13"/>
      <c r="R130" s="13"/>
      <c r="S130" s="13"/>
      <c r="T130" s="13"/>
      <c r="U130" s="13"/>
      <c r="V130" s="13"/>
      <c r="W130" s="13"/>
      <c r="X130" s="13"/>
      <c r="AG130"/>
      <c r="AH130"/>
    </row>
    <row r="131" spans="1:34" x14ac:dyDescent="0.2">
      <c r="A131" s="213"/>
      <c r="B131" s="228"/>
      <c r="C131" s="13"/>
      <c r="D131" s="13"/>
      <c r="E131" s="13"/>
      <c r="F131" s="13"/>
      <c r="G131" s="59"/>
      <c r="H131" s="59"/>
      <c r="I131" s="59"/>
      <c r="J131" s="59"/>
      <c r="K131" s="59"/>
      <c r="L131" s="13"/>
      <c r="M131" s="13"/>
      <c r="N131" s="13"/>
      <c r="O131" s="13"/>
      <c r="P131" s="13"/>
      <c r="Q131" s="13"/>
      <c r="R131" s="13"/>
      <c r="S131" s="13"/>
      <c r="T131" s="13"/>
      <c r="U131" s="13"/>
      <c r="V131" s="13"/>
      <c r="W131" s="13"/>
      <c r="X131" s="13"/>
      <c r="AG131"/>
      <c r="AH131"/>
    </row>
    <row r="132" spans="1:34" x14ac:dyDescent="0.2">
      <c r="A132" s="213"/>
      <c r="B132" s="228"/>
      <c r="C132" s="13"/>
      <c r="D132" s="13"/>
      <c r="E132" s="13"/>
      <c r="F132" s="13"/>
      <c r="G132" s="59"/>
      <c r="H132" s="59"/>
      <c r="I132" s="59"/>
      <c r="J132" s="59"/>
      <c r="K132" s="59"/>
      <c r="L132" s="13"/>
      <c r="M132" s="13"/>
      <c r="N132" s="13"/>
      <c r="O132" s="13"/>
      <c r="P132" s="13"/>
      <c r="Q132" s="13"/>
      <c r="R132" s="13"/>
      <c r="S132" s="13"/>
      <c r="T132" s="13"/>
      <c r="U132" s="13"/>
      <c r="V132" s="13"/>
      <c r="W132" s="13"/>
      <c r="X132" s="13"/>
      <c r="AG132"/>
      <c r="AH132"/>
    </row>
    <row r="133" spans="1:34" x14ac:dyDescent="0.2">
      <c r="A133" s="213"/>
      <c r="B133" s="228"/>
      <c r="C133" s="13"/>
      <c r="D133" s="13"/>
      <c r="E133" s="13"/>
      <c r="F133" s="13"/>
      <c r="G133" s="59"/>
      <c r="H133" s="59"/>
      <c r="I133" s="59"/>
      <c r="J133" s="59"/>
      <c r="K133" s="59"/>
      <c r="L133" s="13"/>
      <c r="M133" s="13"/>
      <c r="N133" s="13"/>
      <c r="O133" s="13"/>
      <c r="P133" s="13"/>
      <c r="Q133" s="13"/>
      <c r="R133" s="13"/>
      <c r="S133" s="13"/>
      <c r="T133" s="13"/>
      <c r="U133" s="13"/>
      <c r="V133" s="13"/>
      <c r="W133" s="13"/>
      <c r="X133" s="13"/>
      <c r="AG133"/>
      <c r="AH133"/>
    </row>
    <row r="134" spans="1:34" x14ac:dyDescent="0.2">
      <c r="A134" s="213"/>
      <c r="B134" s="228"/>
      <c r="C134" s="13"/>
      <c r="D134" s="13"/>
      <c r="E134" s="13"/>
      <c r="F134" s="13"/>
      <c r="G134" s="59"/>
      <c r="H134" s="59"/>
      <c r="I134" s="59"/>
      <c r="J134" s="59"/>
      <c r="K134" s="59"/>
      <c r="L134" s="13"/>
      <c r="M134" s="13"/>
      <c r="N134" s="13"/>
      <c r="O134" s="13"/>
      <c r="P134" s="13"/>
      <c r="Q134" s="13"/>
      <c r="R134" s="13"/>
      <c r="S134" s="13"/>
      <c r="T134" s="13"/>
      <c r="U134" s="13"/>
      <c r="V134" s="13"/>
      <c r="W134" s="13"/>
      <c r="X134" s="13"/>
      <c r="AG134"/>
      <c r="AH134"/>
    </row>
    <row r="135" spans="1:34" x14ac:dyDescent="0.2">
      <c r="A135" s="213"/>
      <c r="B135" s="228"/>
      <c r="C135" s="13"/>
      <c r="D135" s="13"/>
      <c r="E135" s="13"/>
      <c r="F135" s="13"/>
      <c r="G135" s="59"/>
      <c r="H135" s="59"/>
      <c r="I135" s="59"/>
      <c r="J135" s="59"/>
      <c r="K135" s="59"/>
      <c r="L135" s="13"/>
      <c r="M135" s="13"/>
      <c r="N135" s="13"/>
      <c r="O135" s="13"/>
      <c r="P135" s="13"/>
      <c r="Q135" s="13"/>
      <c r="R135" s="13"/>
      <c r="S135" s="13"/>
      <c r="T135" s="13"/>
      <c r="U135" s="13"/>
      <c r="V135" s="13"/>
      <c r="W135" s="13"/>
      <c r="X135" s="13"/>
      <c r="AG135"/>
      <c r="AH135"/>
    </row>
    <row r="136" spans="1:34" x14ac:dyDescent="0.2">
      <c r="A136" s="213"/>
      <c r="B136" s="228"/>
      <c r="C136" s="13"/>
      <c r="D136" s="13"/>
      <c r="E136" s="13"/>
      <c r="F136" s="13"/>
      <c r="G136" s="59"/>
      <c r="H136" s="59"/>
      <c r="I136" s="59"/>
      <c r="J136" s="59"/>
      <c r="K136" s="59"/>
      <c r="L136" s="13"/>
      <c r="M136" s="13"/>
      <c r="N136" s="13"/>
      <c r="O136" s="13"/>
      <c r="P136" s="13"/>
      <c r="Q136" s="13"/>
      <c r="R136" s="13"/>
      <c r="S136" s="13"/>
      <c r="T136" s="13"/>
      <c r="U136" s="13"/>
      <c r="V136" s="13"/>
      <c r="W136" s="13"/>
      <c r="X136" s="13"/>
      <c r="AG136"/>
      <c r="AH136"/>
    </row>
    <row r="137" spans="1:34" x14ac:dyDescent="0.2">
      <c r="A137" s="213"/>
      <c r="B137" s="228"/>
      <c r="C137" s="13"/>
      <c r="D137" s="13"/>
      <c r="E137" s="13"/>
      <c r="F137" s="13"/>
      <c r="G137" s="59"/>
      <c r="H137" s="59"/>
      <c r="I137" s="59"/>
      <c r="J137" s="59"/>
      <c r="K137" s="59"/>
      <c r="L137" s="13"/>
      <c r="M137" s="13"/>
      <c r="N137" s="13"/>
      <c r="O137" s="13"/>
      <c r="P137" s="13"/>
      <c r="Q137" s="13"/>
      <c r="R137" s="13"/>
      <c r="S137" s="13"/>
      <c r="T137" s="13"/>
      <c r="U137" s="13"/>
      <c r="V137" s="13"/>
      <c r="W137" s="13"/>
      <c r="X137" s="13"/>
      <c r="AG137"/>
      <c r="AH137"/>
    </row>
    <row r="138" spans="1:34" x14ac:dyDescent="0.2">
      <c r="A138" s="213"/>
      <c r="B138" s="228"/>
      <c r="C138" s="13"/>
      <c r="D138" s="13"/>
      <c r="E138" s="13"/>
      <c r="F138" s="13"/>
      <c r="G138" s="59"/>
      <c r="H138" s="59"/>
      <c r="I138" s="59"/>
      <c r="J138" s="59"/>
      <c r="K138" s="59"/>
      <c r="L138" s="13"/>
      <c r="M138" s="13"/>
      <c r="N138" s="13"/>
      <c r="O138" s="13"/>
      <c r="P138" s="13"/>
      <c r="Q138" s="13"/>
      <c r="R138" s="13"/>
      <c r="S138" s="13"/>
      <c r="T138" s="13"/>
      <c r="U138" s="13"/>
      <c r="V138" s="13"/>
      <c r="W138" s="13"/>
      <c r="X138" s="13"/>
      <c r="AG138"/>
      <c r="AH138"/>
    </row>
    <row r="139" spans="1:34" x14ac:dyDescent="0.2">
      <c r="A139" s="213"/>
      <c r="B139" s="228"/>
      <c r="C139" s="13"/>
      <c r="D139" s="13"/>
      <c r="E139" s="13"/>
      <c r="F139" s="13"/>
      <c r="G139" s="59"/>
      <c r="H139" s="59"/>
      <c r="I139" s="59"/>
      <c r="J139" s="59"/>
      <c r="K139" s="59"/>
      <c r="L139" s="13"/>
      <c r="M139" s="13"/>
      <c r="N139" s="13"/>
      <c r="O139" s="13"/>
      <c r="P139" s="13"/>
      <c r="Q139" s="13"/>
      <c r="R139" s="13"/>
      <c r="S139" s="13"/>
      <c r="T139" s="13"/>
      <c r="U139" s="13"/>
      <c r="V139" s="13"/>
      <c r="W139" s="13"/>
      <c r="X139" s="13"/>
      <c r="AG139"/>
      <c r="AH139"/>
    </row>
    <row r="140" spans="1:34" x14ac:dyDescent="0.2">
      <c r="A140" s="213"/>
      <c r="B140" s="228"/>
      <c r="C140" s="13"/>
      <c r="D140" s="13"/>
      <c r="E140" s="13"/>
      <c r="F140" s="13"/>
      <c r="G140" s="59"/>
      <c r="H140" s="59"/>
      <c r="I140" s="59"/>
      <c r="J140" s="59"/>
      <c r="K140" s="59"/>
      <c r="L140" s="13"/>
      <c r="M140" s="13"/>
      <c r="N140" s="13"/>
      <c r="O140" s="13"/>
      <c r="P140" s="13"/>
      <c r="Q140" s="13"/>
      <c r="R140" s="13"/>
      <c r="S140" s="13"/>
      <c r="T140" s="13"/>
      <c r="U140" s="13"/>
      <c r="V140" s="13"/>
      <c r="W140" s="13"/>
      <c r="X140" s="13"/>
      <c r="AG140"/>
      <c r="AH140"/>
    </row>
    <row r="141" spans="1:34" x14ac:dyDescent="0.2">
      <c r="A141" s="213"/>
      <c r="B141" s="228"/>
      <c r="C141" s="13"/>
      <c r="D141" s="13"/>
      <c r="E141" s="13"/>
      <c r="F141" s="13"/>
      <c r="G141" s="59"/>
      <c r="H141" s="59"/>
      <c r="I141" s="59"/>
      <c r="J141" s="59"/>
      <c r="K141" s="59"/>
      <c r="L141" s="13"/>
      <c r="M141" s="13"/>
      <c r="N141" s="13"/>
      <c r="O141" s="13"/>
      <c r="P141" s="13"/>
      <c r="Q141" s="13"/>
      <c r="R141" s="13"/>
      <c r="S141" s="13"/>
      <c r="T141" s="13"/>
      <c r="U141" s="13"/>
      <c r="V141" s="13"/>
      <c r="W141" s="13"/>
      <c r="X141" s="13"/>
      <c r="AG141"/>
      <c r="AH141"/>
    </row>
    <row r="142" spans="1:34" x14ac:dyDescent="0.2">
      <c r="A142" s="213"/>
      <c r="B142" s="228"/>
      <c r="C142" s="13"/>
      <c r="D142" s="13"/>
      <c r="E142" s="13"/>
      <c r="F142" s="13"/>
      <c r="G142" s="59"/>
      <c r="H142" s="59"/>
      <c r="I142" s="59"/>
      <c r="J142" s="59"/>
      <c r="K142" s="59"/>
      <c r="L142" s="13"/>
      <c r="M142" s="13"/>
      <c r="N142" s="13"/>
      <c r="O142" s="13"/>
      <c r="P142" s="13"/>
      <c r="Q142" s="13"/>
      <c r="R142" s="13"/>
      <c r="S142" s="13"/>
      <c r="T142" s="13"/>
      <c r="U142" s="13"/>
      <c r="V142" s="13"/>
      <c r="W142" s="13"/>
      <c r="X142" s="13"/>
      <c r="AG142"/>
      <c r="AH142"/>
    </row>
    <row r="143" spans="1:34" x14ac:dyDescent="0.2">
      <c r="A143" s="213"/>
      <c r="B143" s="228"/>
      <c r="C143" s="13"/>
      <c r="D143" s="13"/>
      <c r="E143" s="13"/>
      <c r="F143" s="13"/>
      <c r="G143" s="59"/>
      <c r="H143" s="59"/>
      <c r="I143" s="59"/>
      <c r="J143" s="59"/>
      <c r="K143" s="59"/>
      <c r="L143" s="13"/>
      <c r="M143" s="13"/>
      <c r="N143" s="13"/>
      <c r="O143" s="13"/>
      <c r="P143" s="13"/>
      <c r="Q143" s="13"/>
      <c r="R143" s="13"/>
      <c r="S143" s="13"/>
      <c r="T143" s="13"/>
      <c r="U143" s="13"/>
      <c r="V143" s="13"/>
      <c r="W143" s="13"/>
      <c r="X143" s="13"/>
      <c r="AG143"/>
      <c r="AH143"/>
    </row>
    <row r="144" spans="1:34" x14ac:dyDescent="0.2">
      <c r="A144" s="213"/>
      <c r="B144" s="228"/>
      <c r="C144" s="13"/>
      <c r="D144" s="13"/>
      <c r="E144" s="13"/>
      <c r="F144" s="13"/>
      <c r="G144" s="59"/>
      <c r="H144" s="59"/>
      <c r="I144" s="59"/>
      <c r="J144" s="59"/>
      <c r="K144" s="59"/>
      <c r="L144" s="13"/>
      <c r="M144" s="13"/>
      <c r="N144" s="13"/>
      <c r="O144" s="13"/>
      <c r="P144" s="13"/>
      <c r="Q144" s="13"/>
      <c r="R144" s="13"/>
      <c r="S144" s="13"/>
      <c r="T144" s="13"/>
      <c r="U144" s="13"/>
      <c r="V144" s="13"/>
      <c r="W144" s="13"/>
      <c r="X144" s="13"/>
      <c r="AG144"/>
      <c r="AH144"/>
    </row>
    <row r="145" spans="1:34" x14ac:dyDescent="0.2">
      <c r="A145" s="213"/>
      <c r="B145" s="228"/>
      <c r="C145" s="13"/>
      <c r="D145" s="13"/>
      <c r="E145" s="13"/>
      <c r="F145" s="13"/>
      <c r="G145" s="59"/>
      <c r="H145" s="59"/>
      <c r="I145" s="59"/>
      <c r="J145" s="59"/>
      <c r="K145" s="59"/>
      <c r="L145" s="13"/>
      <c r="M145" s="13"/>
      <c r="N145" s="13"/>
      <c r="O145" s="13"/>
      <c r="P145" s="13"/>
      <c r="Q145" s="13"/>
      <c r="R145" s="13"/>
      <c r="S145" s="13"/>
      <c r="T145" s="13"/>
      <c r="U145" s="13"/>
      <c r="V145" s="13"/>
      <c r="W145" s="13"/>
      <c r="X145" s="13"/>
      <c r="AG145"/>
      <c r="AH145"/>
    </row>
    <row r="146" spans="1:34" x14ac:dyDescent="0.2">
      <c r="A146" s="213"/>
      <c r="B146" s="228"/>
      <c r="C146" s="13"/>
      <c r="D146" s="13"/>
      <c r="E146" s="13"/>
      <c r="F146" s="13"/>
      <c r="G146" s="59"/>
      <c r="H146" s="59"/>
      <c r="I146" s="59"/>
      <c r="J146" s="59"/>
      <c r="K146" s="59"/>
      <c r="L146" s="13"/>
      <c r="M146" s="13"/>
      <c r="N146" s="13"/>
      <c r="O146" s="13"/>
      <c r="P146" s="13"/>
      <c r="Q146" s="13"/>
      <c r="R146" s="13"/>
      <c r="S146" s="13"/>
      <c r="T146" s="13"/>
      <c r="U146" s="13"/>
      <c r="V146" s="13"/>
      <c r="W146" s="13"/>
      <c r="X146" s="13"/>
      <c r="AG146"/>
      <c r="AH146"/>
    </row>
    <row r="147" spans="1:34" x14ac:dyDescent="0.2">
      <c r="A147" s="213"/>
      <c r="B147" s="228"/>
      <c r="C147" s="13"/>
      <c r="D147" s="13"/>
      <c r="E147" s="13"/>
      <c r="F147" s="13"/>
      <c r="G147" s="59"/>
      <c r="H147" s="59"/>
      <c r="I147" s="59"/>
      <c r="J147" s="59"/>
      <c r="K147" s="59"/>
      <c r="L147" s="13"/>
      <c r="M147" s="13"/>
      <c r="N147" s="13"/>
      <c r="O147" s="13"/>
      <c r="P147" s="13"/>
      <c r="Q147" s="13"/>
      <c r="R147" s="13"/>
      <c r="S147" s="13"/>
      <c r="T147" s="13"/>
      <c r="U147" s="13"/>
      <c r="V147" s="13"/>
      <c r="W147" s="13"/>
      <c r="X147" s="13"/>
      <c r="AG147"/>
      <c r="AH147"/>
    </row>
    <row r="148" spans="1:34" x14ac:dyDescent="0.2">
      <c r="A148" s="213"/>
      <c r="B148" s="228"/>
      <c r="C148" s="13"/>
      <c r="D148" s="13"/>
      <c r="E148" s="13"/>
      <c r="F148" s="13"/>
      <c r="G148" s="59"/>
      <c r="H148" s="59"/>
      <c r="I148" s="59"/>
      <c r="J148" s="59"/>
      <c r="K148" s="59"/>
      <c r="L148" s="13"/>
      <c r="M148" s="13"/>
      <c r="N148" s="13"/>
      <c r="O148" s="13"/>
      <c r="P148" s="13"/>
      <c r="Q148" s="13"/>
      <c r="R148" s="13"/>
      <c r="S148" s="13"/>
      <c r="T148" s="13"/>
      <c r="U148" s="13"/>
      <c r="V148" s="13"/>
      <c r="W148" s="13"/>
      <c r="X148" s="13"/>
      <c r="AG148"/>
      <c r="AH148"/>
    </row>
    <row r="149" spans="1:34" x14ac:dyDescent="0.2">
      <c r="A149" s="213"/>
      <c r="B149" s="228"/>
      <c r="C149" s="13"/>
      <c r="D149" s="13"/>
      <c r="E149" s="13"/>
      <c r="F149" s="13"/>
      <c r="G149" s="59"/>
      <c r="H149" s="59"/>
      <c r="I149" s="59"/>
      <c r="J149" s="59"/>
      <c r="K149" s="59"/>
      <c r="L149" s="13"/>
      <c r="M149" s="13"/>
      <c r="N149" s="13"/>
      <c r="O149" s="13"/>
      <c r="P149" s="13"/>
      <c r="Q149" s="13"/>
      <c r="R149" s="13"/>
      <c r="S149" s="13"/>
      <c r="T149" s="13"/>
      <c r="U149" s="13"/>
      <c r="V149" s="13"/>
      <c r="W149" s="13"/>
      <c r="X149" s="13"/>
      <c r="AG149"/>
      <c r="AH149"/>
    </row>
    <row r="150" spans="1:34" x14ac:dyDescent="0.2">
      <c r="A150" s="213"/>
      <c r="B150" s="228"/>
      <c r="C150" s="13"/>
      <c r="D150" s="13"/>
      <c r="E150" s="13"/>
      <c r="F150" s="13"/>
      <c r="G150" s="59"/>
      <c r="H150" s="59"/>
      <c r="I150" s="59"/>
      <c r="J150" s="59"/>
      <c r="K150" s="59"/>
      <c r="L150" s="13"/>
      <c r="M150" s="13"/>
      <c r="N150" s="13"/>
      <c r="O150" s="13"/>
      <c r="P150" s="13"/>
      <c r="Q150" s="13"/>
      <c r="R150" s="13"/>
      <c r="S150" s="13"/>
      <c r="T150" s="13"/>
      <c r="U150" s="13"/>
      <c r="V150" s="13"/>
      <c r="W150" s="13"/>
      <c r="X150" s="13"/>
      <c r="AG150"/>
      <c r="AH150"/>
    </row>
    <row r="151" spans="1:34" x14ac:dyDescent="0.2">
      <c r="A151" s="213"/>
      <c r="B151" s="228"/>
      <c r="C151" s="13"/>
      <c r="D151" s="13"/>
      <c r="E151" s="13"/>
      <c r="F151" s="13"/>
      <c r="G151" s="59"/>
      <c r="H151" s="59"/>
      <c r="I151" s="59"/>
      <c r="J151" s="59"/>
      <c r="K151" s="59"/>
      <c r="L151" s="13"/>
      <c r="M151" s="13"/>
      <c r="N151" s="13"/>
      <c r="O151" s="13"/>
      <c r="P151" s="13"/>
      <c r="Q151" s="13"/>
      <c r="R151" s="13"/>
      <c r="S151" s="13"/>
      <c r="T151" s="13"/>
      <c r="U151" s="13"/>
      <c r="V151" s="13"/>
      <c r="W151" s="13"/>
      <c r="X151" s="13"/>
      <c r="AG151"/>
      <c r="AH151"/>
    </row>
    <row r="152" spans="1:34" x14ac:dyDescent="0.2">
      <c r="A152" s="213"/>
      <c r="B152" s="228"/>
      <c r="C152" s="13"/>
      <c r="D152" s="13"/>
      <c r="E152" s="13"/>
      <c r="F152" s="13"/>
      <c r="G152" s="59"/>
      <c r="H152" s="59"/>
      <c r="I152" s="59"/>
      <c r="J152" s="59"/>
      <c r="K152" s="59"/>
      <c r="L152" s="13"/>
      <c r="M152" s="13"/>
      <c r="N152" s="13"/>
      <c r="O152" s="13"/>
      <c r="P152" s="13"/>
      <c r="Q152" s="13"/>
      <c r="R152" s="13"/>
      <c r="S152" s="13"/>
      <c r="T152" s="13"/>
      <c r="U152" s="13"/>
      <c r="V152" s="13"/>
      <c r="W152" s="13"/>
      <c r="X152" s="13"/>
      <c r="AG152"/>
      <c r="AH152"/>
    </row>
    <row r="153" spans="1:34" x14ac:dyDescent="0.2">
      <c r="A153" s="213"/>
      <c r="B153" s="228"/>
      <c r="C153" s="13"/>
      <c r="D153" s="13"/>
      <c r="E153" s="13"/>
      <c r="F153" s="13"/>
      <c r="G153" s="59"/>
      <c r="H153" s="59"/>
      <c r="I153" s="59"/>
      <c r="J153" s="59"/>
      <c r="K153" s="59"/>
      <c r="L153" s="13"/>
      <c r="M153" s="13"/>
      <c r="N153" s="13"/>
      <c r="O153" s="13"/>
      <c r="P153" s="13"/>
      <c r="Q153" s="13"/>
      <c r="R153" s="13"/>
      <c r="S153" s="13"/>
      <c r="T153" s="13"/>
      <c r="U153" s="13"/>
      <c r="V153" s="13"/>
      <c r="W153" s="13"/>
      <c r="X153" s="13"/>
      <c r="AG153"/>
      <c r="AH153"/>
    </row>
    <row r="154" spans="1:34" x14ac:dyDescent="0.2">
      <c r="A154" s="213"/>
      <c r="B154" s="228"/>
      <c r="C154" s="13"/>
      <c r="D154" s="13"/>
      <c r="E154" s="13"/>
      <c r="F154" s="13"/>
      <c r="G154" s="59"/>
      <c r="H154" s="59"/>
      <c r="I154" s="59"/>
      <c r="J154" s="59"/>
      <c r="K154" s="59"/>
      <c r="L154" s="13"/>
      <c r="M154" s="13"/>
      <c r="N154" s="13"/>
      <c r="O154" s="13"/>
      <c r="P154" s="13"/>
      <c r="Q154" s="13"/>
      <c r="R154" s="13"/>
      <c r="S154" s="13"/>
      <c r="T154" s="13"/>
      <c r="U154" s="13"/>
      <c r="V154" s="13"/>
      <c r="W154" s="13"/>
      <c r="X154" s="13"/>
      <c r="AG154"/>
      <c r="AH154"/>
    </row>
    <row r="155" spans="1:34" x14ac:dyDescent="0.2">
      <c r="A155" s="213"/>
      <c r="B155" s="228"/>
      <c r="C155" s="13"/>
      <c r="D155" s="13"/>
      <c r="E155" s="13"/>
      <c r="F155" s="13"/>
      <c r="G155" s="59"/>
      <c r="H155" s="59"/>
      <c r="I155" s="59"/>
      <c r="J155" s="59"/>
      <c r="K155" s="59"/>
      <c r="L155" s="13"/>
      <c r="M155" s="13"/>
      <c r="N155" s="13"/>
      <c r="O155" s="13"/>
      <c r="P155" s="13"/>
      <c r="Q155" s="13"/>
      <c r="R155" s="13"/>
      <c r="S155" s="13"/>
      <c r="T155" s="13"/>
      <c r="U155" s="13"/>
      <c r="V155" s="13"/>
      <c r="W155" s="13"/>
      <c r="X155" s="13"/>
      <c r="AG155"/>
      <c r="AH155"/>
    </row>
    <row r="156" spans="1:34" x14ac:dyDescent="0.2">
      <c r="A156" s="213"/>
      <c r="B156" s="228"/>
      <c r="C156" s="13"/>
      <c r="D156" s="13"/>
      <c r="E156" s="13"/>
      <c r="F156" s="13"/>
      <c r="G156" s="59"/>
      <c r="H156" s="59"/>
      <c r="I156" s="59"/>
      <c r="J156" s="59"/>
      <c r="K156" s="59"/>
      <c r="L156" s="13"/>
      <c r="M156" s="13"/>
      <c r="N156" s="13"/>
      <c r="O156" s="13"/>
      <c r="P156" s="13"/>
      <c r="Q156" s="13"/>
      <c r="R156" s="13"/>
      <c r="S156" s="13"/>
      <c r="T156" s="13"/>
      <c r="U156" s="13"/>
      <c r="V156" s="13"/>
      <c r="W156" s="13"/>
      <c r="X156" s="13"/>
      <c r="AG156"/>
      <c r="AH156"/>
    </row>
    <row r="157" spans="1:34" x14ac:dyDescent="0.2">
      <c r="A157" s="213"/>
      <c r="B157" s="228"/>
      <c r="C157" s="13"/>
      <c r="D157" s="13"/>
      <c r="E157" s="13"/>
      <c r="F157" s="13"/>
      <c r="G157" s="59"/>
      <c r="H157" s="59"/>
      <c r="I157" s="59"/>
      <c r="J157" s="59"/>
      <c r="K157" s="59"/>
      <c r="L157" s="13"/>
      <c r="M157" s="13"/>
      <c r="N157" s="13"/>
      <c r="O157" s="13"/>
      <c r="P157" s="13"/>
      <c r="Q157" s="13"/>
      <c r="R157" s="13"/>
      <c r="S157" s="13"/>
      <c r="T157" s="13"/>
      <c r="U157" s="13"/>
      <c r="V157" s="13"/>
      <c r="W157" s="13"/>
      <c r="X157" s="13"/>
      <c r="AG157"/>
      <c r="AH157"/>
    </row>
    <row r="158" spans="1:34" x14ac:dyDescent="0.2">
      <c r="A158" s="213"/>
      <c r="B158" s="228"/>
      <c r="C158" s="13"/>
      <c r="D158" s="13"/>
      <c r="E158" s="13"/>
      <c r="F158" s="13"/>
      <c r="G158" s="59"/>
      <c r="H158" s="59"/>
      <c r="I158" s="59"/>
      <c r="J158" s="59"/>
      <c r="K158" s="59"/>
      <c r="L158" s="13"/>
      <c r="M158" s="13"/>
      <c r="N158" s="13"/>
      <c r="O158" s="13"/>
      <c r="P158" s="13"/>
      <c r="Q158" s="13"/>
      <c r="R158" s="13"/>
      <c r="S158" s="13"/>
      <c r="T158" s="13"/>
      <c r="U158" s="13"/>
      <c r="V158" s="13"/>
      <c r="W158" s="13"/>
      <c r="X158" s="13"/>
      <c r="AG158"/>
      <c r="AH158"/>
    </row>
    <row r="159" spans="1:34" x14ac:dyDescent="0.2">
      <c r="A159" s="213"/>
      <c r="B159" s="228"/>
      <c r="C159" s="13"/>
      <c r="D159" s="13"/>
      <c r="E159" s="13"/>
      <c r="F159" s="13"/>
      <c r="G159" s="59"/>
      <c r="H159" s="59"/>
      <c r="I159" s="59"/>
      <c r="J159" s="59"/>
      <c r="K159" s="59"/>
      <c r="L159" s="13"/>
      <c r="M159" s="13"/>
      <c r="N159" s="13"/>
      <c r="O159" s="13"/>
      <c r="P159" s="13"/>
      <c r="Q159" s="13"/>
      <c r="R159" s="13"/>
      <c r="S159" s="13"/>
      <c r="T159" s="13"/>
      <c r="U159" s="13"/>
      <c r="V159" s="13"/>
      <c r="W159" s="13"/>
      <c r="X159" s="13"/>
      <c r="AG159"/>
      <c r="AH159"/>
    </row>
    <row r="160" spans="1:34" x14ac:dyDescent="0.2">
      <c r="A160" s="213"/>
      <c r="B160" s="228"/>
      <c r="C160" s="13"/>
      <c r="D160" s="13"/>
      <c r="E160" s="13"/>
      <c r="F160" s="13"/>
      <c r="G160" s="59"/>
      <c r="H160" s="59"/>
      <c r="I160" s="59"/>
      <c r="J160" s="59"/>
      <c r="K160" s="59"/>
      <c r="L160" s="13"/>
      <c r="M160" s="13"/>
      <c r="N160" s="13"/>
      <c r="O160" s="13"/>
      <c r="P160" s="13"/>
      <c r="Q160" s="13"/>
      <c r="R160" s="13"/>
      <c r="S160" s="13"/>
      <c r="T160" s="13"/>
      <c r="U160" s="13"/>
      <c r="V160" s="13"/>
      <c r="W160" s="13"/>
      <c r="X160" s="13"/>
      <c r="AG160"/>
      <c r="AH160"/>
    </row>
    <row r="161" spans="1:34" x14ac:dyDescent="0.2">
      <c r="A161" s="213"/>
      <c r="B161" s="228"/>
      <c r="C161" s="13"/>
      <c r="D161" s="13"/>
      <c r="E161" s="13"/>
      <c r="F161" s="13"/>
      <c r="G161" s="59"/>
      <c r="H161" s="59"/>
      <c r="I161" s="59"/>
      <c r="J161" s="59"/>
      <c r="K161" s="59"/>
      <c r="L161" s="13"/>
      <c r="M161" s="13"/>
      <c r="N161" s="13"/>
      <c r="O161" s="13"/>
      <c r="P161" s="13"/>
      <c r="Q161" s="13"/>
      <c r="R161" s="13"/>
      <c r="S161" s="13"/>
      <c r="T161" s="13"/>
      <c r="U161" s="13"/>
      <c r="V161" s="13"/>
      <c r="W161" s="13"/>
      <c r="X161" s="13"/>
      <c r="AG161"/>
      <c r="AH161"/>
    </row>
    <row r="162" spans="1:34" x14ac:dyDescent="0.2">
      <c r="A162" s="213"/>
      <c r="B162" s="228"/>
      <c r="C162" s="13"/>
      <c r="D162" s="13"/>
      <c r="E162" s="13"/>
      <c r="F162" s="13"/>
      <c r="G162" s="59"/>
      <c r="H162" s="59"/>
      <c r="I162" s="59"/>
      <c r="J162" s="59"/>
      <c r="K162" s="59"/>
      <c r="L162" s="13"/>
      <c r="M162" s="13"/>
      <c r="N162" s="13"/>
      <c r="O162" s="13"/>
      <c r="P162" s="13"/>
      <c r="Q162" s="13"/>
      <c r="R162" s="13"/>
      <c r="S162" s="13"/>
      <c r="T162" s="13"/>
      <c r="U162" s="13"/>
      <c r="V162" s="13"/>
      <c r="W162" s="13"/>
      <c r="X162" s="13"/>
      <c r="AG162"/>
      <c r="AH162"/>
    </row>
    <row r="163" spans="1:34" x14ac:dyDescent="0.2">
      <c r="A163" s="213"/>
      <c r="B163" s="228"/>
      <c r="C163" s="13"/>
      <c r="D163" s="13"/>
      <c r="E163" s="13"/>
      <c r="F163" s="13"/>
      <c r="G163" s="59"/>
      <c r="H163" s="59"/>
      <c r="I163" s="59"/>
      <c r="J163" s="59"/>
      <c r="K163" s="59"/>
      <c r="L163" s="13"/>
      <c r="M163" s="13"/>
      <c r="N163" s="13"/>
      <c r="O163" s="13"/>
      <c r="P163" s="13"/>
      <c r="Q163" s="13"/>
      <c r="R163" s="13"/>
      <c r="S163" s="13"/>
      <c r="T163" s="13"/>
      <c r="U163" s="13"/>
      <c r="V163" s="13"/>
      <c r="W163" s="13"/>
      <c r="X163" s="13"/>
      <c r="AG163"/>
      <c r="AH163"/>
    </row>
    <row r="164" spans="1:34" x14ac:dyDescent="0.2">
      <c r="A164" s="213"/>
      <c r="B164" s="228"/>
      <c r="C164" s="13"/>
      <c r="D164" s="13"/>
      <c r="E164" s="13"/>
      <c r="F164" s="13"/>
      <c r="G164" s="59"/>
      <c r="H164" s="59"/>
      <c r="I164" s="59"/>
      <c r="J164" s="59"/>
      <c r="K164" s="59"/>
      <c r="L164" s="13"/>
      <c r="M164" s="13"/>
      <c r="N164" s="13"/>
      <c r="O164" s="13"/>
      <c r="P164" s="13"/>
      <c r="Q164" s="13"/>
      <c r="R164" s="13"/>
      <c r="S164" s="13"/>
      <c r="T164" s="13"/>
      <c r="U164" s="13"/>
      <c r="V164" s="13"/>
      <c r="W164" s="13"/>
      <c r="X164" s="13"/>
      <c r="AG164"/>
      <c r="AH164"/>
    </row>
    <row r="165" spans="1:34" x14ac:dyDescent="0.2">
      <c r="A165" s="213"/>
      <c r="B165" s="228"/>
      <c r="C165" s="13"/>
      <c r="D165" s="13"/>
      <c r="E165" s="13"/>
      <c r="F165" s="13"/>
      <c r="G165" s="59"/>
      <c r="H165" s="59"/>
      <c r="I165" s="59"/>
      <c r="J165" s="59"/>
      <c r="K165" s="59"/>
      <c r="L165" s="13"/>
      <c r="M165" s="13"/>
      <c r="N165" s="13"/>
      <c r="O165" s="13"/>
      <c r="P165" s="13"/>
      <c r="Q165" s="13"/>
      <c r="R165" s="13"/>
      <c r="S165" s="13"/>
      <c r="T165" s="13"/>
      <c r="U165" s="13"/>
      <c r="V165" s="13"/>
      <c r="W165" s="13"/>
      <c r="X165" s="13"/>
      <c r="AG165"/>
      <c r="AH165"/>
    </row>
    <row r="166" spans="1:34" x14ac:dyDescent="0.2">
      <c r="A166" s="213"/>
      <c r="B166" s="228"/>
      <c r="C166" s="13"/>
      <c r="D166" s="13"/>
      <c r="E166" s="13"/>
      <c r="F166" s="13"/>
      <c r="G166" s="59"/>
      <c r="H166" s="59"/>
      <c r="I166" s="59"/>
      <c r="J166" s="59"/>
      <c r="K166" s="59"/>
      <c r="L166" s="13"/>
      <c r="M166" s="13"/>
      <c r="N166" s="13"/>
      <c r="O166" s="13"/>
      <c r="P166" s="13"/>
      <c r="Q166" s="13"/>
      <c r="R166" s="13"/>
      <c r="S166" s="13"/>
      <c r="T166" s="13"/>
      <c r="U166" s="13"/>
      <c r="V166" s="13"/>
      <c r="W166" s="13"/>
      <c r="X166" s="13"/>
      <c r="AG166"/>
      <c r="AH166"/>
    </row>
    <row r="167" spans="1:34" x14ac:dyDescent="0.2">
      <c r="A167" s="213"/>
      <c r="B167" s="228"/>
      <c r="C167" s="13"/>
      <c r="D167" s="13"/>
      <c r="E167" s="13"/>
      <c r="F167" s="13"/>
      <c r="G167" s="59"/>
      <c r="H167" s="59"/>
      <c r="I167" s="59"/>
      <c r="J167" s="59"/>
      <c r="K167" s="59"/>
      <c r="L167" s="13"/>
      <c r="M167" s="13"/>
      <c r="N167" s="13"/>
      <c r="O167" s="13"/>
      <c r="P167" s="13"/>
      <c r="Q167" s="13"/>
      <c r="R167" s="13"/>
      <c r="S167" s="13"/>
      <c r="T167" s="13"/>
      <c r="U167" s="13"/>
      <c r="V167" s="13"/>
      <c r="W167" s="13"/>
      <c r="X167" s="13"/>
      <c r="AG167"/>
      <c r="AH167"/>
    </row>
    <row r="168" spans="1:34" x14ac:dyDescent="0.2">
      <c r="A168" s="213"/>
      <c r="B168" s="228"/>
      <c r="C168" s="13"/>
      <c r="D168" s="13"/>
      <c r="E168" s="13"/>
      <c r="F168" s="13"/>
      <c r="G168" s="59"/>
      <c r="H168" s="59"/>
      <c r="I168" s="59"/>
      <c r="J168" s="59"/>
      <c r="K168" s="59"/>
      <c r="L168" s="13"/>
      <c r="M168" s="13"/>
      <c r="N168" s="13"/>
      <c r="O168" s="13"/>
      <c r="P168" s="13"/>
      <c r="Q168" s="13"/>
      <c r="R168" s="13"/>
      <c r="S168" s="13"/>
      <c r="T168" s="13"/>
      <c r="U168" s="13"/>
      <c r="V168" s="13"/>
      <c r="W168" s="13"/>
      <c r="X168" s="13"/>
      <c r="AG168"/>
      <c r="AH168"/>
    </row>
    <row r="169" spans="1:34" x14ac:dyDescent="0.2">
      <c r="A169" s="213"/>
      <c r="B169" s="228"/>
      <c r="C169" s="13"/>
      <c r="D169" s="13"/>
      <c r="E169" s="13"/>
      <c r="F169" s="13"/>
      <c r="G169" s="59"/>
      <c r="H169" s="59"/>
      <c r="I169" s="59"/>
      <c r="J169" s="59"/>
      <c r="K169" s="59"/>
      <c r="L169" s="13"/>
      <c r="M169" s="13"/>
      <c r="N169" s="13"/>
      <c r="O169" s="13"/>
      <c r="P169" s="13"/>
      <c r="Q169" s="13"/>
      <c r="R169" s="13"/>
      <c r="S169" s="13"/>
      <c r="T169" s="13"/>
      <c r="U169" s="13"/>
      <c r="V169" s="13"/>
      <c r="W169" s="13"/>
      <c r="X169" s="13"/>
      <c r="AG169"/>
      <c r="AH169"/>
    </row>
    <row r="170" spans="1:34" x14ac:dyDescent="0.2">
      <c r="A170" s="213"/>
      <c r="B170" s="228"/>
      <c r="C170" s="13"/>
      <c r="D170" s="13"/>
      <c r="E170" s="13"/>
      <c r="F170" s="13"/>
      <c r="G170" s="59"/>
      <c r="H170" s="59"/>
      <c r="I170" s="59"/>
      <c r="J170" s="59"/>
      <c r="K170" s="59"/>
      <c r="L170" s="13"/>
      <c r="M170" s="13"/>
      <c r="N170" s="13"/>
      <c r="O170" s="13"/>
      <c r="P170" s="13"/>
      <c r="Q170" s="13"/>
      <c r="R170" s="13"/>
      <c r="S170" s="13"/>
      <c r="T170" s="13"/>
      <c r="U170" s="13"/>
      <c r="V170" s="13"/>
      <c r="W170" s="13"/>
      <c r="X170" s="13"/>
      <c r="AG170"/>
      <c r="AH170"/>
    </row>
    <row r="171" spans="1:34" x14ac:dyDescent="0.2">
      <c r="A171" s="213"/>
      <c r="B171" s="228"/>
      <c r="C171" s="13"/>
      <c r="D171" s="13"/>
      <c r="E171" s="13"/>
      <c r="F171" s="13"/>
      <c r="G171" s="59"/>
      <c r="H171" s="59"/>
      <c r="I171" s="59"/>
      <c r="J171" s="59"/>
      <c r="K171" s="59"/>
      <c r="L171" s="13"/>
      <c r="M171" s="13"/>
      <c r="N171" s="13"/>
      <c r="O171" s="13"/>
      <c r="P171" s="13"/>
      <c r="Q171" s="13"/>
      <c r="R171" s="13"/>
      <c r="S171" s="13"/>
      <c r="T171" s="13"/>
      <c r="U171" s="13"/>
      <c r="V171" s="13"/>
      <c r="W171" s="13"/>
      <c r="X171" s="13"/>
      <c r="AG171"/>
      <c r="AH171"/>
    </row>
    <row r="172" spans="1:34" x14ac:dyDescent="0.2">
      <c r="A172" s="213"/>
      <c r="B172" s="228"/>
      <c r="C172" s="13"/>
      <c r="D172" s="13"/>
      <c r="E172" s="13"/>
      <c r="F172" s="13"/>
      <c r="G172" s="59"/>
      <c r="H172" s="59"/>
      <c r="I172" s="59"/>
      <c r="J172" s="59"/>
      <c r="K172" s="59"/>
      <c r="L172" s="13"/>
      <c r="M172" s="13"/>
      <c r="N172" s="13"/>
      <c r="O172" s="13"/>
      <c r="P172" s="13"/>
      <c r="Q172" s="13"/>
      <c r="R172" s="13"/>
      <c r="S172" s="13"/>
      <c r="T172" s="13"/>
      <c r="U172" s="13"/>
      <c r="V172" s="13"/>
      <c r="W172" s="13"/>
      <c r="X172" s="13"/>
      <c r="AG172"/>
      <c r="AH172"/>
    </row>
    <row r="173" spans="1:34" x14ac:dyDescent="0.2">
      <c r="A173" s="213"/>
      <c r="B173" s="228"/>
      <c r="C173" s="13"/>
      <c r="D173" s="13"/>
      <c r="E173" s="13"/>
      <c r="F173" s="13"/>
      <c r="G173" s="59"/>
      <c r="H173" s="59"/>
      <c r="I173" s="59"/>
      <c r="J173" s="59"/>
      <c r="K173" s="59"/>
      <c r="L173" s="13"/>
      <c r="M173" s="13"/>
      <c r="N173" s="13"/>
      <c r="O173" s="13"/>
      <c r="P173" s="13"/>
      <c r="Q173" s="13"/>
      <c r="R173" s="13"/>
      <c r="S173" s="13"/>
      <c r="T173" s="13"/>
      <c r="U173" s="13"/>
      <c r="V173" s="13"/>
      <c r="W173" s="13"/>
      <c r="X173" s="13"/>
      <c r="AG173"/>
      <c r="AH173"/>
    </row>
    <row r="174" spans="1:34" x14ac:dyDescent="0.2">
      <c r="A174" s="213"/>
      <c r="B174" s="228"/>
      <c r="C174" s="13"/>
      <c r="D174" s="13"/>
      <c r="E174" s="13"/>
      <c r="F174" s="13"/>
      <c r="G174" s="59"/>
      <c r="H174" s="59"/>
      <c r="I174" s="59"/>
      <c r="J174" s="59"/>
      <c r="K174" s="59"/>
      <c r="L174" s="13"/>
      <c r="M174" s="13"/>
      <c r="N174" s="13"/>
      <c r="O174" s="13"/>
      <c r="P174" s="13"/>
      <c r="Q174" s="13"/>
      <c r="R174" s="13"/>
      <c r="S174" s="13"/>
      <c r="T174" s="13"/>
      <c r="U174" s="13"/>
      <c r="V174" s="13"/>
      <c r="W174" s="13"/>
      <c r="X174" s="13"/>
      <c r="AG174"/>
      <c r="AH174"/>
    </row>
    <row r="175" spans="1:34" x14ac:dyDescent="0.2">
      <c r="A175" s="213"/>
      <c r="B175" s="228"/>
      <c r="C175" s="13"/>
      <c r="D175" s="13"/>
      <c r="E175" s="13"/>
      <c r="F175" s="13"/>
      <c r="G175" s="59"/>
      <c r="H175" s="59"/>
      <c r="I175" s="59"/>
      <c r="J175" s="59"/>
      <c r="K175" s="59"/>
      <c r="L175" s="13"/>
      <c r="M175" s="13"/>
      <c r="N175" s="13"/>
      <c r="O175" s="13"/>
      <c r="P175" s="13"/>
      <c r="Q175" s="13"/>
      <c r="R175" s="13"/>
      <c r="S175" s="13"/>
      <c r="T175" s="13"/>
      <c r="U175" s="13"/>
      <c r="V175" s="13"/>
      <c r="W175" s="13"/>
      <c r="X175" s="13"/>
      <c r="AG175"/>
      <c r="AH175"/>
    </row>
    <row r="176" spans="1:34" x14ac:dyDescent="0.2">
      <c r="A176" s="213"/>
      <c r="B176" s="228"/>
      <c r="C176" s="13"/>
      <c r="D176" s="13"/>
      <c r="E176" s="13"/>
      <c r="F176" s="13"/>
      <c r="G176" s="59"/>
      <c r="H176" s="59"/>
      <c r="I176" s="59"/>
      <c r="J176" s="59"/>
      <c r="K176" s="59"/>
      <c r="L176" s="13"/>
      <c r="M176" s="13"/>
      <c r="N176" s="13"/>
      <c r="O176" s="13"/>
      <c r="P176" s="13"/>
      <c r="Q176" s="13"/>
      <c r="R176" s="13"/>
      <c r="S176" s="13"/>
      <c r="T176" s="13"/>
      <c r="U176" s="13"/>
      <c r="V176" s="13"/>
      <c r="W176" s="13"/>
      <c r="X176" s="13"/>
      <c r="AG176"/>
      <c r="AH176"/>
    </row>
    <row r="177" spans="1:34" x14ac:dyDescent="0.2">
      <c r="A177" s="213"/>
      <c r="B177" s="228"/>
      <c r="C177" s="13"/>
      <c r="D177" s="13"/>
      <c r="E177" s="13"/>
      <c r="F177" s="13"/>
      <c r="G177" s="59"/>
      <c r="H177" s="59"/>
      <c r="I177" s="59"/>
      <c r="J177" s="59"/>
      <c r="K177" s="59"/>
      <c r="L177" s="13"/>
      <c r="M177" s="13"/>
      <c r="N177" s="13"/>
      <c r="O177" s="13"/>
      <c r="P177" s="13"/>
      <c r="Q177" s="13"/>
      <c r="R177" s="13"/>
      <c r="S177" s="13"/>
      <c r="T177" s="13"/>
      <c r="U177" s="13"/>
      <c r="V177" s="13"/>
      <c r="W177" s="13"/>
      <c r="X177" s="13"/>
      <c r="AG177"/>
      <c r="AH177"/>
    </row>
    <row r="178" spans="1:34" x14ac:dyDescent="0.2">
      <c r="A178" s="213"/>
      <c r="B178" s="228"/>
      <c r="C178" s="13"/>
      <c r="D178" s="13"/>
      <c r="E178" s="13"/>
      <c r="F178" s="13"/>
      <c r="G178" s="59"/>
      <c r="H178" s="59"/>
      <c r="I178" s="59"/>
      <c r="J178" s="59"/>
      <c r="K178" s="59"/>
      <c r="L178" s="13"/>
      <c r="M178" s="13"/>
      <c r="N178" s="13"/>
      <c r="O178" s="13"/>
      <c r="P178" s="13"/>
      <c r="Q178" s="13"/>
      <c r="R178" s="13"/>
      <c r="S178" s="13"/>
      <c r="T178" s="13"/>
      <c r="U178" s="13"/>
      <c r="V178" s="13"/>
      <c r="W178" s="13"/>
      <c r="X178" s="13"/>
      <c r="AG178"/>
      <c r="AH178"/>
    </row>
    <row r="179" spans="1:34" x14ac:dyDescent="0.2">
      <c r="A179" s="213"/>
      <c r="B179" s="228"/>
      <c r="C179" s="13"/>
      <c r="D179" s="13"/>
      <c r="E179" s="13"/>
      <c r="F179" s="13"/>
      <c r="G179" s="59"/>
      <c r="H179" s="59"/>
      <c r="I179" s="59"/>
      <c r="J179" s="59"/>
      <c r="K179" s="59"/>
      <c r="L179" s="13"/>
      <c r="M179" s="13"/>
      <c r="N179" s="13"/>
      <c r="O179" s="13"/>
      <c r="P179" s="13"/>
      <c r="Q179" s="13"/>
      <c r="R179" s="13"/>
      <c r="S179" s="13"/>
      <c r="T179" s="13"/>
      <c r="U179" s="13"/>
      <c r="V179" s="13"/>
      <c r="W179" s="13"/>
      <c r="X179" s="13"/>
      <c r="AG179"/>
      <c r="AH179"/>
    </row>
    <row r="180" spans="1:34" x14ac:dyDescent="0.2">
      <c r="A180" s="213"/>
      <c r="B180" s="228"/>
      <c r="C180" s="13"/>
      <c r="D180" s="13"/>
      <c r="E180" s="13"/>
      <c r="F180" s="13"/>
      <c r="G180" s="59"/>
      <c r="H180" s="59"/>
      <c r="I180" s="59"/>
      <c r="J180" s="59"/>
      <c r="K180" s="59"/>
      <c r="L180" s="13"/>
      <c r="M180" s="13"/>
      <c r="N180" s="13"/>
      <c r="O180" s="13"/>
      <c r="P180" s="13"/>
      <c r="Q180" s="13"/>
      <c r="R180" s="13"/>
      <c r="S180" s="13"/>
      <c r="T180" s="13"/>
      <c r="U180" s="13"/>
      <c r="V180" s="13"/>
      <c r="W180" s="13"/>
      <c r="X180" s="13"/>
      <c r="AG180"/>
      <c r="AH180"/>
    </row>
    <row r="181" spans="1:34" x14ac:dyDescent="0.2">
      <c r="A181" s="213"/>
      <c r="B181" s="228"/>
      <c r="C181" s="13"/>
      <c r="D181" s="13"/>
      <c r="E181" s="13"/>
      <c r="F181" s="13"/>
      <c r="G181" s="59"/>
      <c r="H181" s="59"/>
      <c r="I181" s="59"/>
      <c r="J181" s="59"/>
      <c r="K181" s="59"/>
      <c r="L181" s="13"/>
      <c r="M181" s="13"/>
      <c r="N181" s="13"/>
      <c r="O181" s="13"/>
      <c r="P181" s="13"/>
      <c r="Q181" s="13"/>
      <c r="R181" s="13"/>
      <c r="S181" s="13"/>
      <c r="T181" s="13"/>
      <c r="U181" s="13"/>
      <c r="V181" s="13"/>
      <c r="W181" s="13"/>
      <c r="X181" s="13"/>
      <c r="AG181"/>
      <c r="AH181"/>
    </row>
    <row r="182" spans="1:34" x14ac:dyDescent="0.2">
      <c r="A182" s="213"/>
      <c r="B182" s="228"/>
      <c r="C182" s="13"/>
      <c r="D182" s="13"/>
      <c r="E182" s="13"/>
      <c r="F182" s="13"/>
      <c r="G182" s="59"/>
      <c r="H182" s="59"/>
      <c r="I182" s="59"/>
      <c r="J182" s="59"/>
      <c r="K182" s="59"/>
      <c r="L182" s="13"/>
      <c r="M182" s="13"/>
      <c r="N182" s="13"/>
      <c r="O182" s="13"/>
      <c r="P182" s="13"/>
      <c r="Q182" s="13"/>
      <c r="R182" s="13"/>
      <c r="S182" s="13"/>
      <c r="T182" s="13"/>
      <c r="U182" s="13"/>
      <c r="V182" s="13"/>
      <c r="W182" s="13"/>
      <c r="X182" s="13"/>
      <c r="AG182"/>
      <c r="AH182"/>
    </row>
    <row r="183" spans="1:34" x14ac:dyDescent="0.2">
      <c r="A183" s="213"/>
      <c r="B183" s="228"/>
      <c r="C183" s="13"/>
      <c r="D183" s="13"/>
      <c r="E183" s="13"/>
      <c r="F183" s="13"/>
      <c r="G183" s="59"/>
      <c r="H183" s="59"/>
      <c r="I183" s="59"/>
      <c r="J183" s="59"/>
      <c r="K183" s="59"/>
      <c r="L183" s="13"/>
      <c r="M183" s="13"/>
      <c r="N183" s="13"/>
      <c r="O183" s="13"/>
      <c r="P183" s="13"/>
      <c r="Q183" s="13"/>
      <c r="R183" s="13"/>
      <c r="S183" s="13"/>
      <c r="T183" s="13"/>
      <c r="U183" s="13"/>
      <c r="V183" s="13"/>
      <c r="W183" s="13"/>
      <c r="X183" s="13"/>
      <c r="AG183"/>
      <c r="AH183"/>
    </row>
    <row r="184" spans="1:34" x14ac:dyDescent="0.2">
      <c r="A184" s="213"/>
      <c r="B184" s="228"/>
      <c r="C184" s="13"/>
      <c r="D184" s="13"/>
      <c r="E184" s="13"/>
      <c r="F184" s="13"/>
      <c r="G184" s="59"/>
      <c r="H184" s="59"/>
      <c r="I184" s="59"/>
      <c r="J184" s="59"/>
      <c r="K184" s="59"/>
      <c r="L184" s="13"/>
      <c r="M184" s="13"/>
      <c r="N184" s="13"/>
      <c r="O184" s="13"/>
      <c r="P184" s="13"/>
      <c r="Q184" s="13"/>
      <c r="R184" s="13"/>
      <c r="S184" s="13"/>
      <c r="T184" s="13"/>
      <c r="U184" s="13"/>
      <c r="V184" s="13"/>
      <c r="W184" s="13"/>
      <c r="X184" s="13"/>
      <c r="AG184"/>
      <c r="AH184"/>
    </row>
    <row r="185" spans="1:34" x14ac:dyDescent="0.2">
      <c r="A185" s="213"/>
      <c r="B185" s="228"/>
      <c r="C185" s="13"/>
      <c r="D185" s="13"/>
      <c r="E185" s="13"/>
      <c r="F185" s="13"/>
      <c r="G185" s="59"/>
      <c r="H185" s="59"/>
      <c r="I185" s="59"/>
      <c r="J185" s="59"/>
      <c r="K185" s="59"/>
      <c r="L185" s="13"/>
      <c r="M185" s="13"/>
      <c r="N185" s="13"/>
      <c r="O185" s="13"/>
      <c r="P185" s="13"/>
      <c r="Q185" s="13"/>
      <c r="R185" s="13"/>
      <c r="S185" s="13"/>
      <c r="T185" s="13"/>
      <c r="U185" s="13"/>
      <c r="V185" s="13"/>
      <c r="W185" s="13"/>
      <c r="X185" s="13"/>
      <c r="AG185"/>
      <c r="AH185"/>
    </row>
    <row r="186" spans="1:34" x14ac:dyDescent="0.2">
      <c r="A186" s="213"/>
      <c r="B186" s="228"/>
      <c r="C186" s="13"/>
      <c r="D186" s="13"/>
      <c r="E186" s="13"/>
      <c r="F186" s="13"/>
      <c r="G186" s="59"/>
      <c r="H186" s="59"/>
      <c r="I186" s="59"/>
      <c r="J186" s="59"/>
      <c r="K186" s="59"/>
      <c r="L186" s="13"/>
      <c r="M186" s="13"/>
      <c r="N186" s="13"/>
      <c r="O186" s="13"/>
      <c r="P186" s="13"/>
      <c r="Q186" s="13"/>
      <c r="R186" s="13"/>
      <c r="S186" s="13"/>
      <c r="T186" s="13"/>
      <c r="U186" s="13"/>
      <c r="V186" s="13"/>
      <c r="W186" s="13"/>
      <c r="X186" s="13"/>
      <c r="AG186"/>
      <c r="AH186"/>
    </row>
    <row r="187" spans="1:34" x14ac:dyDescent="0.2">
      <c r="A187" s="213"/>
      <c r="B187" s="228"/>
      <c r="C187" s="13"/>
      <c r="D187" s="13"/>
      <c r="E187" s="13"/>
      <c r="F187" s="13"/>
      <c r="G187" s="59"/>
      <c r="H187" s="59"/>
      <c r="I187" s="59"/>
      <c r="J187" s="59"/>
      <c r="K187" s="59"/>
      <c r="L187" s="13"/>
      <c r="M187" s="13"/>
      <c r="N187" s="13"/>
      <c r="O187" s="13"/>
      <c r="P187" s="13"/>
      <c r="Q187" s="13"/>
      <c r="R187" s="13"/>
      <c r="S187" s="13"/>
      <c r="T187" s="13"/>
      <c r="U187" s="13"/>
      <c r="V187" s="13"/>
      <c r="W187" s="13"/>
      <c r="X187" s="13"/>
      <c r="AG187"/>
      <c r="AH187"/>
    </row>
    <row r="188" spans="1:34" x14ac:dyDescent="0.2">
      <c r="A188" s="213"/>
      <c r="B188" s="228"/>
      <c r="C188" s="13"/>
      <c r="D188" s="13"/>
      <c r="E188" s="13"/>
      <c r="F188" s="13"/>
      <c r="G188" s="59"/>
      <c r="H188" s="59"/>
      <c r="I188" s="59"/>
      <c r="J188" s="59"/>
      <c r="K188" s="59"/>
      <c r="L188" s="13"/>
      <c r="M188" s="13"/>
      <c r="N188" s="13"/>
      <c r="O188" s="13"/>
      <c r="P188" s="13"/>
      <c r="Q188" s="13"/>
      <c r="R188" s="13"/>
      <c r="S188" s="13"/>
      <c r="T188" s="13"/>
      <c r="U188" s="13"/>
      <c r="V188" s="13"/>
      <c r="W188" s="13"/>
      <c r="X188" s="13"/>
      <c r="AG188"/>
      <c r="AH188"/>
    </row>
    <row r="189" spans="1:34" x14ac:dyDescent="0.2">
      <c r="A189" s="213"/>
      <c r="B189" s="228"/>
      <c r="C189" s="13"/>
      <c r="D189" s="13"/>
      <c r="E189" s="13"/>
      <c r="F189" s="13"/>
      <c r="G189" s="59"/>
      <c r="H189" s="59"/>
      <c r="I189" s="59"/>
      <c r="J189" s="59"/>
      <c r="K189" s="59"/>
      <c r="L189" s="13"/>
      <c r="M189" s="13"/>
      <c r="N189" s="13"/>
      <c r="O189" s="13"/>
      <c r="P189" s="13"/>
      <c r="Q189" s="13"/>
      <c r="R189" s="13"/>
      <c r="S189" s="13"/>
      <c r="T189" s="13"/>
      <c r="U189" s="13"/>
      <c r="V189" s="13"/>
      <c r="W189" s="13"/>
      <c r="X189" s="13"/>
      <c r="AG189"/>
      <c r="AH189"/>
    </row>
    <row r="190" spans="1:34" x14ac:dyDescent="0.2">
      <c r="A190" s="213"/>
      <c r="B190" s="228"/>
      <c r="C190" s="13"/>
      <c r="D190" s="13"/>
      <c r="E190" s="13"/>
      <c r="F190" s="13"/>
      <c r="G190" s="59"/>
      <c r="H190" s="59"/>
      <c r="I190" s="59"/>
      <c r="J190" s="59"/>
      <c r="K190" s="59"/>
      <c r="L190" s="13"/>
      <c r="M190" s="13"/>
      <c r="N190" s="13"/>
      <c r="O190" s="13"/>
      <c r="P190" s="13"/>
      <c r="Q190" s="13"/>
      <c r="R190" s="13"/>
      <c r="S190" s="13"/>
      <c r="T190" s="13"/>
      <c r="U190" s="13"/>
      <c r="V190" s="13"/>
      <c r="W190" s="13"/>
      <c r="X190" s="13"/>
      <c r="AG190"/>
      <c r="AH190"/>
    </row>
    <row r="191" spans="1:34" x14ac:dyDescent="0.2">
      <c r="A191" s="213"/>
      <c r="B191" s="228"/>
      <c r="C191" s="13"/>
      <c r="D191" s="13"/>
      <c r="E191" s="13"/>
      <c r="F191" s="13"/>
      <c r="G191" s="59"/>
      <c r="H191" s="59"/>
      <c r="I191" s="59"/>
      <c r="J191" s="59"/>
      <c r="K191" s="59"/>
      <c r="L191" s="13"/>
      <c r="M191" s="13"/>
      <c r="N191" s="13"/>
      <c r="O191" s="13"/>
      <c r="P191" s="13"/>
      <c r="Q191" s="13"/>
      <c r="R191" s="13"/>
      <c r="S191" s="13"/>
      <c r="T191" s="13"/>
      <c r="U191" s="13"/>
      <c r="V191" s="13"/>
      <c r="W191" s="13"/>
      <c r="X191" s="13"/>
      <c r="AG191"/>
      <c r="AH191"/>
    </row>
    <row r="192" spans="1:34" x14ac:dyDescent="0.2">
      <c r="A192" s="213"/>
      <c r="B192" s="228"/>
      <c r="C192" s="13"/>
      <c r="D192" s="13"/>
      <c r="E192" s="13"/>
      <c r="F192" s="13"/>
      <c r="G192" s="59"/>
      <c r="H192" s="59"/>
      <c r="I192" s="59"/>
      <c r="J192" s="59"/>
      <c r="K192" s="59"/>
      <c r="L192" s="13"/>
      <c r="M192" s="13"/>
      <c r="N192" s="13"/>
      <c r="O192" s="13"/>
      <c r="P192" s="13"/>
      <c r="Q192" s="13"/>
      <c r="R192" s="13"/>
      <c r="S192" s="13"/>
      <c r="T192" s="13"/>
      <c r="U192" s="13"/>
      <c r="V192" s="13"/>
      <c r="W192" s="13"/>
      <c r="X192" s="13"/>
      <c r="AG192"/>
      <c r="AH192"/>
    </row>
    <row r="193" spans="1:34" x14ac:dyDescent="0.2">
      <c r="A193" s="213"/>
      <c r="B193" s="228"/>
      <c r="C193" s="13"/>
      <c r="D193" s="13"/>
      <c r="E193" s="13"/>
      <c r="F193" s="13"/>
      <c r="G193" s="59"/>
      <c r="H193" s="59"/>
      <c r="I193" s="59"/>
      <c r="J193" s="59"/>
      <c r="K193" s="59"/>
      <c r="L193" s="13"/>
      <c r="M193" s="13"/>
      <c r="N193" s="13"/>
      <c r="O193" s="13"/>
      <c r="P193" s="13"/>
      <c r="Q193" s="13"/>
      <c r="R193" s="13"/>
      <c r="S193" s="13"/>
      <c r="T193" s="13"/>
      <c r="U193" s="13"/>
      <c r="V193" s="13"/>
      <c r="W193" s="13"/>
      <c r="X193" s="13"/>
      <c r="AG193"/>
      <c r="AH193"/>
    </row>
    <row r="194" spans="1:34" x14ac:dyDescent="0.2">
      <c r="A194" s="213"/>
      <c r="B194" s="228"/>
      <c r="C194" s="13"/>
      <c r="D194" s="13"/>
      <c r="E194" s="13"/>
      <c r="F194" s="13"/>
      <c r="G194" s="59"/>
      <c r="H194" s="59"/>
      <c r="I194" s="59"/>
      <c r="J194" s="59"/>
      <c r="K194" s="59"/>
      <c r="L194" s="13"/>
      <c r="M194" s="13"/>
      <c r="N194" s="13"/>
      <c r="O194" s="13"/>
      <c r="P194" s="13"/>
      <c r="Q194" s="13"/>
      <c r="R194" s="13"/>
      <c r="S194" s="13"/>
      <c r="T194" s="13"/>
      <c r="U194" s="13"/>
      <c r="V194" s="13"/>
      <c r="W194" s="13"/>
      <c r="X194" s="13"/>
      <c r="AG194"/>
      <c r="AH194"/>
    </row>
    <row r="195" spans="1:34" x14ac:dyDescent="0.2">
      <c r="A195" s="213"/>
      <c r="B195" s="228"/>
      <c r="C195" s="13"/>
      <c r="D195" s="13"/>
      <c r="E195" s="13"/>
      <c r="F195" s="13"/>
      <c r="G195" s="59"/>
      <c r="H195" s="59"/>
      <c r="I195" s="59"/>
      <c r="J195" s="59"/>
      <c r="K195" s="59"/>
      <c r="L195" s="13"/>
      <c r="M195" s="13"/>
      <c r="N195" s="13"/>
      <c r="O195" s="13"/>
      <c r="P195" s="13"/>
      <c r="Q195" s="13"/>
      <c r="R195" s="13"/>
      <c r="S195" s="13"/>
      <c r="T195" s="13"/>
      <c r="U195" s="13"/>
      <c r="V195" s="13"/>
      <c r="W195" s="13"/>
      <c r="X195" s="13"/>
      <c r="AG195"/>
      <c r="AH195"/>
    </row>
    <row r="196" spans="1:34" x14ac:dyDescent="0.2">
      <c r="A196" s="213"/>
      <c r="B196" s="228"/>
      <c r="C196" s="13"/>
      <c r="D196" s="13"/>
      <c r="E196" s="13"/>
      <c r="F196" s="13"/>
      <c r="G196" s="59"/>
      <c r="H196" s="59"/>
      <c r="I196" s="59"/>
      <c r="J196" s="59"/>
      <c r="K196" s="59"/>
      <c r="L196" s="13"/>
      <c r="M196" s="13"/>
      <c r="N196" s="13"/>
      <c r="O196" s="13"/>
      <c r="P196" s="13"/>
      <c r="Q196" s="13"/>
      <c r="R196" s="13"/>
      <c r="S196" s="13"/>
      <c r="T196" s="13"/>
      <c r="U196" s="13"/>
      <c r="V196" s="13"/>
      <c r="W196" s="13"/>
      <c r="X196" s="13"/>
      <c r="AG196"/>
      <c r="AH196"/>
    </row>
    <row r="197" spans="1:34" x14ac:dyDescent="0.2">
      <c r="A197" s="213"/>
      <c r="B197" s="228"/>
      <c r="C197" s="13"/>
      <c r="D197" s="13"/>
      <c r="E197" s="13"/>
      <c r="F197" s="13"/>
      <c r="G197" s="59"/>
      <c r="H197" s="59"/>
      <c r="I197" s="59"/>
      <c r="J197" s="59"/>
      <c r="K197" s="59"/>
      <c r="L197" s="13"/>
      <c r="M197" s="13"/>
      <c r="N197" s="13"/>
      <c r="O197" s="13"/>
      <c r="P197" s="13"/>
      <c r="Q197" s="13"/>
      <c r="R197" s="13"/>
      <c r="S197" s="13"/>
      <c r="T197" s="13"/>
      <c r="U197" s="13"/>
      <c r="V197" s="13"/>
      <c r="W197" s="13"/>
      <c r="X197" s="13"/>
      <c r="AG197"/>
      <c r="AH197"/>
    </row>
    <row r="198" spans="1:34" x14ac:dyDescent="0.2">
      <c r="A198" s="213"/>
      <c r="B198" s="228"/>
      <c r="C198" s="13"/>
      <c r="D198" s="13"/>
      <c r="E198" s="13"/>
      <c r="F198" s="13"/>
      <c r="G198" s="59"/>
      <c r="H198" s="59"/>
      <c r="I198" s="59"/>
      <c r="J198" s="59"/>
      <c r="K198" s="59"/>
      <c r="L198" s="13"/>
      <c r="M198" s="13"/>
      <c r="N198" s="13"/>
      <c r="O198" s="13"/>
      <c r="P198" s="13"/>
      <c r="Q198" s="13"/>
      <c r="R198" s="13"/>
      <c r="S198" s="13"/>
      <c r="T198" s="13"/>
      <c r="U198" s="13"/>
      <c r="V198" s="13"/>
      <c r="W198" s="13"/>
      <c r="X198" s="13"/>
      <c r="AG198"/>
      <c r="AH198"/>
    </row>
    <row r="199" spans="1:34" x14ac:dyDescent="0.2">
      <c r="A199" s="213"/>
      <c r="B199" s="228"/>
      <c r="C199" s="13"/>
      <c r="D199" s="13"/>
      <c r="E199" s="13"/>
      <c r="F199" s="13"/>
      <c r="G199" s="59"/>
      <c r="H199" s="59"/>
      <c r="I199" s="59"/>
      <c r="J199" s="59"/>
      <c r="K199" s="59"/>
      <c r="L199" s="13"/>
      <c r="M199" s="13"/>
      <c r="N199" s="13"/>
      <c r="O199" s="13"/>
      <c r="P199" s="13"/>
      <c r="Q199" s="13"/>
      <c r="R199" s="13"/>
      <c r="S199" s="13"/>
      <c r="T199" s="13"/>
      <c r="U199" s="13"/>
      <c r="V199" s="13"/>
      <c r="W199" s="13"/>
      <c r="X199" s="13"/>
      <c r="AG199"/>
      <c r="AH199"/>
    </row>
    <row r="200" spans="1:34" x14ac:dyDescent="0.2">
      <c r="A200" s="213"/>
      <c r="B200" s="228"/>
      <c r="C200" s="13"/>
      <c r="D200" s="13"/>
      <c r="E200" s="13"/>
      <c r="F200" s="13"/>
      <c r="G200" s="59"/>
      <c r="H200" s="59"/>
      <c r="I200" s="59"/>
      <c r="J200" s="59"/>
      <c r="K200" s="59"/>
      <c r="L200" s="13"/>
      <c r="M200" s="13"/>
      <c r="N200" s="13"/>
      <c r="O200" s="13"/>
      <c r="P200" s="13"/>
      <c r="Q200" s="13"/>
      <c r="R200" s="13"/>
      <c r="S200" s="13"/>
      <c r="T200" s="13"/>
      <c r="U200" s="13"/>
      <c r="V200" s="13"/>
      <c r="W200" s="13"/>
      <c r="X200" s="13"/>
      <c r="AG200"/>
      <c r="AH200"/>
    </row>
    <row r="201" spans="1:34" x14ac:dyDescent="0.2">
      <c r="A201" s="213"/>
      <c r="B201" s="228"/>
      <c r="C201" s="13"/>
      <c r="D201" s="13"/>
      <c r="E201" s="13"/>
      <c r="F201" s="13"/>
      <c r="G201" s="59"/>
      <c r="H201" s="59"/>
      <c r="I201" s="59"/>
      <c r="J201" s="59"/>
      <c r="K201" s="59"/>
      <c r="L201" s="13"/>
      <c r="M201" s="13"/>
      <c r="N201" s="13"/>
      <c r="O201" s="13"/>
      <c r="P201" s="13"/>
      <c r="Q201" s="13"/>
      <c r="R201" s="13"/>
      <c r="S201" s="13"/>
      <c r="T201" s="13"/>
      <c r="U201" s="13"/>
      <c r="V201" s="13"/>
      <c r="W201" s="13"/>
      <c r="X201" s="13"/>
      <c r="AG201"/>
      <c r="AH201"/>
    </row>
    <row r="202" spans="1:34" x14ac:dyDescent="0.2">
      <c r="A202" s="213"/>
      <c r="B202" s="228"/>
      <c r="C202" s="13"/>
      <c r="D202" s="13"/>
      <c r="E202" s="13"/>
      <c r="F202" s="13"/>
      <c r="G202" s="59"/>
      <c r="H202" s="59"/>
      <c r="I202" s="59"/>
      <c r="J202" s="59"/>
      <c r="K202" s="59"/>
      <c r="L202" s="13"/>
      <c r="M202" s="13"/>
      <c r="N202" s="13"/>
      <c r="O202" s="13"/>
      <c r="P202" s="13"/>
      <c r="Q202" s="13"/>
      <c r="R202" s="13"/>
      <c r="S202" s="13"/>
      <c r="T202" s="13"/>
      <c r="U202" s="13"/>
      <c r="V202" s="13"/>
      <c r="W202" s="13"/>
      <c r="X202" s="13"/>
      <c r="AG202"/>
      <c r="AH202"/>
    </row>
    <row r="203" spans="1:34" x14ac:dyDescent="0.2">
      <c r="A203" s="213"/>
      <c r="B203" s="228"/>
      <c r="C203" s="13"/>
      <c r="D203" s="13"/>
      <c r="E203" s="13"/>
      <c r="F203" s="13"/>
      <c r="G203" s="59"/>
      <c r="H203" s="59"/>
      <c r="I203" s="59"/>
      <c r="J203" s="59"/>
      <c r="K203" s="59"/>
      <c r="L203" s="13"/>
      <c r="M203" s="13"/>
      <c r="N203" s="13"/>
      <c r="O203" s="13"/>
      <c r="P203" s="13"/>
      <c r="Q203" s="13"/>
      <c r="R203" s="13"/>
      <c r="S203" s="13"/>
      <c r="T203" s="13"/>
      <c r="U203" s="13"/>
      <c r="V203" s="13"/>
      <c r="W203" s="13"/>
      <c r="X203" s="13"/>
      <c r="AG203"/>
      <c r="AH203"/>
    </row>
    <row r="204" spans="1:34" x14ac:dyDescent="0.2">
      <c r="A204" s="213"/>
      <c r="B204" s="228"/>
      <c r="C204" s="13"/>
      <c r="D204" s="13"/>
      <c r="E204" s="13"/>
      <c r="F204" s="13"/>
      <c r="G204" s="59"/>
      <c r="H204" s="59"/>
      <c r="I204" s="59"/>
      <c r="J204" s="59"/>
      <c r="K204" s="59"/>
      <c r="L204" s="13"/>
      <c r="M204" s="13"/>
      <c r="N204" s="13"/>
      <c r="O204" s="13"/>
      <c r="P204" s="13"/>
      <c r="Q204" s="13"/>
      <c r="R204" s="13"/>
      <c r="S204" s="13"/>
      <c r="T204" s="13"/>
      <c r="U204" s="13"/>
      <c r="V204" s="13"/>
      <c r="W204" s="13"/>
      <c r="X204" s="13"/>
      <c r="AG204"/>
      <c r="AH204"/>
    </row>
    <row r="205" spans="1:34" x14ac:dyDescent="0.2">
      <c r="A205" s="213"/>
      <c r="B205" s="228"/>
      <c r="C205" s="13"/>
      <c r="D205" s="13"/>
      <c r="E205" s="13"/>
      <c r="F205" s="13"/>
      <c r="G205" s="59"/>
      <c r="H205" s="59"/>
      <c r="I205" s="59"/>
      <c r="J205" s="59"/>
      <c r="K205" s="59"/>
      <c r="L205" s="13"/>
      <c r="M205" s="13"/>
      <c r="N205" s="13"/>
      <c r="O205" s="13"/>
      <c r="P205" s="13"/>
      <c r="Q205" s="13"/>
      <c r="R205" s="13"/>
      <c r="S205" s="13"/>
      <c r="T205" s="13"/>
      <c r="U205" s="13"/>
      <c r="V205" s="13"/>
      <c r="W205" s="13"/>
      <c r="X205" s="13"/>
      <c r="AG205"/>
      <c r="AH205"/>
    </row>
    <row r="206" spans="1:34" x14ac:dyDescent="0.2">
      <c r="A206" s="213"/>
      <c r="B206" s="228"/>
      <c r="C206" s="13"/>
      <c r="D206" s="13"/>
      <c r="E206" s="13"/>
      <c r="F206" s="13"/>
      <c r="G206" s="59"/>
      <c r="H206" s="59"/>
      <c r="I206" s="59"/>
      <c r="J206" s="59"/>
      <c r="K206" s="59"/>
      <c r="L206" s="13"/>
      <c r="M206" s="13"/>
      <c r="N206" s="13"/>
      <c r="O206" s="13"/>
      <c r="P206" s="13"/>
      <c r="Q206" s="13"/>
      <c r="R206" s="13"/>
      <c r="S206" s="13"/>
      <c r="T206" s="13"/>
      <c r="U206" s="13"/>
      <c r="V206" s="13"/>
      <c r="W206" s="13"/>
      <c r="X206" s="13"/>
      <c r="AG206"/>
      <c r="AH206"/>
    </row>
    <row r="207" spans="1:34" x14ac:dyDescent="0.2">
      <c r="A207" s="213"/>
      <c r="B207" s="228"/>
      <c r="C207" s="13"/>
      <c r="D207" s="13"/>
      <c r="E207" s="13"/>
      <c r="F207" s="13"/>
      <c r="G207" s="59"/>
      <c r="H207" s="59"/>
      <c r="I207" s="59"/>
      <c r="J207" s="59"/>
      <c r="K207" s="59"/>
      <c r="L207" s="13"/>
      <c r="M207" s="13"/>
      <c r="N207" s="13"/>
      <c r="O207" s="13"/>
      <c r="P207" s="13"/>
      <c r="Q207" s="13"/>
      <c r="R207" s="13"/>
      <c r="S207" s="13"/>
      <c r="T207" s="13"/>
      <c r="U207" s="13"/>
      <c r="V207" s="13"/>
      <c r="W207" s="13"/>
      <c r="X207" s="13"/>
      <c r="AG207"/>
      <c r="AH207"/>
    </row>
    <row r="208" spans="1:34" x14ac:dyDescent="0.2">
      <c r="A208" s="213"/>
      <c r="B208" s="228"/>
      <c r="C208" s="13"/>
      <c r="D208" s="13"/>
      <c r="E208" s="13"/>
      <c r="F208" s="13"/>
      <c r="G208" s="59"/>
      <c r="H208" s="59"/>
      <c r="I208" s="59"/>
      <c r="J208" s="59"/>
      <c r="K208" s="59"/>
      <c r="L208" s="13"/>
      <c r="M208" s="13"/>
      <c r="N208" s="13"/>
      <c r="O208" s="13"/>
      <c r="P208" s="13"/>
      <c r="Q208" s="13"/>
      <c r="R208" s="13"/>
      <c r="S208" s="13"/>
      <c r="T208" s="13"/>
      <c r="U208" s="13"/>
      <c r="V208" s="13"/>
      <c r="W208" s="13"/>
      <c r="X208" s="13"/>
      <c r="AG208"/>
      <c r="AH208"/>
    </row>
    <row r="209" spans="1:1" x14ac:dyDescent="0.2">
      <c r="A209" s="213"/>
    </row>
  </sheetData>
  <dataConsolidate/>
  <mergeCells count="5">
    <mergeCell ref="A7:X7"/>
    <mergeCell ref="A3:I3"/>
    <mergeCell ref="A1:D1"/>
    <mergeCell ref="A2:D2"/>
    <mergeCell ref="F2:L2"/>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Sheet13.requestScannerData">
                <anchor moveWithCells="1">
                  <from>
                    <xdr:col>0</xdr:col>
                    <xdr:colOff>314325</xdr:colOff>
                    <xdr:row>1</xdr:row>
                    <xdr:rowOff>76200</xdr:rowOff>
                  </from>
                  <to>
                    <xdr:col>1</xdr:col>
                    <xdr:colOff>981075</xdr:colOff>
                    <xdr:row>1</xdr:row>
                    <xdr:rowOff>276225</xdr:rowOff>
                  </to>
                </anchor>
              </controlPr>
            </control>
          </mc:Choice>
        </mc:AlternateContent>
        <mc:AlternateContent xmlns:mc="http://schemas.openxmlformats.org/markup-compatibility/2006">
          <mc:Choice Requires="x14">
            <control shapeId="23556" r:id="rId5" name="Button 4">
              <controlPr defaultSize="0" print="0" autoFill="0" autoPict="0" macro="[0]!Sheet13.cancelScannerData">
                <anchor moveWithCells="1" sizeWithCells="1">
                  <from>
                    <xdr:col>1</xdr:col>
                    <xdr:colOff>1333500</xdr:colOff>
                    <xdr:row>1</xdr:row>
                    <xdr:rowOff>76200</xdr:rowOff>
                  </from>
                  <to>
                    <xdr:col>3</xdr:col>
                    <xdr:colOff>590550</xdr:colOff>
                    <xdr:row>1</xdr:row>
                    <xdr:rowOff>276225</xdr:rowOff>
                  </to>
                </anchor>
              </controlPr>
            </control>
          </mc:Choice>
        </mc:AlternateContent>
        <mc:AlternateContent xmlns:mc="http://schemas.openxmlformats.org/markup-compatibility/2006">
          <mc:Choice Requires="x14">
            <control shapeId="23557" r:id="rId6" name="Button 5">
              <controlPr defaultSize="0" print="0" autoFill="0" autoPict="0" macro="[0]!Sheet13.onShowError">
                <anchor moveWithCells="1">
                  <from>
                    <xdr:col>3</xdr:col>
                    <xdr:colOff>952500</xdr:colOff>
                    <xdr:row>1</xdr:row>
                    <xdr:rowOff>85725</xdr:rowOff>
                  </from>
                  <to>
                    <xdr:col>3</xdr:col>
                    <xdr:colOff>1752600</xdr:colOff>
                    <xdr:row>1</xdr:row>
                    <xdr:rowOff>285750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T209"/>
  <sheetViews>
    <sheetView zoomScale="80" zoomScaleNormal="80" workbookViewId="0">
      <pane ySplit="9" topLeftCell="A10" activePane="bottomLeft" state="frozenSplit"/>
      <selection pane="bottomLeft" activeCell="D5" sqref="D5:E5"/>
    </sheetView>
  </sheetViews>
  <sheetFormatPr defaultRowHeight="12.75" x14ac:dyDescent="0.2"/>
  <cols>
    <col min="1" max="2" width="9.140625" style="107"/>
    <col min="3" max="3" width="14.42578125" style="107" customWidth="1"/>
    <col min="4" max="5" width="9.140625" style="107"/>
    <col min="6" max="6" width="9" style="107" customWidth="1"/>
    <col min="7" max="7" width="14" style="107" customWidth="1"/>
    <col min="8" max="8" width="10" style="107" customWidth="1"/>
    <col min="9" max="9" width="9.140625" style="107"/>
    <col min="10" max="10" width="7.5703125" customWidth="1"/>
    <col min="11" max="11" width="15.5703125" customWidth="1"/>
    <col min="12" max="12" width="13.5703125" customWidth="1"/>
    <col min="13" max="13" width="12.140625" customWidth="1"/>
    <col min="14" max="14" width="12.42578125" customWidth="1"/>
    <col min="16" max="16" width="14.7109375" customWidth="1"/>
    <col min="17" max="17" width="59.7109375" customWidth="1"/>
    <col min="18" max="18" width="14.140625" customWidth="1"/>
    <col min="19" max="19" width="9.140625" style="107"/>
    <col min="20" max="20" width="10.7109375" style="107" customWidth="1"/>
    <col min="21" max="16384" width="9.140625" style="107"/>
  </cols>
  <sheetData>
    <row r="1" spans="1:20" customFormat="1" x14ac:dyDescent="0.2">
      <c r="A1" s="342" t="s">
        <v>47</v>
      </c>
      <c r="B1" s="276"/>
      <c r="C1" s="276"/>
      <c r="D1" s="276"/>
      <c r="E1" s="277"/>
      <c r="F1" s="25"/>
      <c r="G1" s="25"/>
    </row>
    <row r="2" spans="1:20" customFormat="1" ht="28.5" customHeight="1" x14ac:dyDescent="0.2">
      <c r="A2" s="448"/>
      <c r="B2" s="279"/>
      <c r="C2" s="279"/>
      <c r="D2" s="279"/>
      <c r="E2" s="280"/>
      <c r="F2" s="25"/>
      <c r="G2" s="25"/>
      <c r="L2" s="455" t="s">
        <v>376</v>
      </c>
      <c r="M2" s="450"/>
      <c r="N2" s="450"/>
      <c r="O2" s="450"/>
      <c r="P2" s="451"/>
      <c r="Q2" s="119"/>
      <c r="R2" s="7"/>
      <c r="S2" s="7"/>
      <c r="T2" s="7"/>
    </row>
    <row r="3" spans="1:20" customFormat="1" x14ac:dyDescent="0.2">
      <c r="K3" s="26"/>
    </row>
    <row r="4" spans="1:20" customFormat="1" x14ac:dyDescent="0.2">
      <c r="A4" s="391" t="s">
        <v>51</v>
      </c>
      <c r="B4" s="415"/>
      <c r="C4" s="415"/>
      <c r="D4" s="415"/>
      <c r="E4" s="415"/>
      <c r="F4" s="415"/>
      <c r="G4" s="415"/>
      <c r="H4" s="416"/>
    </row>
    <row r="5" spans="1:20" customFormat="1" x14ac:dyDescent="0.2">
      <c r="A5" s="308" t="s">
        <v>58</v>
      </c>
      <c r="B5" s="417"/>
      <c r="C5" s="356"/>
      <c r="D5" s="456" t="s">
        <v>498</v>
      </c>
      <c r="E5" s="457"/>
      <c r="F5" s="17"/>
      <c r="G5" s="17"/>
      <c r="H5" s="18"/>
    </row>
    <row r="6" spans="1:20" customFormat="1" x14ac:dyDescent="0.2"/>
    <row r="7" spans="1:20" customFormat="1" x14ac:dyDescent="0.2">
      <c r="A7" s="458" t="s">
        <v>92</v>
      </c>
      <c r="B7" s="279"/>
      <c r="C7" s="279"/>
      <c r="D7" s="279"/>
      <c r="E7" s="279"/>
      <c r="F7" s="279"/>
      <c r="G7" s="279"/>
      <c r="H7" s="279"/>
      <c r="I7" s="279"/>
      <c r="J7" s="279"/>
      <c r="K7" s="279"/>
      <c r="L7" s="279"/>
      <c r="M7" s="279"/>
      <c r="N7" s="279"/>
      <c r="O7" s="279"/>
      <c r="P7" s="279"/>
      <c r="Q7" s="279"/>
      <c r="R7" s="279"/>
    </row>
    <row r="8" spans="1:20" customFormat="1" x14ac:dyDescent="0.2">
      <c r="A8" s="329" t="s">
        <v>93</v>
      </c>
      <c r="B8" s="305"/>
      <c r="C8" s="305"/>
      <c r="D8" s="305"/>
      <c r="E8" s="305"/>
      <c r="F8" s="305"/>
      <c r="G8" s="305"/>
      <c r="H8" s="305"/>
      <c r="I8" s="305"/>
      <c r="J8" s="285"/>
      <c r="K8" s="329" t="s">
        <v>94</v>
      </c>
      <c r="L8" s="330"/>
      <c r="M8" s="330"/>
      <c r="N8" s="330"/>
      <c r="O8" s="330"/>
      <c r="P8" s="330"/>
      <c r="Q8" s="330"/>
      <c r="R8" s="357"/>
    </row>
    <row r="9" spans="1:20" customFormat="1" x14ac:dyDescent="0.2">
      <c r="A9" s="9" t="s">
        <v>9</v>
      </c>
      <c r="B9" s="9" t="s">
        <v>21</v>
      </c>
      <c r="C9" s="9" t="s">
        <v>497</v>
      </c>
      <c r="D9" s="9" t="s">
        <v>10</v>
      </c>
      <c r="E9" s="9" t="s">
        <v>23</v>
      </c>
      <c r="F9" s="9" t="s">
        <v>86</v>
      </c>
      <c r="G9" s="9" t="s">
        <v>85</v>
      </c>
      <c r="H9" s="9" t="s">
        <v>12</v>
      </c>
      <c r="I9" s="9" t="s">
        <v>40</v>
      </c>
      <c r="J9" s="100" t="s">
        <v>335</v>
      </c>
      <c r="K9" s="98" t="s">
        <v>22</v>
      </c>
      <c r="L9" s="98" t="s">
        <v>91</v>
      </c>
      <c r="M9" s="220" t="s">
        <v>90</v>
      </c>
      <c r="N9" s="220" t="s">
        <v>88</v>
      </c>
      <c r="O9" s="221" t="s">
        <v>89</v>
      </c>
      <c r="P9" s="222" t="s">
        <v>86</v>
      </c>
      <c r="Q9" s="221" t="s">
        <v>84</v>
      </c>
      <c r="R9" s="220" t="s">
        <v>85</v>
      </c>
    </row>
    <row r="10" spans="1:20" customFormat="1" x14ac:dyDescent="0.2">
      <c r="A10" s="10"/>
      <c r="B10" s="11"/>
      <c r="C10" s="11"/>
      <c r="D10" s="11"/>
      <c r="E10" s="11"/>
      <c r="F10" s="11"/>
      <c r="G10" s="11"/>
      <c r="H10" s="11"/>
      <c r="I10" s="11"/>
      <c r="J10" s="97"/>
      <c r="K10" s="213"/>
      <c r="L10" s="213"/>
      <c r="M10" s="213"/>
      <c r="N10" s="213"/>
      <c r="O10" s="213"/>
      <c r="P10" s="213"/>
      <c r="Q10" s="213"/>
      <c r="R10" s="213"/>
    </row>
    <row r="11" spans="1:20" customFormat="1" x14ac:dyDescent="0.2">
      <c r="A11" s="12" t="s">
        <v>32</v>
      </c>
      <c r="B11" s="13"/>
      <c r="C11" s="13"/>
      <c r="D11" s="13"/>
      <c r="E11" s="59"/>
      <c r="F11" s="13"/>
      <c r="G11" s="13"/>
      <c r="H11" s="13"/>
      <c r="I11" s="13"/>
      <c r="J11" s="97"/>
      <c r="K11" s="213"/>
      <c r="L11" s="213"/>
      <c r="M11" s="213"/>
      <c r="N11" s="213"/>
      <c r="O11" s="213"/>
      <c r="P11" s="213"/>
      <c r="Q11" s="213"/>
      <c r="R11" s="213"/>
    </row>
    <row r="12" spans="1:20" customFormat="1" x14ac:dyDescent="0.2">
      <c r="A12" s="13" t="s">
        <v>479</v>
      </c>
      <c r="B12" s="13" t="s">
        <v>11</v>
      </c>
      <c r="C12" s="13"/>
      <c r="D12" s="13"/>
      <c r="E12" s="59"/>
      <c r="F12" s="13"/>
      <c r="G12" s="13"/>
      <c r="H12" s="13" t="s">
        <v>67</v>
      </c>
      <c r="I12" s="97" t="s">
        <v>43</v>
      </c>
      <c r="J12" s="97"/>
      <c r="K12" s="213"/>
      <c r="L12" s="213"/>
      <c r="M12" s="213"/>
      <c r="N12" s="213"/>
      <c r="O12" s="213"/>
      <c r="P12" s="213"/>
      <c r="Q12" s="213"/>
      <c r="R12" s="213"/>
    </row>
    <row r="13" spans="1:20" customFormat="1" x14ac:dyDescent="0.2">
      <c r="A13" s="13" t="s">
        <v>643</v>
      </c>
      <c r="B13" s="13" t="s">
        <v>11</v>
      </c>
      <c r="C13" s="13"/>
      <c r="D13" s="13"/>
      <c r="E13" s="59"/>
      <c r="F13" s="13"/>
      <c r="G13" s="13"/>
      <c r="H13" s="13" t="s">
        <v>67</v>
      </c>
      <c r="I13" s="97" t="s">
        <v>43</v>
      </c>
      <c r="J13" s="97"/>
      <c r="K13" s="213"/>
      <c r="L13" s="213"/>
      <c r="M13" s="213"/>
      <c r="N13" s="213"/>
      <c r="O13" s="213"/>
      <c r="P13" s="213"/>
      <c r="Q13" s="213"/>
      <c r="R13" s="213"/>
    </row>
    <row r="14" spans="1:20" customFormat="1" x14ac:dyDescent="0.2">
      <c r="A14" s="13" t="s">
        <v>87</v>
      </c>
      <c r="B14" s="13" t="s">
        <v>11</v>
      </c>
      <c r="C14" s="13"/>
      <c r="D14" s="13"/>
      <c r="E14" s="59"/>
      <c r="F14" s="13"/>
      <c r="G14" s="13"/>
      <c r="H14" s="13" t="s">
        <v>67</v>
      </c>
      <c r="I14" s="97" t="s">
        <v>43</v>
      </c>
      <c r="J14" s="97"/>
      <c r="K14" s="213"/>
      <c r="L14" s="213"/>
      <c r="M14" s="213"/>
      <c r="N14" s="213"/>
      <c r="O14" s="213"/>
      <c r="P14" s="213"/>
      <c r="Q14" s="213"/>
      <c r="R14" s="213"/>
    </row>
    <row r="15" spans="1:20" customFormat="1" x14ac:dyDescent="0.2">
      <c r="A15" s="13" t="s">
        <v>194</v>
      </c>
      <c r="B15" s="13" t="s">
        <v>11</v>
      </c>
      <c r="C15" s="13"/>
      <c r="D15" s="13"/>
      <c r="E15" s="59"/>
      <c r="F15" s="13"/>
      <c r="G15" s="13"/>
      <c r="H15" s="13" t="s">
        <v>67</v>
      </c>
      <c r="I15" s="97" t="s">
        <v>43</v>
      </c>
      <c r="J15" s="97"/>
      <c r="K15" s="213"/>
      <c r="L15" s="213"/>
      <c r="M15" s="213"/>
      <c r="N15" s="213"/>
      <c r="O15" s="213"/>
      <c r="P15" s="213"/>
      <c r="Q15" s="213"/>
      <c r="R15" s="213"/>
    </row>
    <row r="16" spans="1:20" customFormat="1" x14ac:dyDescent="0.2">
      <c r="A16" s="5" t="s">
        <v>470</v>
      </c>
      <c r="B16" s="5" t="s">
        <v>11</v>
      </c>
      <c r="C16" s="5"/>
      <c r="D16" s="5"/>
      <c r="E16" s="60"/>
      <c r="F16" s="5"/>
      <c r="G16" s="5"/>
      <c r="H16" s="5" t="s">
        <v>67</v>
      </c>
      <c r="I16" s="35" t="s">
        <v>43</v>
      </c>
      <c r="J16" s="35"/>
      <c r="K16" s="213"/>
      <c r="L16" s="213"/>
      <c r="M16" s="213"/>
      <c r="N16" s="213"/>
      <c r="O16" s="213"/>
      <c r="P16" s="213"/>
      <c r="Q16" s="213"/>
      <c r="R16" s="213"/>
    </row>
    <row r="17" spans="1:18" customFormat="1" x14ac:dyDescent="0.2">
      <c r="A17" s="5" t="s">
        <v>25</v>
      </c>
      <c r="B17" s="5" t="s">
        <v>11</v>
      </c>
      <c r="C17" s="5"/>
      <c r="D17" s="5"/>
      <c r="E17" s="60"/>
      <c r="F17" s="5"/>
      <c r="G17" s="5"/>
      <c r="H17" s="5" t="s">
        <v>67</v>
      </c>
      <c r="I17" s="35" t="s">
        <v>43</v>
      </c>
      <c r="J17" s="35"/>
      <c r="K17" s="213"/>
      <c r="L17" s="213"/>
      <c r="M17" s="213"/>
      <c r="N17" s="213"/>
      <c r="O17" s="213"/>
      <c r="P17" s="213"/>
      <c r="Q17" s="213"/>
      <c r="R17" s="213"/>
    </row>
    <row r="18" spans="1:18" customFormat="1" x14ac:dyDescent="0.2">
      <c r="A18" s="3" t="s">
        <v>438</v>
      </c>
      <c r="B18" s="5" t="s">
        <v>11</v>
      </c>
      <c r="C18" s="5"/>
      <c r="D18" s="5"/>
      <c r="E18" s="60"/>
      <c r="F18" s="5"/>
      <c r="G18" s="5"/>
      <c r="H18" s="3" t="s">
        <v>439</v>
      </c>
      <c r="I18" s="197" t="s">
        <v>191</v>
      </c>
      <c r="J18" s="197"/>
      <c r="K18" s="213"/>
      <c r="L18" s="213"/>
      <c r="M18" s="213"/>
      <c r="N18" s="213"/>
      <c r="O18" s="213"/>
      <c r="P18" s="213"/>
      <c r="Q18" s="213"/>
      <c r="R18" s="213"/>
    </row>
    <row r="19" spans="1:18" customFormat="1" x14ac:dyDescent="0.2">
      <c r="A19" s="5"/>
      <c r="B19" s="5"/>
      <c r="C19" s="5"/>
      <c r="D19" s="5"/>
      <c r="E19" s="60"/>
      <c r="F19" s="5"/>
      <c r="G19" s="5"/>
      <c r="H19" s="5"/>
      <c r="I19" s="35"/>
      <c r="J19" s="35"/>
      <c r="K19" s="213"/>
      <c r="L19" s="213"/>
      <c r="M19" s="213"/>
      <c r="N19" s="213"/>
      <c r="O19" s="213"/>
      <c r="P19" s="213"/>
      <c r="Q19" s="213"/>
      <c r="R19" s="213"/>
    </row>
    <row r="20" spans="1:18" customFormat="1" x14ac:dyDescent="0.2">
      <c r="A20" s="12" t="s">
        <v>33</v>
      </c>
      <c r="B20" s="13"/>
      <c r="C20" s="13"/>
      <c r="D20" s="13"/>
      <c r="E20" s="59"/>
      <c r="F20" s="13"/>
      <c r="G20" s="13"/>
      <c r="H20" s="13"/>
      <c r="I20" s="97"/>
      <c r="J20" s="97"/>
      <c r="K20" s="213"/>
      <c r="L20" s="213"/>
      <c r="M20" s="213"/>
      <c r="N20" s="213"/>
      <c r="O20" s="213"/>
      <c r="P20" s="213"/>
      <c r="Q20" s="213"/>
      <c r="R20" s="213"/>
    </row>
    <row r="21" spans="1:18" customFormat="1" x14ac:dyDescent="0.2">
      <c r="A21" s="13" t="s">
        <v>194</v>
      </c>
      <c r="B21" s="13" t="s">
        <v>30</v>
      </c>
      <c r="C21" s="13">
        <v>20190315</v>
      </c>
      <c r="D21" s="13">
        <v>1060</v>
      </c>
      <c r="E21" s="59" t="s">
        <v>35</v>
      </c>
      <c r="F21" s="13">
        <v>100</v>
      </c>
      <c r="G21" s="14" t="s">
        <v>194</v>
      </c>
      <c r="H21" s="13" t="s">
        <v>67</v>
      </c>
      <c r="I21" s="97" t="s">
        <v>43</v>
      </c>
      <c r="J21" s="97"/>
      <c r="K21" s="213"/>
      <c r="L21" s="213"/>
      <c r="M21" s="213"/>
      <c r="N21" s="213"/>
      <c r="O21" s="213"/>
      <c r="P21" s="213"/>
      <c r="Q21" s="213"/>
      <c r="R21" s="213"/>
    </row>
    <row r="22" spans="1:18" customFormat="1" x14ac:dyDescent="0.2">
      <c r="A22" s="13" t="s">
        <v>194</v>
      </c>
      <c r="B22" s="13" t="s">
        <v>30</v>
      </c>
      <c r="C22" s="13">
        <v>20190315</v>
      </c>
      <c r="D22" s="13">
        <v>1060</v>
      </c>
      <c r="E22" s="59" t="s">
        <v>26</v>
      </c>
      <c r="F22" s="13">
        <v>100</v>
      </c>
      <c r="G22" s="13" t="s">
        <v>194</v>
      </c>
      <c r="H22" s="13" t="s">
        <v>67</v>
      </c>
      <c r="I22" s="97" t="s">
        <v>43</v>
      </c>
      <c r="J22" s="97"/>
      <c r="K22" s="213"/>
      <c r="L22" s="213"/>
      <c r="M22" s="213"/>
      <c r="N22" s="213"/>
      <c r="O22" s="213"/>
      <c r="P22" s="213"/>
      <c r="Q22" s="213"/>
      <c r="R22" s="213"/>
    </row>
    <row r="23" spans="1:18" customFormat="1" x14ac:dyDescent="0.2">
      <c r="A23" s="13" t="s">
        <v>25</v>
      </c>
      <c r="B23" s="13" t="s">
        <v>30</v>
      </c>
      <c r="C23" s="13">
        <v>20190315</v>
      </c>
      <c r="D23" s="13">
        <v>120</v>
      </c>
      <c r="E23" s="59" t="s">
        <v>35</v>
      </c>
      <c r="F23" s="13">
        <v>100</v>
      </c>
      <c r="G23" s="13"/>
      <c r="H23" s="14" t="s">
        <v>67</v>
      </c>
      <c r="I23" s="97" t="s">
        <v>43</v>
      </c>
      <c r="J23" s="97"/>
      <c r="K23" s="213"/>
      <c r="L23" s="213"/>
      <c r="M23" s="213"/>
      <c r="N23" s="213"/>
      <c r="O23" s="213"/>
      <c r="P23" s="213"/>
      <c r="Q23" s="213"/>
      <c r="R23" s="213"/>
    </row>
    <row r="24" spans="1:18" customFormat="1" x14ac:dyDescent="0.2">
      <c r="A24" s="13" t="s">
        <v>25</v>
      </c>
      <c r="B24" s="13" t="s">
        <v>30</v>
      </c>
      <c r="C24" s="13">
        <v>20190315</v>
      </c>
      <c r="D24" s="13">
        <v>120</v>
      </c>
      <c r="E24" s="59" t="s">
        <v>26</v>
      </c>
      <c r="F24" s="13">
        <v>100</v>
      </c>
      <c r="G24" s="13"/>
      <c r="H24" s="13" t="s">
        <v>67</v>
      </c>
      <c r="I24" s="97" t="s">
        <v>43</v>
      </c>
      <c r="J24" s="97"/>
      <c r="K24" s="213"/>
      <c r="L24" s="213"/>
      <c r="M24" s="213"/>
      <c r="N24" s="213"/>
      <c r="O24" s="213"/>
      <c r="P24" s="213"/>
      <c r="Q24" s="213"/>
      <c r="R24" s="213"/>
    </row>
    <row r="25" spans="1:18" customFormat="1" x14ac:dyDescent="0.2">
      <c r="A25" s="5" t="s">
        <v>469</v>
      </c>
      <c r="B25" s="5" t="s">
        <v>30</v>
      </c>
      <c r="C25" s="13">
        <v>20190315</v>
      </c>
      <c r="D25" s="5">
        <v>185</v>
      </c>
      <c r="E25" s="60" t="s">
        <v>35</v>
      </c>
      <c r="F25" s="5"/>
      <c r="G25" s="5"/>
      <c r="H25" s="5" t="s">
        <v>67</v>
      </c>
      <c r="I25" s="35" t="s">
        <v>43</v>
      </c>
      <c r="J25" s="35"/>
      <c r="K25" s="213"/>
      <c r="L25" s="213"/>
      <c r="M25" s="213"/>
      <c r="N25" s="213"/>
      <c r="O25" s="213"/>
      <c r="P25" s="213"/>
      <c r="Q25" s="213"/>
      <c r="R25" s="213"/>
    </row>
    <row r="26" spans="1:18" customFormat="1" x14ac:dyDescent="0.2">
      <c r="A26" s="5" t="s">
        <v>469</v>
      </c>
      <c r="B26" s="5" t="s">
        <v>30</v>
      </c>
      <c r="C26" s="13">
        <v>20190315</v>
      </c>
      <c r="D26" s="5">
        <v>185</v>
      </c>
      <c r="E26" s="60" t="s">
        <v>26</v>
      </c>
      <c r="F26" s="5"/>
      <c r="G26" s="5"/>
      <c r="H26" s="5" t="s">
        <v>67</v>
      </c>
      <c r="I26" s="35" t="s">
        <v>43</v>
      </c>
      <c r="J26" s="35"/>
      <c r="K26" s="213"/>
      <c r="L26" s="213"/>
      <c r="M26" s="213"/>
      <c r="N26" s="213"/>
      <c r="O26" s="213"/>
      <c r="P26" s="213"/>
      <c r="Q26" s="213"/>
      <c r="R26" s="213"/>
    </row>
    <row r="27" spans="1:18" customFormat="1" x14ac:dyDescent="0.2">
      <c r="A27" s="5"/>
      <c r="B27" s="5"/>
      <c r="C27" s="5"/>
      <c r="D27" s="5"/>
      <c r="E27" s="60"/>
      <c r="F27" s="5"/>
      <c r="G27" s="5"/>
      <c r="H27" s="5"/>
      <c r="I27" s="35"/>
      <c r="J27" s="35"/>
      <c r="K27" s="213"/>
      <c r="L27" s="213"/>
      <c r="M27" s="213"/>
      <c r="N27" s="213"/>
      <c r="O27" s="213"/>
      <c r="P27" s="213"/>
      <c r="Q27" s="213"/>
      <c r="R27" s="213"/>
    </row>
    <row r="28" spans="1:18" customFormat="1" x14ac:dyDescent="0.2">
      <c r="A28" s="12" t="s">
        <v>338</v>
      </c>
      <c r="B28" s="13"/>
      <c r="C28" s="13"/>
      <c r="D28" s="13"/>
      <c r="E28" s="59"/>
      <c r="F28" s="13"/>
      <c r="G28" s="13"/>
      <c r="H28" s="13"/>
      <c r="I28" s="97"/>
      <c r="J28" s="97"/>
      <c r="K28" s="213"/>
      <c r="L28" s="213"/>
      <c r="M28" s="213"/>
      <c r="N28" s="213"/>
      <c r="O28" s="213"/>
      <c r="P28" s="213"/>
      <c r="Q28" s="213"/>
      <c r="R28" s="213"/>
    </row>
    <row r="29" spans="1:18" customFormat="1" x14ac:dyDescent="0.2">
      <c r="A29" s="13" t="s">
        <v>190</v>
      </c>
      <c r="B29" s="13" t="s">
        <v>31</v>
      </c>
      <c r="C29" s="13">
        <v>201906</v>
      </c>
      <c r="D29" s="13"/>
      <c r="E29" s="59"/>
      <c r="F29" s="13"/>
      <c r="G29" s="13"/>
      <c r="H29" s="13" t="s">
        <v>645</v>
      </c>
      <c r="I29" s="97" t="s">
        <v>191</v>
      </c>
      <c r="J29" s="97"/>
      <c r="K29" s="213"/>
      <c r="L29" s="213"/>
      <c r="M29" s="213"/>
      <c r="N29" s="213"/>
      <c r="O29" s="213"/>
      <c r="P29" s="213"/>
      <c r="Q29" s="213"/>
      <c r="R29" s="213"/>
    </row>
    <row r="30" spans="1:18" customFormat="1" x14ac:dyDescent="0.2">
      <c r="A30" s="13" t="s">
        <v>452</v>
      </c>
      <c r="B30" s="13" t="s">
        <v>31</v>
      </c>
      <c r="C30" s="13">
        <v>201706</v>
      </c>
      <c r="D30" s="13"/>
      <c r="E30" s="59"/>
      <c r="F30" s="13">
        <v>10</v>
      </c>
      <c r="G30" s="13"/>
      <c r="H30" s="13" t="s">
        <v>453</v>
      </c>
      <c r="I30" s="97" t="s">
        <v>454</v>
      </c>
      <c r="J30" s="97">
        <v>1</v>
      </c>
      <c r="K30" s="213"/>
      <c r="L30" s="213"/>
      <c r="M30" s="213"/>
      <c r="N30" s="213"/>
      <c r="O30" s="213"/>
      <c r="P30" s="213"/>
      <c r="Q30" s="213"/>
      <c r="R30" s="213"/>
    </row>
    <row r="31" spans="1:18" customFormat="1" x14ac:dyDescent="0.2">
      <c r="A31" s="13" t="s">
        <v>452</v>
      </c>
      <c r="B31" s="13" t="s">
        <v>646</v>
      </c>
      <c r="C31" s="13"/>
      <c r="D31" s="13"/>
      <c r="E31" s="59"/>
      <c r="F31" s="13"/>
      <c r="G31" s="13"/>
      <c r="H31" s="13" t="s">
        <v>453</v>
      </c>
      <c r="I31" s="97" t="s">
        <v>454</v>
      </c>
      <c r="J31" s="97"/>
      <c r="K31" s="213"/>
      <c r="L31" s="213"/>
      <c r="M31" s="213"/>
      <c r="N31" s="213"/>
      <c r="O31" s="213"/>
      <c r="P31" s="213"/>
      <c r="Q31" s="213"/>
      <c r="R31" s="213"/>
    </row>
    <row r="32" spans="1:18" customFormat="1" x14ac:dyDescent="0.2">
      <c r="A32" s="13"/>
      <c r="B32" s="13"/>
      <c r="C32" s="13"/>
      <c r="D32" s="13"/>
      <c r="E32" s="59"/>
      <c r="F32" s="13"/>
      <c r="G32" s="13"/>
      <c r="H32" s="13"/>
      <c r="I32" s="97"/>
      <c r="J32" s="97"/>
      <c r="K32" s="213"/>
      <c r="L32" s="213"/>
      <c r="M32" s="213"/>
      <c r="N32" s="213"/>
      <c r="O32" s="213"/>
      <c r="P32" s="213"/>
      <c r="Q32" s="213"/>
      <c r="R32" s="213"/>
    </row>
    <row r="33" spans="1:18" customFormat="1" x14ac:dyDescent="0.2">
      <c r="A33" s="12" t="s">
        <v>339</v>
      </c>
      <c r="B33" s="13"/>
      <c r="C33" s="13"/>
      <c r="D33" s="13"/>
      <c r="E33" s="59"/>
      <c r="F33" s="13"/>
      <c r="G33" s="13"/>
      <c r="H33" s="13"/>
      <c r="I33" s="97"/>
      <c r="J33" s="97"/>
      <c r="K33" s="213"/>
      <c r="L33" s="213"/>
      <c r="M33" s="213"/>
      <c r="N33" s="213"/>
      <c r="O33" s="213"/>
      <c r="P33" s="213"/>
      <c r="Q33" s="213"/>
      <c r="R33" s="213"/>
    </row>
    <row r="34" spans="1:18" customFormat="1" x14ac:dyDescent="0.2">
      <c r="A34" s="13" t="s">
        <v>192</v>
      </c>
      <c r="B34" s="13" t="s">
        <v>31</v>
      </c>
      <c r="C34" s="13">
        <v>201706</v>
      </c>
      <c r="D34" s="13"/>
      <c r="E34" s="59"/>
      <c r="F34" s="13">
        <v>1000</v>
      </c>
      <c r="G34" s="13"/>
      <c r="H34" s="13" t="s">
        <v>193</v>
      </c>
      <c r="I34" s="97" t="s">
        <v>43</v>
      </c>
      <c r="J34" s="97">
        <v>1</v>
      </c>
      <c r="K34" s="213"/>
      <c r="L34" s="213"/>
      <c r="M34" s="213"/>
      <c r="N34" s="213"/>
      <c r="O34" s="213"/>
      <c r="P34" s="213"/>
      <c r="Q34" s="213"/>
      <c r="R34" s="213"/>
    </row>
    <row r="35" spans="1:18" customFormat="1" x14ac:dyDescent="0.2">
      <c r="A35" s="13" t="s">
        <v>192</v>
      </c>
      <c r="B35" s="13" t="s">
        <v>31</v>
      </c>
      <c r="C35" s="13">
        <v>201703</v>
      </c>
      <c r="D35" s="13"/>
      <c r="E35" s="59"/>
      <c r="F35" s="13">
        <v>1000</v>
      </c>
      <c r="G35" s="13"/>
      <c r="H35" s="13" t="s">
        <v>193</v>
      </c>
      <c r="I35" s="97" t="s">
        <v>43</v>
      </c>
      <c r="J35" s="97">
        <v>1</v>
      </c>
      <c r="K35" s="213"/>
      <c r="L35" s="213"/>
      <c r="M35" s="213"/>
      <c r="N35" s="213"/>
      <c r="O35" s="213"/>
      <c r="P35" s="213"/>
      <c r="Q35" s="213"/>
      <c r="R35" s="213"/>
    </row>
    <row r="36" spans="1:18" customFormat="1" x14ac:dyDescent="0.2">
      <c r="A36" s="13"/>
      <c r="B36" s="13"/>
      <c r="C36" s="13"/>
      <c r="D36" s="13"/>
      <c r="E36" s="59"/>
      <c r="F36" s="13"/>
      <c r="G36" s="13"/>
      <c r="H36" s="13"/>
      <c r="I36" s="97"/>
      <c r="J36" s="97"/>
      <c r="K36" s="213"/>
      <c r="L36" s="213"/>
      <c r="M36" s="213"/>
      <c r="N36" s="213"/>
      <c r="O36" s="213"/>
      <c r="P36" s="213"/>
      <c r="Q36" s="213"/>
      <c r="R36" s="213"/>
    </row>
    <row r="37" spans="1:18" customFormat="1" x14ac:dyDescent="0.2">
      <c r="A37" s="12" t="s">
        <v>336</v>
      </c>
      <c r="B37" s="13"/>
      <c r="C37" s="13"/>
      <c r="D37" s="13"/>
      <c r="E37" s="59"/>
      <c r="F37" s="13"/>
      <c r="G37" s="13"/>
      <c r="H37" s="13"/>
      <c r="I37" s="97"/>
      <c r="J37" s="97"/>
      <c r="K37" s="213"/>
      <c r="L37" s="213"/>
      <c r="M37" s="213"/>
      <c r="N37" s="213"/>
      <c r="O37" s="213"/>
      <c r="P37" s="213"/>
      <c r="Q37" s="213"/>
      <c r="R37" s="213"/>
    </row>
    <row r="38" spans="1:18" customFormat="1" x14ac:dyDescent="0.2">
      <c r="A38" s="13" t="s">
        <v>188</v>
      </c>
      <c r="B38" s="13" t="s">
        <v>31</v>
      </c>
      <c r="C38" s="13">
        <v>201706</v>
      </c>
      <c r="D38" s="13"/>
      <c r="E38" s="59"/>
      <c r="F38" s="13">
        <v>500</v>
      </c>
      <c r="G38" s="13"/>
      <c r="H38" s="13" t="s">
        <v>189</v>
      </c>
      <c r="I38" s="97" t="s">
        <v>43</v>
      </c>
      <c r="J38" s="97">
        <v>1</v>
      </c>
      <c r="K38" s="213"/>
      <c r="L38" s="213"/>
      <c r="M38" s="213"/>
      <c r="N38" s="213"/>
      <c r="O38" s="213"/>
      <c r="P38" s="213"/>
      <c r="Q38" s="213"/>
      <c r="R38" s="213"/>
    </row>
    <row r="39" spans="1:18" customFormat="1" x14ac:dyDescent="0.2">
      <c r="A39" s="13" t="s">
        <v>337</v>
      </c>
      <c r="B39" s="13" t="s">
        <v>31</v>
      </c>
      <c r="C39" s="13">
        <v>201706</v>
      </c>
      <c r="D39" s="13"/>
      <c r="E39" s="59"/>
      <c r="F39" s="13">
        <v>2500</v>
      </c>
      <c r="G39" s="13"/>
      <c r="H39" s="13" t="s">
        <v>189</v>
      </c>
      <c r="I39" s="97" t="s">
        <v>43</v>
      </c>
      <c r="J39" s="97">
        <v>1</v>
      </c>
      <c r="K39" s="213"/>
      <c r="L39" s="213"/>
      <c r="M39" s="213"/>
      <c r="N39" s="213"/>
      <c r="O39" s="213"/>
      <c r="P39" s="213"/>
      <c r="Q39" s="213"/>
      <c r="R39" s="213"/>
    </row>
    <row r="40" spans="1:18" customFormat="1" x14ac:dyDescent="0.2">
      <c r="A40" s="14" t="s">
        <v>369</v>
      </c>
      <c r="B40" s="14" t="s">
        <v>31</v>
      </c>
      <c r="C40" s="13">
        <v>201706</v>
      </c>
      <c r="D40" s="13"/>
      <c r="E40" s="59"/>
      <c r="F40" s="13"/>
      <c r="G40" s="13"/>
      <c r="H40" s="14" t="s">
        <v>318</v>
      </c>
      <c r="I40" s="157" t="s">
        <v>43</v>
      </c>
      <c r="J40" s="157">
        <v>1</v>
      </c>
      <c r="K40" s="213"/>
      <c r="L40" s="213"/>
      <c r="M40" s="213"/>
      <c r="N40" s="213"/>
      <c r="O40" s="213"/>
      <c r="P40" s="213"/>
      <c r="Q40" s="213"/>
      <c r="R40" s="213"/>
    </row>
    <row r="41" spans="1:18" customFormat="1" x14ac:dyDescent="0.2">
      <c r="A41" s="13"/>
      <c r="B41" s="13"/>
      <c r="C41" s="13"/>
      <c r="D41" s="13"/>
      <c r="E41" s="59"/>
      <c r="F41" s="13"/>
      <c r="G41" s="13"/>
      <c r="H41" s="13"/>
      <c r="I41" s="97"/>
      <c r="J41" s="97"/>
      <c r="K41" s="213"/>
      <c r="L41" s="213"/>
      <c r="M41" s="213"/>
      <c r="N41" s="213"/>
      <c r="O41" s="213"/>
      <c r="P41" s="213"/>
      <c r="Q41" s="213"/>
      <c r="R41" s="213"/>
    </row>
    <row r="42" spans="1:18" customFormat="1" x14ac:dyDescent="0.2">
      <c r="A42" s="12" t="s">
        <v>120</v>
      </c>
      <c r="B42" s="13"/>
      <c r="C42" s="13"/>
      <c r="D42" s="13"/>
      <c r="E42" s="59"/>
      <c r="F42" s="13"/>
      <c r="G42" s="13"/>
      <c r="H42" s="13"/>
      <c r="I42" s="97"/>
      <c r="J42" s="97"/>
      <c r="K42" s="213"/>
      <c r="L42" s="213"/>
      <c r="M42" s="213"/>
      <c r="N42" s="213"/>
      <c r="O42" s="213"/>
      <c r="P42" s="213"/>
      <c r="Q42" s="213"/>
      <c r="R42" s="213"/>
    </row>
    <row r="43" spans="1:18" customFormat="1" x14ac:dyDescent="0.2">
      <c r="A43" s="13" t="s">
        <v>192</v>
      </c>
      <c r="B43" s="13" t="s">
        <v>119</v>
      </c>
      <c r="C43" s="13">
        <v>201906</v>
      </c>
      <c r="D43" s="13">
        <v>130</v>
      </c>
      <c r="E43" s="59" t="s">
        <v>26</v>
      </c>
      <c r="F43" s="13">
        <v>1000</v>
      </c>
      <c r="G43" s="13"/>
      <c r="H43" s="13" t="s">
        <v>193</v>
      </c>
      <c r="I43" s="97" t="s">
        <v>43</v>
      </c>
      <c r="J43" s="97"/>
      <c r="K43" s="213"/>
      <c r="L43" s="213"/>
      <c r="M43" s="213"/>
      <c r="N43" s="213"/>
      <c r="O43" s="213"/>
      <c r="P43" s="213"/>
      <c r="Q43" s="213"/>
      <c r="R43" s="213"/>
    </row>
    <row r="44" spans="1:18" customFormat="1" x14ac:dyDescent="0.2">
      <c r="A44" s="13" t="s">
        <v>192</v>
      </c>
      <c r="B44" s="13" t="s">
        <v>119</v>
      </c>
      <c r="C44" s="13">
        <v>201906</v>
      </c>
      <c r="D44" s="13">
        <v>130</v>
      </c>
      <c r="E44" s="59" t="s">
        <v>35</v>
      </c>
      <c r="F44" s="13">
        <v>1000</v>
      </c>
      <c r="G44" s="13"/>
      <c r="H44" s="13" t="s">
        <v>193</v>
      </c>
      <c r="I44" s="97" t="s">
        <v>43</v>
      </c>
      <c r="J44" s="97"/>
      <c r="K44" s="213"/>
      <c r="L44" s="213"/>
      <c r="M44" s="213"/>
      <c r="N44" s="213"/>
      <c r="O44" s="213"/>
      <c r="P44" s="213"/>
      <c r="Q44" s="213"/>
      <c r="R44" s="213"/>
    </row>
    <row r="45" spans="1:18" customFormat="1" x14ac:dyDescent="0.2">
      <c r="A45" s="13"/>
      <c r="B45" s="13"/>
      <c r="C45" s="13"/>
      <c r="D45" s="13"/>
      <c r="E45" s="59"/>
      <c r="F45" s="13"/>
      <c r="G45" s="13"/>
      <c r="H45" s="13"/>
      <c r="I45" s="97"/>
      <c r="J45" s="97"/>
      <c r="K45" s="213"/>
      <c r="L45" s="213"/>
      <c r="M45" s="213"/>
      <c r="N45" s="213"/>
      <c r="O45" s="213"/>
      <c r="P45" s="213"/>
      <c r="Q45" s="213"/>
      <c r="R45" s="213"/>
    </row>
    <row r="46" spans="1:18" customFormat="1" x14ac:dyDescent="0.2">
      <c r="A46" s="12" t="s">
        <v>36</v>
      </c>
      <c r="B46" s="13"/>
      <c r="C46" s="13"/>
      <c r="D46" s="13"/>
      <c r="E46" s="59"/>
      <c r="F46" s="13"/>
      <c r="G46" s="13"/>
      <c r="H46" s="13"/>
      <c r="I46" s="97"/>
      <c r="J46" s="97"/>
      <c r="K46" s="213"/>
      <c r="L46" s="213"/>
      <c r="M46" s="213"/>
      <c r="N46" s="213"/>
      <c r="O46" s="213"/>
      <c r="P46" s="213"/>
      <c r="Q46" s="213"/>
      <c r="R46" s="213"/>
    </row>
    <row r="47" spans="1:18" customFormat="1" x14ac:dyDescent="0.2">
      <c r="A47" s="14" t="s">
        <v>44</v>
      </c>
      <c r="B47" s="13" t="s">
        <v>38</v>
      </c>
      <c r="C47" s="13"/>
      <c r="D47" s="13"/>
      <c r="E47" s="59"/>
      <c r="F47" s="13"/>
      <c r="G47" s="13"/>
      <c r="H47" s="13" t="s">
        <v>45</v>
      </c>
      <c r="I47" s="97" t="s">
        <v>43</v>
      </c>
      <c r="J47" s="97"/>
      <c r="K47" s="213"/>
      <c r="L47" s="213"/>
      <c r="M47" s="213"/>
      <c r="N47" s="213"/>
      <c r="O47" s="213"/>
      <c r="P47" s="213"/>
      <c r="Q47" s="213"/>
      <c r="R47" s="213"/>
    </row>
    <row r="48" spans="1:18" customFormat="1" x14ac:dyDescent="0.2">
      <c r="A48" s="13" t="s">
        <v>37</v>
      </c>
      <c r="B48" s="13" t="s">
        <v>38</v>
      </c>
      <c r="C48" s="13"/>
      <c r="D48" s="13"/>
      <c r="E48" s="59"/>
      <c r="F48" s="13"/>
      <c r="G48" s="13"/>
      <c r="H48" s="13" t="s">
        <v>39</v>
      </c>
      <c r="I48" s="97" t="s">
        <v>43</v>
      </c>
      <c r="J48" s="97"/>
      <c r="K48" s="213"/>
      <c r="L48" s="213"/>
      <c r="M48" s="213"/>
      <c r="N48" s="213"/>
      <c r="O48" s="213"/>
      <c r="P48" s="213"/>
      <c r="Q48" s="213"/>
      <c r="R48" s="213"/>
    </row>
    <row r="49" spans="1:18" customFormat="1" x14ac:dyDescent="0.2">
      <c r="A49" s="13" t="s">
        <v>644</v>
      </c>
      <c r="B49" s="13" t="s">
        <v>38</v>
      </c>
      <c r="C49" s="13"/>
      <c r="D49" s="13"/>
      <c r="E49" s="59"/>
      <c r="F49" s="13"/>
      <c r="G49" s="13"/>
      <c r="H49" s="13" t="s">
        <v>450</v>
      </c>
      <c r="I49" s="97" t="s">
        <v>43</v>
      </c>
      <c r="J49" s="97"/>
      <c r="K49" s="213"/>
      <c r="L49" s="213"/>
      <c r="M49" s="213"/>
      <c r="N49" s="213"/>
      <c r="O49" s="213"/>
      <c r="P49" s="213"/>
      <c r="Q49" s="213"/>
      <c r="R49" s="213"/>
    </row>
    <row r="50" spans="1:18" customFormat="1" x14ac:dyDescent="0.2">
      <c r="A50" s="13" t="s">
        <v>448</v>
      </c>
      <c r="B50" s="13" t="s">
        <v>38</v>
      </c>
      <c r="C50" s="13"/>
      <c r="D50" s="13"/>
      <c r="E50" s="59"/>
      <c r="F50" s="13"/>
      <c r="G50" s="13"/>
      <c r="H50" s="13" t="s">
        <v>207</v>
      </c>
      <c r="I50" s="97" t="s">
        <v>43</v>
      </c>
      <c r="J50" s="97"/>
      <c r="K50" s="213"/>
      <c r="L50" s="213"/>
      <c r="M50" s="213"/>
      <c r="N50" s="213"/>
      <c r="O50" s="213"/>
      <c r="P50" s="213"/>
      <c r="Q50" s="213"/>
      <c r="R50" s="213"/>
    </row>
    <row r="51" spans="1:18" customFormat="1" x14ac:dyDescent="0.2">
      <c r="A51" s="13" t="s">
        <v>449</v>
      </c>
      <c r="B51" s="13" t="s">
        <v>38</v>
      </c>
      <c r="C51" s="13"/>
      <c r="D51" s="13"/>
      <c r="E51" s="59"/>
      <c r="F51" s="13"/>
      <c r="G51" s="13"/>
      <c r="H51" s="13" t="s">
        <v>450</v>
      </c>
      <c r="I51" s="97" t="s">
        <v>43</v>
      </c>
      <c r="J51" s="97"/>
      <c r="K51" s="213"/>
      <c r="L51" s="213"/>
      <c r="M51" s="213"/>
      <c r="N51" s="213"/>
      <c r="O51" s="213"/>
      <c r="P51" s="213"/>
      <c r="Q51" s="213"/>
      <c r="R51" s="213"/>
    </row>
    <row r="52" spans="1:18" customFormat="1" x14ac:dyDescent="0.2">
      <c r="A52" s="13" t="s">
        <v>451</v>
      </c>
      <c r="B52" s="13" t="s">
        <v>38</v>
      </c>
      <c r="C52" s="13"/>
      <c r="D52" s="13"/>
      <c r="E52" s="59"/>
      <c r="F52" s="13"/>
      <c r="G52" s="13"/>
      <c r="H52" s="13" t="s">
        <v>39</v>
      </c>
      <c r="I52" s="97" t="s">
        <v>43</v>
      </c>
      <c r="J52" s="97"/>
      <c r="K52" s="213"/>
      <c r="L52" s="213"/>
      <c r="M52" s="213"/>
      <c r="N52" s="213"/>
      <c r="O52" s="213"/>
      <c r="P52" s="213"/>
      <c r="Q52" s="213"/>
      <c r="R52" s="213"/>
    </row>
    <row r="53" spans="1:18" customFormat="1" x14ac:dyDescent="0.2">
      <c r="A53" s="13"/>
      <c r="B53" s="13"/>
      <c r="C53" s="13"/>
      <c r="D53" s="13"/>
      <c r="E53" s="59"/>
      <c r="F53" s="13"/>
      <c r="G53" s="13"/>
      <c r="H53" s="13"/>
      <c r="I53" s="97"/>
      <c r="J53" s="97"/>
      <c r="K53" s="213"/>
      <c r="L53" s="213"/>
      <c r="M53" s="213"/>
      <c r="N53" s="213"/>
      <c r="O53" s="213"/>
      <c r="P53" s="213"/>
      <c r="Q53" s="213"/>
      <c r="R53" s="213"/>
    </row>
    <row r="54" spans="1:18" customFormat="1" x14ac:dyDescent="0.2">
      <c r="A54" s="12" t="s">
        <v>40</v>
      </c>
      <c r="B54" s="13"/>
      <c r="C54" s="13"/>
      <c r="D54" s="13"/>
      <c r="E54" s="59"/>
      <c r="F54" s="13"/>
      <c r="G54" s="13"/>
      <c r="H54" s="13"/>
      <c r="I54" s="97"/>
      <c r="J54" s="97"/>
      <c r="K54" s="213"/>
      <c r="L54" s="213"/>
      <c r="M54" s="213"/>
      <c r="N54" s="213"/>
      <c r="O54" s="213"/>
      <c r="P54" s="213"/>
      <c r="Q54" s="213"/>
      <c r="R54" s="213"/>
    </row>
    <row r="55" spans="1:18" customFormat="1" x14ac:dyDescent="0.2">
      <c r="A55" s="13" t="s">
        <v>41</v>
      </c>
      <c r="B55" s="13" t="s">
        <v>42</v>
      </c>
      <c r="C55" s="13"/>
      <c r="D55" s="13"/>
      <c r="E55" s="59"/>
      <c r="F55" s="13"/>
      <c r="G55" s="13"/>
      <c r="H55" s="13" t="s">
        <v>468</v>
      </c>
      <c r="I55" s="97" t="s">
        <v>43</v>
      </c>
      <c r="J55" s="97"/>
      <c r="K55" s="213"/>
      <c r="L55" s="213"/>
      <c r="M55" s="213"/>
      <c r="N55" s="213"/>
      <c r="O55" s="213"/>
      <c r="P55" s="213"/>
      <c r="Q55" s="213"/>
      <c r="R55" s="213"/>
    </row>
    <row r="56" spans="1:18" customFormat="1" x14ac:dyDescent="0.2">
      <c r="A56" s="13" t="s">
        <v>41</v>
      </c>
      <c r="B56" s="13" t="s">
        <v>42</v>
      </c>
      <c r="C56" s="13"/>
      <c r="D56" s="13"/>
      <c r="E56" s="59"/>
      <c r="F56" s="13"/>
      <c r="G56" s="13"/>
      <c r="H56" s="13" t="s">
        <v>468</v>
      </c>
      <c r="I56" s="97" t="s">
        <v>46</v>
      </c>
      <c r="J56" s="97"/>
      <c r="K56" s="213"/>
      <c r="L56" s="213"/>
      <c r="M56" s="213"/>
      <c r="N56" s="213"/>
      <c r="O56" s="213"/>
      <c r="P56" s="213"/>
      <c r="Q56" s="213"/>
      <c r="R56" s="213"/>
    </row>
    <row r="57" spans="1:18" customFormat="1" x14ac:dyDescent="0.2">
      <c r="A57" s="13"/>
      <c r="B57" s="53"/>
      <c r="C57" s="53"/>
      <c r="D57" s="53"/>
      <c r="E57" s="61"/>
      <c r="F57" s="53"/>
      <c r="G57" s="53"/>
      <c r="H57" s="53"/>
      <c r="I57" s="53"/>
      <c r="J57" s="53"/>
      <c r="K57" s="213"/>
      <c r="L57" s="213"/>
      <c r="M57" s="213"/>
      <c r="N57" s="213"/>
      <c r="O57" s="213"/>
      <c r="P57" s="213"/>
      <c r="Q57" s="213"/>
      <c r="R57" s="213"/>
    </row>
    <row r="58" spans="1:18" customFormat="1" x14ac:dyDescent="0.2">
      <c r="A58" s="12" t="s">
        <v>457</v>
      </c>
      <c r="B58" s="13"/>
      <c r="C58" s="13"/>
      <c r="D58" s="13"/>
      <c r="E58" s="59"/>
      <c r="F58" s="13"/>
      <c r="G58" s="13"/>
      <c r="H58" s="13"/>
      <c r="I58" s="97"/>
      <c r="J58" s="97"/>
      <c r="K58" s="213"/>
      <c r="L58" s="213"/>
      <c r="M58" s="213"/>
      <c r="N58" s="213"/>
      <c r="O58" s="213"/>
      <c r="P58" s="213"/>
      <c r="Q58" s="213"/>
      <c r="R58" s="213"/>
    </row>
    <row r="59" spans="1:18" customFormat="1" x14ac:dyDescent="0.2">
      <c r="A59" s="187" t="s">
        <v>194</v>
      </c>
      <c r="B59" s="3" t="s">
        <v>455</v>
      </c>
      <c r="C59" s="5">
        <v>20200114</v>
      </c>
      <c r="D59" s="5">
        <v>1240</v>
      </c>
      <c r="E59" s="59" t="s">
        <v>35</v>
      </c>
      <c r="F59" s="5">
        <v>0.01</v>
      </c>
      <c r="G59" s="5"/>
      <c r="H59" s="3" t="s">
        <v>461</v>
      </c>
      <c r="I59" s="197" t="s">
        <v>41</v>
      </c>
      <c r="J59" s="197"/>
      <c r="K59" s="213"/>
      <c r="L59" s="213"/>
      <c r="M59" s="213"/>
      <c r="N59" s="213"/>
      <c r="O59" s="213"/>
      <c r="P59" s="213"/>
      <c r="Q59" s="213"/>
      <c r="R59" s="213"/>
    </row>
    <row r="60" spans="1:18" customFormat="1" x14ac:dyDescent="0.2">
      <c r="A60" s="13"/>
      <c r="B60" s="13"/>
      <c r="C60" s="13"/>
      <c r="D60" s="13"/>
      <c r="E60" s="59"/>
      <c r="F60" s="13"/>
      <c r="G60" s="13"/>
      <c r="H60" s="13"/>
      <c r="I60" s="97"/>
      <c r="J60" s="97"/>
      <c r="K60" s="213"/>
      <c r="L60" s="213"/>
      <c r="M60" s="213"/>
      <c r="N60" s="213"/>
      <c r="O60" s="213"/>
      <c r="P60" s="213"/>
      <c r="Q60" s="213"/>
      <c r="R60" s="213"/>
    </row>
    <row r="61" spans="1:18" customFormat="1" x14ac:dyDescent="0.2">
      <c r="A61" s="188" t="s">
        <v>458</v>
      </c>
      <c r="B61" s="3"/>
      <c r="C61" s="5"/>
      <c r="D61" s="5"/>
      <c r="E61" s="59"/>
      <c r="F61" s="5"/>
      <c r="G61" s="5"/>
      <c r="H61" s="3"/>
      <c r="I61" s="197"/>
      <c r="J61" s="197"/>
      <c r="K61" s="213"/>
      <c r="L61" s="213"/>
      <c r="M61" s="213"/>
      <c r="N61" s="213"/>
      <c r="O61" s="213"/>
      <c r="P61" s="213"/>
      <c r="Q61" s="213"/>
      <c r="R61" s="213"/>
    </row>
    <row r="62" spans="1:18" customFormat="1" x14ac:dyDescent="0.2">
      <c r="A62" s="14" t="s">
        <v>25</v>
      </c>
      <c r="B62" s="14" t="s">
        <v>456</v>
      </c>
      <c r="C62" s="13" t="s">
        <v>647</v>
      </c>
      <c r="D62" s="13">
        <v>127</v>
      </c>
      <c r="E62" s="158" t="s">
        <v>35</v>
      </c>
      <c r="F62" s="13">
        <v>0.1</v>
      </c>
      <c r="G62" s="13"/>
      <c r="H62" s="14" t="s">
        <v>461</v>
      </c>
      <c r="I62" s="157" t="s">
        <v>41</v>
      </c>
      <c r="J62" s="157"/>
      <c r="K62" s="213"/>
      <c r="L62" s="213"/>
      <c r="M62" s="213"/>
      <c r="N62" s="213"/>
      <c r="O62" s="213"/>
      <c r="P62" s="213"/>
      <c r="Q62" s="213"/>
      <c r="R62" s="213"/>
    </row>
    <row r="63" spans="1:18" customFormat="1" x14ac:dyDescent="0.2">
      <c r="A63" s="188"/>
      <c r="B63" s="3"/>
      <c r="C63" s="5"/>
      <c r="D63" s="5"/>
      <c r="E63" s="59"/>
      <c r="F63" s="5"/>
      <c r="G63" s="5"/>
      <c r="H63" s="3"/>
      <c r="I63" s="197"/>
      <c r="J63" s="197"/>
      <c r="K63" s="213"/>
      <c r="L63" s="213"/>
      <c r="M63" s="213"/>
      <c r="N63" s="213"/>
      <c r="O63" s="213"/>
      <c r="P63" s="213"/>
      <c r="Q63" s="213"/>
      <c r="R63" s="213"/>
    </row>
    <row r="64" spans="1:18" customFormat="1" x14ac:dyDescent="0.2">
      <c r="A64" s="14"/>
      <c r="B64" s="14"/>
      <c r="C64" s="13"/>
      <c r="D64" s="13"/>
      <c r="E64" s="158"/>
      <c r="F64" s="13"/>
      <c r="G64" s="13"/>
      <c r="H64" s="14"/>
      <c r="I64" s="157"/>
      <c r="J64" s="157"/>
      <c r="K64" s="213"/>
      <c r="L64" s="213"/>
      <c r="M64" s="213"/>
      <c r="N64" s="213"/>
      <c r="O64" s="213"/>
      <c r="P64" s="213"/>
      <c r="Q64" s="213"/>
      <c r="R64" s="213"/>
    </row>
    <row r="65" spans="1:18" customFormat="1" x14ac:dyDescent="0.2">
      <c r="A65" s="14"/>
      <c r="B65" s="13"/>
      <c r="C65" s="13"/>
      <c r="D65" s="13"/>
      <c r="E65" s="59"/>
      <c r="F65" s="13"/>
      <c r="G65" s="13"/>
      <c r="H65" s="13"/>
      <c r="I65" s="13"/>
      <c r="J65" s="97"/>
      <c r="K65" s="213"/>
      <c r="L65" s="213"/>
      <c r="M65" s="213"/>
      <c r="N65" s="213"/>
      <c r="O65" s="213"/>
      <c r="P65" s="213"/>
      <c r="Q65" s="213"/>
      <c r="R65" s="213"/>
    </row>
    <row r="66" spans="1:18" customFormat="1" x14ac:dyDescent="0.2">
      <c r="J66" s="97"/>
      <c r="K66" s="213"/>
      <c r="L66" s="213"/>
      <c r="M66" s="213"/>
      <c r="N66" s="213"/>
      <c r="O66" s="213"/>
      <c r="P66" s="213"/>
      <c r="Q66" s="213"/>
      <c r="R66" s="213"/>
    </row>
    <row r="67" spans="1:18" customFormat="1" x14ac:dyDescent="0.2">
      <c r="J67" s="97"/>
      <c r="K67" s="213"/>
      <c r="L67" s="213"/>
      <c r="M67" s="213"/>
      <c r="N67" s="213"/>
      <c r="O67" s="213"/>
      <c r="P67" s="213"/>
      <c r="Q67" s="213"/>
      <c r="R67" s="213"/>
    </row>
    <row r="68" spans="1:18" customFormat="1" x14ac:dyDescent="0.2">
      <c r="J68" s="97"/>
      <c r="K68" s="213"/>
      <c r="L68" s="213"/>
      <c r="M68" s="213"/>
      <c r="N68" s="213"/>
      <c r="O68" s="213"/>
      <c r="P68" s="213"/>
      <c r="Q68" s="213"/>
      <c r="R68" s="213"/>
    </row>
    <row r="69" spans="1:18" customFormat="1" x14ac:dyDescent="0.2">
      <c r="J69" s="97"/>
      <c r="K69" s="213"/>
      <c r="L69" s="213"/>
      <c r="M69" s="213"/>
      <c r="N69" s="213"/>
      <c r="O69" s="213"/>
      <c r="P69" s="213"/>
      <c r="Q69" s="213"/>
      <c r="R69" s="213"/>
    </row>
    <row r="70" spans="1:18" customFormat="1" x14ac:dyDescent="0.2">
      <c r="J70" s="97"/>
      <c r="K70" s="213"/>
      <c r="L70" s="213"/>
      <c r="M70" s="213"/>
      <c r="N70" s="213"/>
      <c r="O70" s="213"/>
      <c r="P70" s="213"/>
      <c r="Q70" s="213"/>
      <c r="R70" s="213"/>
    </row>
    <row r="71" spans="1:18" customFormat="1" x14ac:dyDescent="0.2">
      <c r="J71" s="97"/>
      <c r="K71" s="213"/>
      <c r="L71" s="213"/>
      <c r="M71" s="213"/>
      <c r="N71" s="213"/>
      <c r="O71" s="213"/>
      <c r="P71" s="213"/>
      <c r="Q71" s="213"/>
      <c r="R71" s="213"/>
    </row>
    <row r="72" spans="1:18" customFormat="1" x14ac:dyDescent="0.2">
      <c r="J72" s="97"/>
      <c r="K72" s="213"/>
      <c r="L72" s="213"/>
      <c r="M72" s="213"/>
      <c r="N72" s="213"/>
      <c r="O72" s="213"/>
      <c r="P72" s="213"/>
      <c r="Q72" s="213"/>
      <c r="R72" s="213"/>
    </row>
    <row r="73" spans="1:18" customFormat="1" x14ac:dyDescent="0.2">
      <c r="J73" s="97"/>
      <c r="K73" s="213"/>
      <c r="L73" s="213"/>
      <c r="M73" s="213"/>
      <c r="N73" s="213"/>
      <c r="O73" s="213"/>
      <c r="P73" s="213"/>
      <c r="Q73" s="213"/>
      <c r="R73" s="213"/>
    </row>
    <row r="74" spans="1:18" customFormat="1" x14ac:dyDescent="0.2">
      <c r="J74" s="97"/>
      <c r="K74" s="213"/>
      <c r="L74" s="213"/>
      <c r="M74" s="213"/>
      <c r="N74" s="213"/>
      <c r="O74" s="213"/>
      <c r="P74" s="213"/>
      <c r="Q74" s="213"/>
      <c r="R74" s="213"/>
    </row>
    <row r="75" spans="1:18" customFormat="1" x14ac:dyDescent="0.2">
      <c r="J75" s="97"/>
      <c r="K75" s="213"/>
      <c r="L75" s="213"/>
      <c r="M75" s="213"/>
      <c r="N75" s="213"/>
      <c r="O75" s="213"/>
      <c r="P75" s="213"/>
      <c r="Q75" s="213"/>
      <c r="R75" s="213"/>
    </row>
    <row r="76" spans="1:18" customFormat="1" x14ac:dyDescent="0.2">
      <c r="J76" s="97"/>
      <c r="K76" s="213"/>
      <c r="L76" s="213"/>
      <c r="M76" s="213"/>
      <c r="N76" s="213"/>
      <c r="O76" s="213"/>
      <c r="P76" s="213"/>
      <c r="Q76" s="213"/>
      <c r="R76" s="213"/>
    </row>
    <row r="77" spans="1:18" customFormat="1" x14ac:dyDescent="0.2">
      <c r="J77" s="97"/>
      <c r="K77" s="213"/>
      <c r="L77" s="213"/>
      <c r="M77" s="213"/>
      <c r="N77" s="213"/>
      <c r="O77" s="213"/>
      <c r="P77" s="213"/>
      <c r="Q77" s="213"/>
      <c r="R77" s="213"/>
    </row>
    <row r="78" spans="1:18" customFormat="1" x14ac:dyDescent="0.2">
      <c r="J78" s="97"/>
      <c r="K78" s="213"/>
      <c r="L78" s="213"/>
      <c r="M78" s="213"/>
      <c r="N78" s="213"/>
      <c r="O78" s="213"/>
      <c r="P78" s="213"/>
      <c r="Q78" s="213"/>
      <c r="R78" s="213"/>
    </row>
    <row r="79" spans="1:18" customFormat="1" x14ac:dyDescent="0.2">
      <c r="J79" s="97"/>
      <c r="K79" s="213"/>
      <c r="L79" s="213"/>
      <c r="M79" s="213"/>
      <c r="N79" s="213"/>
      <c r="O79" s="213"/>
      <c r="P79" s="213"/>
      <c r="Q79" s="213"/>
      <c r="R79" s="213"/>
    </row>
    <row r="80" spans="1:18" customFormat="1" x14ac:dyDescent="0.2">
      <c r="J80" s="97"/>
      <c r="K80" s="213"/>
      <c r="L80" s="213"/>
      <c r="M80" s="213"/>
      <c r="N80" s="213"/>
      <c r="O80" s="213"/>
      <c r="P80" s="213"/>
      <c r="Q80" s="213"/>
      <c r="R80" s="213"/>
    </row>
    <row r="81" spans="10:18" customFormat="1" x14ac:dyDescent="0.2">
      <c r="J81" s="97"/>
      <c r="K81" s="213"/>
      <c r="L81" s="213"/>
      <c r="M81" s="213"/>
      <c r="N81" s="213"/>
      <c r="O81" s="213"/>
      <c r="P81" s="213"/>
      <c r="Q81" s="213"/>
      <c r="R81" s="213"/>
    </row>
    <row r="82" spans="10:18" customFormat="1" x14ac:dyDescent="0.2">
      <c r="J82" s="97"/>
      <c r="K82" s="213"/>
      <c r="L82" s="213"/>
      <c r="M82" s="213"/>
      <c r="N82" s="213"/>
      <c r="O82" s="213"/>
      <c r="P82" s="213"/>
      <c r="Q82" s="213"/>
      <c r="R82" s="213"/>
    </row>
    <row r="83" spans="10:18" customFormat="1" x14ac:dyDescent="0.2">
      <c r="J83" s="97"/>
      <c r="K83" s="213"/>
      <c r="L83" s="213"/>
      <c r="M83" s="213"/>
      <c r="N83" s="213"/>
      <c r="O83" s="213"/>
      <c r="P83" s="213"/>
      <c r="Q83" s="213"/>
      <c r="R83" s="213"/>
    </row>
    <row r="84" spans="10:18" customFormat="1" x14ac:dyDescent="0.2">
      <c r="J84" s="97"/>
      <c r="K84" s="213"/>
      <c r="L84" s="213"/>
      <c r="M84" s="213"/>
      <c r="N84" s="213"/>
      <c r="O84" s="213"/>
      <c r="P84" s="213"/>
      <c r="Q84" s="213"/>
      <c r="R84" s="213"/>
    </row>
    <row r="85" spans="10:18" customFormat="1" x14ac:dyDescent="0.2">
      <c r="J85" s="97"/>
      <c r="K85" s="213"/>
      <c r="L85" s="213"/>
      <c r="M85" s="213"/>
      <c r="N85" s="213"/>
      <c r="O85" s="213"/>
      <c r="P85" s="213"/>
      <c r="Q85" s="213"/>
      <c r="R85" s="213"/>
    </row>
    <row r="86" spans="10:18" customFormat="1" x14ac:dyDescent="0.2">
      <c r="J86" s="97"/>
      <c r="K86" s="213"/>
      <c r="L86" s="213"/>
      <c r="M86" s="213"/>
      <c r="N86" s="213"/>
      <c r="O86" s="213"/>
      <c r="P86" s="213"/>
      <c r="Q86" s="213"/>
      <c r="R86" s="213"/>
    </row>
    <row r="87" spans="10:18" customFormat="1" x14ac:dyDescent="0.2">
      <c r="J87" s="97"/>
      <c r="K87" s="213"/>
      <c r="L87" s="213"/>
      <c r="M87" s="213"/>
      <c r="N87" s="213"/>
      <c r="O87" s="213"/>
      <c r="P87" s="213"/>
      <c r="Q87" s="213"/>
      <c r="R87" s="213"/>
    </row>
    <row r="88" spans="10:18" customFormat="1" x14ac:dyDescent="0.2">
      <c r="J88" s="97"/>
      <c r="K88" s="213"/>
      <c r="L88" s="213"/>
      <c r="M88" s="213"/>
      <c r="N88" s="213"/>
      <c r="O88" s="213"/>
      <c r="P88" s="213"/>
      <c r="Q88" s="213"/>
      <c r="R88" s="213"/>
    </row>
    <row r="89" spans="10:18" customFormat="1" x14ac:dyDescent="0.2">
      <c r="J89" s="97"/>
      <c r="K89" s="213"/>
      <c r="L89" s="213"/>
      <c r="M89" s="213"/>
      <c r="N89" s="213"/>
      <c r="O89" s="213"/>
      <c r="P89" s="213"/>
      <c r="Q89" s="213"/>
      <c r="R89" s="213"/>
    </row>
    <row r="90" spans="10:18" customFormat="1" x14ac:dyDescent="0.2">
      <c r="J90" s="97"/>
      <c r="K90" s="213"/>
      <c r="L90" s="213"/>
      <c r="M90" s="213"/>
      <c r="N90" s="213"/>
      <c r="O90" s="213"/>
      <c r="P90" s="213"/>
      <c r="Q90" s="213"/>
      <c r="R90" s="213"/>
    </row>
    <row r="91" spans="10:18" customFormat="1" x14ac:dyDescent="0.2">
      <c r="J91" s="97"/>
      <c r="K91" s="213"/>
      <c r="L91" s="213"/>
      <c r="M91" s="213"/>
      <c r="N91" s="213"/>
      <c r="O91" s="213"/>
      <c r="P91" s="213"/>
      <c r="Q91" s="213"/>
      <c r="R91" s="213"/>
    </row>
    <row r="92" spans="10:18" customFormat="1" x14ac:dyDescent="0.2">
      <c r="J92" s="97"/>
      <c r="K92" s="213"/>
      <c r="L92" s="213"/>
      <c r="M92" s="213"/>
      <c r="N92" s="213"/>
      <c r="O92" s="213"/>
      <c r="P92" s="213"/>
      <c r="Q92" s="213"/>
      <c r="R92" s="213"/>
    </row>
    <row r="93" spans="10:18" customFormat="1" x14ac:dyDescent="0.2">
      <c r="J93" s="97"/>
      <c r="K93" s="213"/>
      <c r="L93" s="213"/>
      <c r="M93" s="213"/>
      <c r="N93" s="213"/>
      <c r="O93" s="213"/>
      <c r="P93" s="213"/>
      <c r="Q93" s="213"/>
      <c r="R93" s="213"/>
    </row>
    <row r="94" spans="10:18" customFormat="1" x14ac:dyDescent="0.2">
      <c r="J94" s="97"/>
      <c r="K94" s="213"/>
      <c r="L94" s="213"/>
      <c r="M94" s="213"/>
      <c r="N94" s="213"/>
      <c r="O94" s="213"/>
      <c r="P94" s="213"/>
      <c r="Q94" s="213"/>
      <c r="R94" s="213"/>
    </row>
    <row r="95" spans="10:18" customFormat="1" x14ac:dyDescent="0.2">
      <c r="J95" s="97"/>
      <c r="K95" s="213"/>
      <c r="L95" s="213"/>
      <c r="M95" s="213"/>
      <c r="N95" s="213"/>
      <c r="O95" s="213"/>
      <c r="P95" s="213"/>
      <c r="Q95" s="213"/>
      <c r="R95" s="213"/>
    </row>
    <row r="96" spans="10:18" customFormat="1" x14ac:dyDescent="0.2">
      <c r="J96" s="97"/>
      <c r="K96" s="213"/>
      <c r="L96" s="213"/>
      <c r="M96" s="213"/>
      <c r="N96" s="213"/>
      <c r="O96" s="213"/>
      <c r="P96" s="213"/>
      <c r="Q96" s="213"/>
      <c r="R96" s="213"/>
    </row>
    <row r="97" spans="10:18" customFormat="1" x14ac:dyDescent="0.2">
      <c r="J97" s="97"/>
      <c r="K97" s="213"/>
      <c r="L97" s="213"/>
      <c r="M97" s="213"/>
      <c r="N97" s="213"/>
      <c r="O97" s="213"/>
      <c r="P97" s="213"/>
      <c r="Q97" s="213"/>
      <c r="R97" s="213"/>
    </row>
    <row r="98" spans="10:18" customFormat="1" x14ac:dyDescent="0.2">
      <c r="J98" s="97"/>
      <c r="K98" s="213"/>
      <c r="L98" s="213"/>
      <c r="M98" s="213"/>
      <c r="N98" s="213"/>
      <c r="O98" s="213"/>
      <c r="P98" s="213"/>
      <c r="Q98" s="213"/>
      <c r="R98" s="213"/>
    </row>
    <row r="99" spans="10:18" customFormat="1" x14ac:dyDescent="0.2">
      <c r="J99" s="97"/>
      <c r="K99" s="213"/>
      <c r="L99" s="213"/>
      <c r="M99" s="213"/>
      <c r="N99" s="213"/>
      <c r="O99" s="213"/>
      <c r="P99" s="213"/>
      <c r="Q99" s="213"/>
      <c r="R99" s="213"/>
    </row>
    <row r="100" spans="10:18" customFormat="1" x14ac:dyDescent="0.2">
      <c r="J100" s="97"/>
      <c r="K100" s="213"/>
      <c r="L100" s="213"/>
      <c r="M100" s="213"/>
      <c r="N100" s="213"/>
      <c r="O100" s="213"/>
      <c r="P100" s="213"/>
      <c r="Q100" s="213"/>
      <c r="R100" s="213"/>
    </row>
    <row r="101" spans="10:18" customFormat="1" x14ac:dyDescent="0.2">
      <c r="J101" s="97"/>
      <c r="K101" s="213"/>
      <c r="L101" s="213"/>
      <c r="M101" s="213"/>
      <c r="N101" s="213"/>
      <c r="O101" s="213"/>
      <c r="P101" s="213"/>
      <c r="Q101" s="213"/>
      <c r="R101" s="213"/>
    </row>
    <row r="102" spans="10:18" customFormat="1" x14ac:dyDescent="0.2">
      <c r="J102" s="97"/>
      <c r="K102" s="213"/>
      <c r="L102" s="213"/>
      <c r="M102" s="213"/>
      <c r="N102" s="213"/>
      <c r="O102" s="213"/>
      <c r="P102" s="213"/>
      <c r="Q102" s="213"/>
      <c r="R102" s="213"/>
    </row>
    <row r="103" spans="10:18" customFormat="1" x14ac:dyDescent="0.2">
      <c r="J103" s="97"/>
      <c r="K103" s="213"/>
      <c r="L103" s="213"/>
      <c r="M103" s="213"/>
      <c r="N103" s="213"/>
      <c r="O103" s="213"/>
      <c r="P103" s="213"/>
      <c r="Q103" s="213"/>
      <c r="R103" s="213"/>
    </row>
    <row r="104" spans="10:18" customFormat="1" x14ac:dyDescent="0.2">
      <c r="J104" s="97"/>
      <c r="K104" s="213"/>
      <c r="L104" s="213"/>
      <c r="M104" s="213"/>
      <c r="N104" s="213"/>
      <c r="O104" s="213"/>
      <c r="P104" s="213"/>
      <c r="Q104" s="213"/>
      <c r="R104" s="213"/>
    </row>
    <row r="105" spans="10:18" customFormat="1" x14ac:dyDescent="0.2">
      <c r="J105" s="97"/>
      <c r="K105" s="213"/>
      <c r="L105" s="213"/>
      <c r="M105" s="213"/>
      <c r="N105" s="213"/>
      <c r="O105" s="213"/>
      <c r="P105" s="213"/>
      <c r="Q105" s="213"/>
      <c r="R105" s="213"/>
    </row>
    <row r="106" spans="10:18" customFormat="1" x14ac:dyDescent="0.2">
      <c r="J106" s="97"/>
      <c r="K106" s="213"/>
      <c r="L106" s="213"/>
      <c r="M106" s="213"/>
      <c r="N106" s="213"/>
      <c r="O106" s="213"/>
      <c r="P106" s="213"/>
      <c r="Q106" s="213"/>
      <c r="R106" s="213"/>
    </row>
    <row r="107" spans="10:18" customFormat="1" x14ac:dyDescent="0.2">
      <c r="J107" s="97"/>
      <c r="K107" s="213"/>
      <c r="L107" s="213"/>
      <c r="M107" s="213"/>
      <c r="N107" s="213"/>
      <c r="O107" s="213"/>
      <c r="P107" s="213"/>
      <c r="Q107" s="213"/>
      <c r="R107" s="213"/>
    </row>
    <row r="108" spans="10:18" customFormat="1" x14ac:dyDescent="0.2">
      <c r="J108" s="97"/>
      <c r="K108" s="213"/>
      <c r="L108" s="213"/>
      <c r="M108" s="213"/>
      <c r="N108" s="213"/>
      <c r="O108" s="213"/>
      <c r="P108" s="213"/>
      <c r="Q108" s="213"/>
      <c r="R108" s="213"/>
    </row>
    <row r="109" spans="10:18" customFormat="1" x14ac:dyDescent="0.2">
      <c r="J109" s="97"/>
      <c r="K109" s="213"/>
      <c r="L109" s="213"/>
      <c r="M109" s="213"/>
      <c r="N109" s="213"/>
      <c r="O109" s="213"/>
      <c r="P109" s="213"/>
      <c r="Q109" s="213"/>
      <c r="R109" s="213"/>
    </row>
    <row r="110" spans="10:18" customFormat="1" x14ac:dyDescent="0.2">
      <c r="J110" s="97"/>
      <c r="K110" s="213"/>
      <c r="L110" s="213"/>
      <c r="M110" s="213"/>
      <c r="N110" s="213"/>
      <c r="O110" s="213"/>
      <c r="P110" s="213"/>
      <c r="Q110" s="213"/>
      <c r="R110" s="213"/>
    </row>
    <row r="111" spans="10:18" customFormat="1" x14ac:dyDescent="0.2">
      <c r="J111" s="97"/>
      <c r="K111" s="213"/>
      <c r="L111" s="213"/>
      <c r="M111" s="213"/>
      <c r="N111" s="213"/>
      <c r="O111" s="213"/>
      <c r="P111" s="213"/>
      <c r="Q111" s="213"/>
      <c r="R111" s="213"/>
    </row>
    <row r="112" spans="10:18" customFormat="1" x14ac:dyDescent="0.2">
      <c r="J112" s="97"/>
      <c r="K112" s="213"/>
      <c r="L112" s="213"/>
      <c r="M112" s="213"/>
      <c r="N112" s="213"/>
      <c r="O112" s="213"/>
      <c r="P112" s="213"/>
      <c r="Q112" s="213"/>
      <c r="R112" s="213"/>
    </row>
    <row r="113" spans="10:18" customFormat="1" x14ac:dyDescent="0.2">
      <c r="J113" s="97"/>
      <c r="K113" s="213"/>
      <c r="L113" s="213"/>
      <c r="M113" s="213"/>
      <c r="N113" s="213"/>
      <c r="O113" s="213"/>
      <c r="P113" s="213"/>
      <c r="Q113" s="213"/>
      <c r="R113" s="213"/>
    </row>
    <row r="114" spans="10:18" customFormat="1" x14ac:dyDescent="0.2">
      <c r="J114" s="97"/>
      <c r="K114" s="213"/>
      <c r="L114" s="213"/>
      <c r="M114" s="213"/>
      <c r="N114" s="213"/>
      <c r="O114" s="213"/>
      <c r="P114" s="213"/>
      <c r="Q114" s="213"/>
      <c r="R114" s="213"/>
    </row>
    <row r="115" spans="10:18" customFormat="1" x14ac:dyDescent="0.2">
      <c r="J115" s="97"/>
      <c r="K115" s="213"/>
      <c r="L115" s="213"/>
      <c r="M115" s="213"/>
      <c r="N115" s="213"/>
      <c r="O115" s="213"/>
      <c r="P115" s="213"/>
      <c r="Q115" s="213"/>
      <c r="R115" s="213"/>
    </row>
    <row r="116" spans="10:18" customFormat="1" x14ac:dyDescent="0.2">
      <c r="J116" s="97"/>
      <c r="K116" s="213"/>
      <c r="L116" s="213"/>
      <c r="M116" s="213"/>
      <c r="N116" s="213"/>
      <c r="O116" s="213"/>
      <c r="P116" s="213"/>
      <c r="Q116" s="213"/>
      <c r="R116" s="213"/>
    </row>
    <row r="117" spans="10:18" customFormat="1" x14ac:dyDescent="0.2">
      <c r="J117" s="97"/>
      <c r="K117" s="213"/>
      <c r="L117" s="213"/>
      <c r="M117" s="213"/>
      <c r="N117" s="213"/>
      <c r="O117" s="213"/>
      <c r="P117" s="213"/>
      <c r="Q117" s="213"/>
      <c r="R117" s="213"/>
    </row>
    <row r="118" spans="10:18" customFormat="1" x14ac:dyDescent="0.2">
      <c r="J118" s="97"/>
      <c r="K118" s="213"/>
      <c r="L118" s="213"/>
      <c r="M118" s="213"/>
      <c r="N118" s="213"/>
      <c r="O118" s="213"/>
      <c r="P118" s="213"/>
      <c r="Q118" s="213"/>
      <c r="R118" s="213"/>
    </row>
    <row r="119" spans="10:18" customFormat="1" x14ac:dyDescent="0.2">
      <c r="J119" s="97"/>
      <c r="K119" s="213"/>
      <c r="L119" s="213"/>
      <c r="M119" s="213"/>
      <c r="N119" s="213"/>
      <c r="O119" s="213"/>
      <c r="P119" s="213"/>
      <c r="Q119" s="213"/>
      <c r="R119" s="213"/>
    </row>
    <row r="120" spans="10:18" customFormat="1" x14ac:dyDescent="0.2">
      <c r="J120" s="97"/>
      <c r="K120" s="213"/>
      <c r="L120" s="213"/>
      <c r="M120" s="213"/>
      <c r="N120" s="213"/>
      <c r="O120" s="213"/>
      <c r="P120" s="213"/>
      <c r="Q120" s="213"/>
      <c r="R120" s="213"/>
    </row>
    <row r="121" spans="10:18" customFormat="1" x14ac:dyDescent="0.2">
      <c r="J121" s="97"/>
      <c r="K121" s="213"/>
      <c r="L121" s="213"/>
      <c r="M121" s="213"/>
      <c r="N121" s="213"/>
      <c r="O121" s="213"/>
      <c r="P121" s="213"/>
      <c r="Q121" s="213"/>
      <c r="R121" s="213"/>
    </row>
    <row r="122" spans="10:18" customFormat="1" x14ac:dyDescent="0.2">
      <c r="J122" s="97"/>
      <c r="K122" s="213"/>
      <c r="L122" s="213"/>
      <c r="M122" s="213"/>
      <c r="N122" s="213"/>
      <c r="O122" s="213"/>
      <c r="P122" s="213"/>
      <c r="Q122" s="213"/>
      <c r="R122" s="213"/>
    </row>
    <row r="123" spans="10:18" customFormat="1" x14ac:dyDescent="0.2">
      <c r="J123" s="97"/>
      <c r="K123" s="213"/>
      <c r="L123" s="213"/>
      <c r="M123" s="213"/>
      <c r="N123" s="213"/>
      <c r="O123" s="213"/>
      <c r="P123" s="213"/>
      <c r="Q123" s="213"/>
      <c r="R123" s="213"/>
    </row>
    <row r="124" spans="10:18" customFormat="1" x14ac:dyDescent="0.2">
      <c r="J124" s="97"/>
      <c r="K124" s="213"/>
      <c r="L124" s="213"/>
      <c r="M124" s="213"/>
      <c r="N124" s="213"/>
      <c r="O124" s="213"/>
      <c r="P124" s="213"/>
      <c r="Q124" s="213"/>
      <c r="R124" s="213"/>
    </row>
    <row r="125" spans="10:18" customFormat="1" x14ac:dyDescent="0.2">
      <c r="J125" s="97"/>
      <c r="K125" s="213"/>
      <c r="L125" s="213"/>
      <c r="M125" s="213"/>
      <c r="N125" s="213"/>
      <c r="O125" s="213"/>
      <c r="P125" s="213"/>
      <c r="Q125" s="213"/>
      <c r="R125" s="213"/>
    </row>
    <row r="126" spans="10:18" customFormat="1" x14ac:dyDescent="0.2">
      <c r="J126" s="97"/>
      <c r="K126" s="213"/>
      <c r="L126" s="213"/>
      <c r="M126" s="213"/>
      <c r="N126" s="213"/>
      <c r="O126" s="213"/>
      <c r="P126" s="213"/>
      <c r="Q126" s="213"/>
      <c r="R126" s="213"/>
    </row>
    <row r="127" spans="10:18" customFormat="1" x14ac:dyDescent="0.2">
      <c r="J127" s="97"/>
      <c r="K127" s="213"/>
      <c r="L127" s="213"/>
      <c r="M127" s="213"/>
      <c r="N127" s="213"/>
      <c r="O127" s="213"/>
      <c r="P127" s="213"/>
      <c r="Q127" s="213"/>
      <c r="R127" s="213"/>
    </row>
    <row r="128" spans="10:18" customFormat="1" x14ac:dyDescent="0.2">
      <c r="J128" s="97"/>
      <c r="K128" s="213"/>
      <c r="L128" s="213"/>
      <c r="M128" s="213"/>
      <c r="N128" s="213"/>
      <c r="O128" s="213"/>
      <c r="P128" s="213"/>
      <c r="Q128" s="213"/>
      <c r="R128" s="213"/>
    </row>
    <row r="129" spans="10:18" customFormat="1" x14ac:dyDescent="0.2">
      <c r="J129" s="97"/>
      <c r="K129" s="213"/>
      <c r="L129" s="213"/>
      <c r="M129" s="213"/>
      <c r="N129" s="213"/>
      <c r="O129" s="213"/>
      <c r="P129" s="213"/>
      <c r="Q129" s="213"/>
      <c r="R129" s="213"/>
    </row>
    <row r="130" spans="10:18" customFormat="1" x14ac:dyDescent="0.2">
      <c r="J130" s="97"/>
      <c r="K130" s="213"/>
      <c r="L130" s="213"/>
      <c r="M130" s="213"/>
      <c r="N130" s="213"/>
      <c r="O130" s="213"/>
      <c r="P130" s="213"/>
      <c r="Q130" s="213"/>
      <c r="R130" s="213"/>
    </row>
    <row r="131" spans="10:18" customFormat="1" x14ac:dyDescent="0.2">
      <c r="J131" s="97"/>
      <c r="K131" s="213"/>
      <c r="L131" s="213"/>
      <c r="M131" s="213"/>
      <c r="N131" s="213"/>
      <c r="O131" s="213"/>
      <c r="P131" s="213"/>
      <c r="Q131" s="213"/>
      <c r="R131" s="213"/>
    </row>
    <row r="132" spans="10:18" customFormat="1" x14ac:dyDescent="0.2">
      <c r="J132" s="97"/>
      <c r="K132" s="213"/>
      <c r="L132" s="213"/>
      <c r="M132" s="213"/>
      <c r="N132" s="213"/>
      <c r="O132" s="213"/>
      <c r="P132" s="213"/>
      <c r="Q132" s="213"/>
      <c r="R132" s="213"/>
    </row>
    <row r="133" spans="10:18" customFormat="1" x14ac:dyDescent="0.2">
      <c r="J133" s="97"/>
      <c r="K133" s="213"/>
      <c r="L133" s="213"/>
      <c r="M133" s="213"/>
      <c r="N133" s="213"/>
      <c r="O133" s="213"/>
      <c r="P133" s="213"/>
      <c r="Q133" s="213"/>
      <c r="R133" s="213"/>
    </row>
    <row r="134" spans="10:18" customFormat="1" x14ac:dyDescent="0.2">
      <c r="J134" s="97"/>
      <c r="K134" s="213"/>
      <c r="L134" s="213"/>
      <c r="M134" s="213"/>
      <c r="N134" s="213"/>
      <c r="O134" s="213"/>
      <c r="P134" s="213"/>
      <c r="Q134" s="213"/>
      <c r="R134" s="213"/>
    </row>
    <row r="135" spans="10:18" customFormat="1" x14ac:dyDescent="0.2">
      <c r="J135" s="97"/>
      <c r="K135" s="213"/>
      <c r="L135" s="213"/>
      <c r="M135" s="213"/>
      <c r="N135" s="213"/>
      <c r="O135" s="213"/>
      <c r="P135" s="213"/>
      <c r="Q135" s="213"/>
      <c r="R135" s="213"/>
    </row>
    <row r="136" spans="10:18" customFormat="1" x14ac:dyDescent="0.2">
      <c r="J136" s="97"/>
      <c r="K136" s="213"/>
      <c r="L136" s="213"/>
      <c r="M136" s="213"/>
      <c r="N136" s="213"/>
      <c r="O136" s="213"/>
      <c r="P136" s="213"/>
      <c r="Q136" s="213"/>
      <c r="R136" s="213"/>
    </row>
    <row r="137" spans="10:18" customFormat="1" x14ac:dyDescent="0.2">
      <c r="J137" s="97"/>
      <c r="K137" s="213"/>
      <c r="L137" s="213"/>
      <c r="M137" s="213"/>
      <c r="N137" s="213"/>
      <c r="O137" s="213"/>
      <c r="P137" s="213"/>
      <c r="Q137" s="213"/>
      <c r="R137" s="213"/>
    </row>
    <row r="138" spans="10:18" customFormat="1" x14ac:dyDescent="0.2">
      <c r="J138" s="97"/>
      <c r="K138" s="213"/>
      <c r="L138" s="213"/>
      <c r="M138" s="213"/>
      <c r="N138" s="213"/>
      <c r="O138" s="213"/>
      <c r="P138" s="213"/>
      <c r="Q138" s="213"/>
      <c r="R138" s="213"/>
    </row>
    <row r="139" spans="10:18" customFormat="1" x14ac:dyDescent="0.2">
      <c r="J139" s="97"/>
      <c r="K139" s="213"/>
      <c r="L139" s="213"/>
      <c r="M139" s="213"/>
      <c r="N139" s="213"/>
      <c r="O139" s="213"/>
      <c r="P139" s="213"/>
      <c r="Q139" s="213"/>
      <c r="R139" s="213"/>
    </row>
    <row r="140" spans="10:18" customFormat="1" x14ac:dyDescent="0.2">
      <c r="J140" s="97"/>
      <c r="K140" s="213"/>
      <c r="L140" s="213"/>
      <c r="M140" s="213"/>
      <c r="N140" s="213"/>
      <c r="O140" s="213"/>
      <c r="P140" s="213"/>
      <c r="Q140" s="213"/>
      <c r="R140" s="213"/>
    </row>
    <row r="141" spans="10:18" customFormat="1" x14ac:dyDescent="0.2">
      <c r="J141" s="97"/>
      <c r="K141" s="213"/>
      <c r="L141" s="213"/>
      <c r="M141" s="213"/>
      <c r="N141" s="213"/>
      <c r="O141" s="213"/>
      <c r="P141" s="213"/>
      <c r="Q141" s="213"/>
      <c r="R141" s="213"/>
    </row>
    <row r="142" spans="10:18" customFormat="1" x14ac:dyDescent="0.2">
      <c r="J142" s="97"/>
      <c r="K142" s="213"/>
      <c r="L142" s="213"/>
      <c r="M142" s="213"/>
      <c r="N142" s="213"/>
      <c r="O142" s="213"/>
      <c r="P142" s="213"/>
      <c r="Q142" s="213"/>
      <c r="R142" s="213"/>
    </row>
    <row r="143" spans="10:18" customFormat="1" x14ac:dyDescent="0.2">
      <c r="J143" s="97"/>
      <c r="K143" s="213"/>
      <c r="L143" s="213"/>
      <c r="M143" s="213"/>
      <c r="N143" s="213"/>
      <c r="O143" s="213"/>
      <c r="P143" s="213"/>
      <c r="Q143" s="213"/>
      <c r="R143" s="213"/>
    </row>
    <row r="144" spans="10:18" customFormat="1" x14ac:dyDescent="0.2">
      <c r="J144" s="97"/>
      <c r="K144" s="213"/>
      <c r="L144" s="213"/>
      <c r="M144" s="213"/>
      <c r="N144" s="213"/>
      <c r="O144" s="213"/>
      <c r="P144" s="213"/>
      <c r="Q144" s="213"/>
      <c r="R144" s="213"/>
    </row>
    <row r="145" spans="10:18" customFormat="1" x14ac:dyDescent="0.2">
      <c r="J145" s="97"/>
      <c r="K145" s="213"/>
      <c r="L145" s="213"/>
      <c r="M145" s="213"/>
      <c r="N145" s="213"/>
      <c r="O145" s="213"/>
      <c r="P145" s="213"/>
      <c r="Q145" s="213"/>
      <c r="R145" s="213"/>
    </row>
    <row r="146" spans="10:18" customFormat="1" x14ac:dyDescent="0.2">
      <c r="J146" s="97"/>
      <c r="K146" s="213"/>
      <c r="L146" s="213"/>
      <c r="M146" s="213"/>
      <c r="N146" s="213"/>
      <c r="O146" s="213"/>
      <c r="P146" s="213"/>
      <c r="Q146" s="213"/>
      <c r="R146" s="213"/>
    </row>
    <row r="147" spans="10:18" customFormat="1" x14ac:dyDescent="0.2">
      <c r="J147" s="97"/>
      <c r="K147" s="213"/>
      <c r="L147" s="213"/>
      <c r="M147" s="213"/>
      <c r="N147" s="213"/>
      <c r="O147" s="213"/>
      <c r="P147" s="213"/>
      <c r="Q147" s="213"/>
      <c r="R147" s="213"/>
    </row>
    <row r="148" spans="10:18" customFormat="1" x14ac:dyDescent="0.2">
      <c r="J148" s="97"/>
      <c r="K148" s="213"/>
      <c r="L148" s="213"/>
      <c r="M148" s="213"/>
      <c r="N148" s="213"/>
      <c r="O148" s="213"/>
      <c r="P148" s="213"/>
      <c r="Q148" s="213"/>
      <c r="R148" s="213"/>
    </row>
    <row r="149" spans="10:18" customFormat="1" x14ac:dyDescent="0.2">
      <c r="J149" s="97"/>
      <c r="K149" s="213"/>
      <c r="L149" s="213"/>
      <c r="M149" s="213"/>
      <c r="N149" s="213"/>
      <c r="O149" s="213"/>
      <c r="P149" s="213"/>
      <c r="Q149" s="213"/>
      <c r="R149" s="213"/>
    </row>
    <row r="150" spans="10:18" customFormat="1" x14ac:dyDescent="0.2">
      <c r="J150" s="97"/>
      <c r="K150" s="213"/>
      <c r="L150" s="213"/>
      <c r="M150" s="213"/>
      <c r="N150" s="213"/>
      <c r="O150" s="213"/>
      <c r="P150" s="213"/>
      <c r="Q150" s="213"/>
      <c r="R150" s="213"/>
    </row>
    <row r="151" spans="10:18" customFormat="1" x14ac:dyDescent="0.2">
      <c r="J151" s="97"/>
      <c r="K151" s="213"/>
      <c r="L151" s="213"/>
      <c r="M151" s="213"/>
      <c r="N151" s="213"/>
      <c r="O151" s="213"/>
      <c r="P151" s="213"/>
      <c r="Q151" s="213"/>
      <c r="R151" s="213"/>
    </row>
    <row r="152" spans="10:18" customFormat="1" x14ac:dyDescent="0.2">
      <c r="J152" s="97"/>
      <c r="K152" s="213"/>
      <c r="L152" s="213"/>
      <c r="M152" s="213"/>
      <c r="N152" s="213"/>
      <c r="O152" s="213"/>
      <c r="P152" s="213"/>
      <c r="Q152" s="213"/>
      <c r="R152" s="213"/>
    </row>
    <row r="153" spans="10:18" customFormat="1" x14ac:dyDescent="0.2">
      <c r="J153" s="97"/>
      <c r="K153" s="213"/>
      <c r="L153" s="213"/>
      <c r="M153" s="213"/>
      <c r="N153" s="213"/>
      <c r="O153" s="213"/>
      <c r="P153" s="213"/>
      <c r="Q153" s="213"/>
      <c r="R153" s="213"/>
    </row>
    <row r="154" spans="10:18" customFormat="1" x14ac:dyDescent="0.2">
      <c r="J154" s="97"/>
      <c r="K154" s="213"/>
      <c r="L154" s="213"/>
      <c r="M154" s="213"/>
      <c r="N154" s="213"/>
      <c r="O154" s="213"/>
      <c r="P154" s="213"/>
      <c r="Q154" s="213"/>
      <c r="R154" s="213"/>
    </row>
    <row r="155" spans="10:18" customFormat="1" x14ac:dyDescent="0.2">
      <c r="J155" s="97"/>
      <c r="K155" s="213"/>
      <c r="L155" s="213"/>
      <c r="M155" s="213"/>
      <c r="N155" s="213"/>
      <c r="O155" s="213"/>
      <c r="P155" s="213"/>
      <c r="Q155" s="213"/>
      <c r="R155" s="213"/>
    </row>
    <row r="156" spans="10:18" customFormat="1" x14ac:dyDescent="0.2">
      <c r="J156" s="97"/>
      <c r="K156" s="213"/>
      <c r="L156" s="213"/>
      <c r="M156" s="213"/>
      <c r="N156" s="213"/>
      <c r="O156" s="213"/>
      <c r="P156" s="213"/>
      <c r="Q156" s="213"/>
      <c r="R156" s="213"/>
    </row>
    <row r="157" spans="10:18" customFormat="1" x14ac:dyDescent="0.2">
      <c r="J157" s="97"/>
      <c r="K157" s="213"/>
      <c r="L157" s="213"/>
      <c r="M157" s="213"/>
      <c r="N157" s="213"/>
      <c r="O157" s="213"/>
      <c r="P157" s="213"/>
      <c r="Q157" s="213"/>
      <c r="R157" s="213"/>
    </row>
    <row r="158" spans="10:18" customFormat="1" x14ac:dyDescent="0.2">
      <c r="J158" s="97"/>
      <c r="K158" s="213"/>
      <c r="L158" s="213"/>
      <c r="M158" s="213"/>
      <c r="N158" s="213"/>
      <c r="O158" s="213"/>
      <c r="P158" s="213"/>
      <c r="Q158" s="213"/>
      <c r="R158" s="213"/>
    </row>
    <row r="159" spans="10:18" customFormat="1" x14ac:dyDescent="0.2">
      <c r="J159" s="97"/>
      <c r="K159" s="213"/>
      <c r="L159" s="213"/>
      <c r="M159" s="213"/>
      <c r="N159" s="213"/>
      <c r="O159" s="213"/>
      <c r="P159" s="213"/>
      <c r="Q159" s="213"/>
      <c r="R159" s="213"/>
    </row>
    <row r="160" spans="10:18" customFormat="1" x14ac:dyDescent="0.2">
      <c r="J160" s="97"/>
      <c r="K160" s="213"/>
      <c r="L160" s="213"/>
      <c r="M160" s="213"/>
      <c r="N160" s="213"/>
      <c r="O160" s="213"/>
      <c r="P160" s="213"/>
      <c r="Q160" s="213"/>
      <c r="R160" s="213"/>
    </row>
    <row r="161" spans="10:18" customFormat="1" x14ac:dyDescent="0.2">
      <c r="J161" s="97"/>
      <c r="K161" s="213"/>
      <c r="L161" s="213"/>
      <c r="M161" s="213"/>
      <c r="N161" s="213"/>
      <c r="O161" s="213"/>
      <c r="P161" s="213"/>
      <c r="Q161" s="213"/>
      <c r="R161" s="213"/>
    </row>
    <row r="162" spans="10:18" customFormat="1" x14ac:dyDescent="0.2">
      <c r="J162" s="97"/>
      <c r="K162" s="213"/>
      <c r="L162" s="213"/>
      <c r="M162" s="213"/>
      <c r="N162" s="213"/>
      <c r="O162" s="213"/>
      <c r="P162" s="213"/>
      <c r="Q162" s="213"/>
      <c r="R162" s="213"/>
    </row>
    <row r="163" spans="10:18" customFormat="1" x14ac:dyDescent="0.2">
      <c r="J163" s="97"/>
      <c r="K163" s="213"/>
      <c r="L163" s="213"/>
      <c r="M163" s="213"/>
      <c r="N163" s="213"/>
      <c r="O163" s="213"/>
      <c r="P163" s="213"/>
      <c r="Q163" s="213"/>
      <c r="R163" s="213"/>
    </row>
    <row r="164" spans="10:18" customFormat="1" x14ac:dyDescent="0.2">
      <c r="J164" s="97"/>
      <c r="K164" s="213"/>
      <c r="L164" s="213"/>
      <c r="M164" s="213"/>
      <c r="N164" s="213"/>
      <c r="O164" s="213"/>
      <c r="P164" s="213"/>
      <c r="Q164" s="213"/>
      <c r="R164" s="213"/>
    </row>
    <row r="165" spans="10:18" customFormat="1" x14ac:dyDescent="0.2">
      <c r="J165" s="97"/>
      <c r="K165" s="213"/>
      <c r="L165" s="213"/>
      <c r="M165" s="213"/>
      <c r="N165" s="213"/>
      <c r="O165" s="213"/>
      <c r="P165" s="213"/>
      <c r="Q165" s="213"/>
      <c r="R165" s="213"/>
    </row>
    <row r="166" spans="10:18" customFormat="1" x14ac:dyDescent="0.2">
      <c r="J166" s="97"/>
      <c r="K166" s="213"/>
      <c r="L166" s="213"/>
      <c r="M166" s="213"/>
      <c r="N166" s="213"/>
      <c r="O166" s="213"/>
      <c r="P166" s="213"/>
      <c r="Q166" s="213"/>
      <c r="R166" s="213"/>
    </row>
    <row r="167" spans="10:18" customFormat="1" x14ac:dyDescent="0.2">
      <c r="J167" s="97"/>
      <c r="K167" s="213"/>
      <c r="L167" s="213"/>
      <c r="M167" s="213"/>
      <c r="N167" s="213"/>
      <c r="O167" s="213"/>
      <c r="P167" s="213"/>
      <c r="Q167" s="213"/>
      <c r="R167" s="213"/>
    </row>
    <row r="168" spans="10:18" customFormat="1" x14ac:dyDescent="0.2">
      <c r="J168" s="97"/>
      <c r="K168" s="213"/>
      <c r="L168" s="213"/>
      <c r="M168" s="213"/>
      <c r="N168" s="213"/>
      <c r="O168" s="213"/>
      <c r="P168" s="213"/>
      <c r="Q168" s="213"/>
      <c r="R168" s="213"/>
    </row>
    <row r="169" spans="10:18" customFormat="1" x14ac:dyDescent="0.2">
      <c r="J169" s="97"/>
      <c r="K169" s="213"/>
      <c r="L169" s="213"/>
      <c r="M169" s="213"/>
      <c r="N169" s="213"/>
      <c r="O169" s="213"/>
      <c r="P169" s="213"/>
      <c r="Q169" s="213"/>
      <c r="R169" s="213"/>
    </row>
    <row r="170" spans="10:18" customFormat="1" x14ac:dyDescent="0.2">
      <c r="J170" s="97"/>
      <c r="K170" s="213"/>
      <c r="L170" s="213"/>
      <c r="M170" s="213"/>
      <c r="N170" s="213"/>
      <c r="O170" s="213"/>
      <c r="P170" s="213"/>
      <c r="Q170" s="213"/>
      <c r="R170" s="213"/>
    </row>
    <row r="171" spans="10:18" customFormat="1" x14ac:dyDescent="0.2">
      <c r="J171" s="97"/>
      <c r="K171" s="213"/>
      <c r="L171" s="213"/>
      <c r="M171" s="213"/>
      <c r="N171" s="213"/>
      <c r="O171" s="213"/>
      <c r="P171" s="213"/>
      <c r="Q171" s="213"/>
      <c r="R171" s="213"/>
    </row>
    <row r="172" spans="10:18" customFormat="1" x14ac:dyDescent="0.2">
      <c r="J172" s="97"/>
      <c r="K172" s="213"/>
      <c r="L172" s="213"/>
      <c r="M172" s="213"/>
      <c r="N172" s="213"/>
      <c r="O172" s="213"/>
      <c r="P172" s="213"/>
      <c r="Q172" s="213"/>
      <c r="R172" s="213"/>
    </row>
    <row r="173" spans="10:18" customFormat="1" x14ac:dyDescent="0.2">
      <c r="J173" s="97"/>
      <c r="K173" s="213"/>
      <c r="L173" s="213"/>
      <c r="M173" s="213"/>
      <c r="N173" s="213"/>
      <c r="O173" s="213"/>
      <c r="P173" s="213"/>
      <c r="Q173" s="213"/>
      <c r="R173" s="213"/>
    </row>
    <row r="174" spans="10:18" customFormat="1" x14ac:dyDescent="0.2">
      <c r="J174" s="97"/>
      <c r="K174" s="213"/>
      <c r="L174" s="213"/>
      <c r="M174" s="213"/>
      <c r="N174" s="213"/>
      <c r="O174" s="213"/>
      <c r="P174" s="213"/>
      <c r="Q174" s="213"/>
      <c r="R174" s="213"/>
    </row>
    <row r="175" spans="10:18" customFormat="1" x14ac:dyDescent="0.2">
      <c r="J175" s="97"/>
      <c r="K175" s="213"/>
      <c r="L175" s="213"/>
      <c r="M175" s="213"/>
      <c r="N175" s="213"/>
      <c r="O175" s="213"/>
      <c r="P175" s="213"/>
      <c r="Q175" s="213"/>
      <c r="R175" s="213"/>
    </row>
    <row r="176" spans="10:18" customFormat="1" x14ac:dyDescent="0.2">
      <c r="J176" s="97"/>
      <c r="K176" s="213"/>
      <c r="L176" s="213"/>
      <c r="M176" s="213"/>
      <c r="N176" s="213"/>
      <c r="O176" s="213"/>
      <c r="P176" s="213"/>
      <c r="Q176" s="213"/>
      <c r="R176" s="213"/>
    </row>
    <row r="177" spans="10:18" customFormat="1" x14ac:dyDescent="0.2">
      <c r="J177" s="97"/>
      <c r="K177" s="213"/>
      <c r="L177" s="213"/>
      <c r="M177" s="213"/>
      <c r="N177" s="213"/>
      <c r="O177" s="213"/>
      <c r="P177" s="213"/>
      <c r="Q177" s="213"/>
      <c r="R177" s="213"/>
    </row>
    <row r="178" spans="10:18" customFormat="1" x14ac:dyDescent="0.2">
      <c r="J178" s="97"/>
      <c r="K178" s="213"/>
      <c r="L178" s="213"/>
      <c r="M178" s="213"/>
      <c r="N178" s="213"/>
      <c r="O178" s="213"/>
      <c r="P178" s="213"/>
      <c r="Q178" s="213"/>
      <c r="R178" s="213"/>
    </row>
    <row r="179" spans="10:18" customFormat="1" x14ac:dyDescent="0.2">
      <c r="J179" s="97"/>
      <c r="K179" s="213"/>
      <c r="L179" s="213"/>
      <c r="M179" s="213"/>
      <c r="N179" s="213"/>
      <c r="O179" s="213"/>
      <c r="P179" s="213"/>
      <c r="Q179" s="213"/>
      <c r="R179" s="213"/>
    </row>
    <row r="180" spans="10:18" customFormat="1" x14ac:dyDescent="0.2">
      <c r="J180" s="97"/>
      <c r="K180" s="213"/>
      <c r="L180" s="213"/>
      <c r="M180" s="213"/>
      <c r="N180" s="213"/>
      <c r="O180" s="213"/>
      <c r="P180" s="213"/>
      <c r="Q180" s="213"/>
      <c r="R180" s="213"/>
    </row>
    <row r="181" spans="10:18" customFormat="1" x14ac:dyDescent="0.2">
      <c r="J181" s="97"/>
      <c r="K181" s="213"/>
      <c r="L181" s="213"/>
      <c r="M181" s="213"/>
      <c r="N181" s="213"/>
      <c r="O181" s="213"/>
      <c r="P181" s="213"/>
      <c r="Q181" s="213"/>
      <c r="R181" s="213"/>
    </row>
    <row r="182" spans="10:18" customFormat="1" x14ac:dyDescent="0.2">
      <c r="J182" s="97"/>
      <c r="K182" s="213"/>
      <c r="L182" s="213"/>
      <c r="M182" s="213"/>
      <c r="N182" s="213"/>
      <c r="O182" s="213"/>
      <c r="P182" s="213"/>
      <c r="Q182" s="213"/>
      <c r="R182" s="213"/>
    </row>
    <row r="183" spans="10:18" customFormat="1" x14ac:dyDescent="0.2">
      <c r="J183" s="97"/>
      <c r="K183" s="213"/>
      <c r="L183" s="213"/>
      <c r="M183" s="213"/>
      <c r="N183" s="213"/>
      <c r="O183" s="213"/>
      <c r="P183" s="213"/>
      <c r="Q183" s="213"/>
      <c r="R183" s="213"/>
    </row>
    <row r="184" spans="10:18" customFormat="1" x14ac:dyDescent="0.2">
      <c r="J184" s="97"/>
      <c r="K184" s="213"/>
      <c r="L184" s="213"/>
      <c r="M184" s="213"/>
      <c r="N184" s="213"/>
      <c r="O184" s="213"/>
      <c r="P184" s="213"/>
      <c r="Q184" s="213"/>
      <c r="R184" s="213"/>
    </row>
    <row r="185" spans="10:18" customFormat="1" x14ac:dyDescent="0.2">
      <c r="J185" s="97"/>
      <c r="K185" s="213"/>
      <c r="L185" s="213"/>
      <c r="M185" s="213"/>
      <c r="N185" s="213"/>
      <c r="O185" s="213"/>
      <c r="P185" s="213"/>
      <c r="Q185" s="213"/>
      <c r="R185" s="213"/>
    </row>
    <row r="186" spans="10:18" customFormat="1" x14ac:dyDescent="0.2">
      <c r="J186" s="97"/>
      <c r="K186" s="213"/>
      <c r="L186" s="213"/>
      <c r="M186" s="213"/>
      <c r="N186" s="213"/>
      <c r="O186" s="213"/>
      <c r="P186" s="213"/>
      <c r="Q186" s="213"/>
      <c r="R186" s="213"/>
    </row>
    <row r="187" spans="10:18" customFormat="1" x14ac:dyDescent="0.2">
      <c r="J187" s="97"/>
      <c r="K187" s="213"/>
      <c r="L187" s="213"/>
      <c r="M187" s="213"/>
      <c r="N187" s="213"/>
      <c r="O187" s="213"/>
      <c r="P187" s="213"/>
      <c r="Q187" s="213"/>
      <c r="R187" s="213"/>
    </row>
    <row r="188" spans="10:18" customFormat="1" x14ac:dyDescent="0.2">
      <c r="J188" s="97"/>
      <c r="K188" s="213"/>
      <c r="L188" s="213"/>
      <c r="M188" s="213"/>
      <c r="N188" s="213"/>
      <c r="O188" s="213"/>
      <c r="P188" s="213"/>
      <c r="Q188" s="213"/>
      <c r="R188" s="213"/>
    </row>
    <row r="189" spans="10:18" customFormat="1" x14ac:dyDescent="0.2">
      <c r="J189" s="97"/>
      <c r="K189" s="213"/>
      <c r="L189" s="213"/>
      <c r="M189" s="213"/>
      <c r="N189" s="213"/>
      <c r="O189" s="213"/>
      <c r="P189" s="213"/>
      <c r="Q189" s="213"/>
      <c r="R189" s="213"/>
    </row>
    <row r="190" spans="10:18" customFormat="1" x14ac:dyDescent="0.2">
      <c r="J190" s="97"/>
      <c r="K190" s="213"/>
      <c r="L190" s="213"/>
      <c r="M190" s="213"/>
      <c r="N190" s="213"/>
      <c r="O190" s="213"/>
      <c r="P190" s="213"/>
      <c r="Q190" s="213"/>
      <c r="R190" s="213"/>
    </row>
    <row r="191" spans="10:18" customFormat="1" x14ac:dyDescent="0.2">
      <c r="J191" s="97"/>
      <c r="K191" s="213"/>
      <c r="L191" s="213"/>
      <c r="M191" s="213"/>
      <c r="N191" s="213"/>
      <c r="O191" s="213"/>
      <c r="P191" s="213"/>
      <c r="Q191" s="213"/>
      <c r="R191" s="213"/>
    </row>
    <row r="192" spans="10:18" customFormat="1" x14ac:dyDescent="0.2">
      <c r="J192" s="97"/>
      <c r="K192" s="213"/>
      <c r="L192" s="213"/>
      <c r="M192" s="213"/>
      <c r="N192" s="213"/>
      <c r="O192" s="213"/>
      <c r="P192" s="213"/>
      <c r="Q192" s="213"/>
      <c r="R192" s="213"/>
    </row>
    <row r="193" spans="10:18" customFormat="1" x14ac:dyDescent="0.2">
      <c r="J193" s="97"/>
      <c r="K193" s="213"/>
      <c r="L193" s="213"/>
      <c r="M193" s="213"/>
      <c r="N193" s="213"/>
      <c r="O193" s="213"/>
      <c r="P193" s="213"/>
      <c r="Q193" s="213"/>
      <c r="R193" s="213"/>
    </row>
    <row r="194" spans="10:18" customFormat="1" x14ac:dyDescent="0.2">
      <c r="J194" s="97"/>
      <c r="K194" s="213"/>
      <c r="L194" s="213"/>
      <c r="M194" s="213"/>
      <c r="N194" s="213"/>
      <c r="O194" s="213"/>
      <c r="P194" s="213"/>
      <c r="Q194" s="213"/>
      <c r="R194" s="213"/>
    </row>
    <row r="195" spans="10:18" customFormat="1" x14ac:dyDescent="0.2">
      <c r="J195" s="97"/>
      <c r="K195" s="213"/>
      <c r="L195" s="213"/>
      <c r="M195" s="213"/>
      <c r="N195" s="213"/>
      <c r="O195" s="213"/>
      <c r="P195" s="213"/>
      <c r="Q195" s="213"/>
      <c r="R195" s="213"/>
    </row>
    <row r="196" spans="10:18" customFormat="1" x14ac:dyDescent="0.2">
      <c r="J196" s="97"/>
      <c r="K196" s="213"/>
      <c r="L196" s="213"/>
      <c r="M196" s="213"/>
      <c r="N196" s="213"/>
      <c r="O196" s="213"/>
      <c r="P196" s="213"/>
      <c r="Q196" s="213"/>
      <c r="R196" s="213"/>
    </row>
    <row r="197" spans="10:18" x14ac:dyDescent="0.2">
      <c r="K197" s="213"/>
      <c r="L197" s="213"/>
      <c r="M197" s="213"/>
      <c r="N197" s="213"/>
      <c r="O197" s="213"/>
      <c r="P197" s="213"/>
      <c r="Q197" s="213"/>
      <c r="R197" s="213"/>
    </row>
    <row r="198" spans="10:18" x14ac:dyDescent="0.2">
      <c r="K198" s="213"/>
      <c r="L198" s="213"/>
      <c r="M198" s="213"/>
      <c r="N198" s="213"/>
      <c r="O198" s="213"/>
      <c r="P198" s="213"/>
      <c r="Q198" s="213"/>
      <c r="R198" s="213"/>
    </row>
    <row r="199" spans="10:18" x14ac:dyDescent="0.2">
      <c r="K199" s="213"/>
      <c r="L199" s="213"/>
      <c r="M199" s="213"/>
      <c r="N199" s="213"/>
      <c r="O199" s="213"/>
      <c r="P199" s="213"/>
      <c r="Q199" s="213"/>
      <c r="R199" s="213"/>
    </row>
    <row r="200" spans="10:18" x14ac:dyDescent="0.2">
      <c r="K200" s="213"/>
      <c r="L200" s="213"/>
      <c r="M200" s="213"/>
      <c r="N200" s="213"/>
      <c r="O200" s="213"/>
      <c r="P200" s="213"/>
      <c r="Q200" s="213"/>
      <c r="R200" s="213"/>
    </row>
    <row r="201" spans="10:18" x14ac:dyDescent="0.2">
      <c r="K201" s="213"/>
      <c r="L201" s="213"/>
      <c r="M201" s="213"/>
      <c r="N201" s="213"/>
      <c r="O201" s="213"/>
      <c r="P201" s="213"/>
      <c r="Q201" s="213"/>
      <c r="R201" s="213"/>
    </row>
    <row r="202" spans="10:18" x14ac:dyDescent="0.2">
      <c r="K202" s="213"/>
      <c r="L202" s="213"/>
      <c r="M202" s="213"/>
      <c r="N202" s="213"/>
      <c r="O202" s="213"/>
      <c r="P202" s="213"/>
      <c r="Q202" s="213"/>
      <c r="R202" s="213"/>
    </row>
    <row r="203" spans="10:18" x14ac:dyDescent="0.2">
      <c r="K203" s="213"/>
      <c r="L203" s="213"/>
      <c r="M203" s="213"/>
      <c r="N203" s="213"/>
      <c r="O203" s="213"/>
      <c r="P203" s="213"/>
      <c r="Q203" s="213"/>
      <c r="R203" s="213"/>
    </row>
    <row r="204" spans="10:18" x14ac:dyDescent="0.2">
      <c r="K204" s="213"/>
      <c r="L204" s="213"/>
      <c r="M204" s="213"/>
      <c r="N204" s="213"/>
      <c r="O204" s="213"/>
      <c r="P204" s="213"/>
      <c r="Q204" s="213"/>
      <c r="R204" s="213"/>
    </row>
    <row r="205" spans="10:18" x14ac:dyDescent="0.2">
      <c r="K205" s="213"/>
      <c r="L205" s="213"/>
      <c r="M205" s="213"/>
      <c r="N205" s="213"/>
      <c r="O205" s="213"/>
      <c r="P205" s="213"/>
      <c r="Q205" s="213"/>
      <c r="R205" s="213"/>
    </row>
    <row r="206" spans="10:18" x14ac:dyDescent="0.2">
      <c r="K206" s="213"/>
      <c r="L206" s="213"/>
      <c r="M206" s="213"/>
      <c r="N206" s="213"/>
      <c r="O206" s="213"/>
      <c r="P206" s="213"/>
      <c r="Q206" s="213"/>
      <c r="R206" s="213"/>
    </row>
    <row r="207" spans="10:18" x14ac:dyDescent="0.2">
      <c r="K207" s="213"/>
      <c r="L207" s="213"/>
      <c r="M207" s="213"/>
      <c r="N207" s="213"/>
      <c r="O207" s="213"/>
      <c r="P207" s="213"/>
      <c r="Q207" s="213"/>
      <c r="R207" s="213"/>
    </row>
    <row r="208" spans="10:18" x14ac:dyDescent="0.2">
      <c r="K208" s="213"/>
      <c r="L208" s="213"/>
      <c r="M208" s="213"/>
      <c r="N208" s="213"/>
      <c r="O208" s="213"/>
      <c r="P208" s="213"/>
      <c r="Q208" s="213"/>
      <c r="R208" s="213"/>
    </row>
    <row r="209" spans="11:18" x14ac:dyDescent="0.2">
      <c r="K209" s="213"/>
      <c r="L209" s="213"/>
      <c r="M209" s="213"/>
      <c r="N209" s="213"/>
      <c r="O209" s="213"/>
      <c r="P209" s="213"/>
      <c r="Q209" s="213"/>
      <c r="R209" s="213"/>
    </row>
  </sheetData>
  <mergeCells count="9">
    <mergeCell ref="A8:J8"/>
    <mergeCell ref="L2:P2"/>
    <mergeCell ref="K8:R8"/>
    <mergeCell ref="A1:E1"/>
    <mergeCell ref="A2:E2"/>
    <mergeCell ref="A4:H4"/>
    <mergeCell ref="A5:C5"/>
    <mergeCell ref="D5:E5"/>
    <mergeCell ref="A7:R7"/>
  </mergeCells>
  <phoneticPr fontId="0" type="noConversion"/>
  <conditionalFormatting sqref="A71:I196 I65 A47:H65 A42:H44">
    <cfRule type="expression" dxfId="3" priority="4" stopIfTrue="1">
      <formula>TRUE</formula>
    </cfRule>
  </conditionalFormatting>
  <conditionalFormatting sqref="A66:I70">
    <cfRule type="expression" dxfId="2" priority="1" stopIfTrue="1">
      <formula>TRUE</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eet5.reqContractDetails">
                <anchor moveWithCells="1">
                  <from>
                    <xdr:col>0</xdr:col>
                    <xdr:colOff>200025</xdr:colOff>
                    <xdr:row>1</xdr:row>
                    <xdr:rowOff>85725</xdr:rowOff>
                  </from>
                  <to>
                    <xdr:col>2</xdr:col>
                    <xdr:colOff>561975</xdr:colOff>
                    <xdr:row>1</xdr:row>
                    <xdr:rowOff>285750</xdr:rowOff>
                  </to>
                </anchor>
              </controlPr>
            </control>
          </mc:Choice>
        </mc:AlternateContent>
        <mc:AlternateContent xmlns:mc="http://schemas.openxmlformats.org/markup-compatibility/2006">
          <mc:Choice Requires="x14">
            <control shapeId="9218" r:id="rId5" name="Button 2">
              <controlPr defaultSize="0" print="0" autoFill="0" autoPict="0" macro="[0]!Sheet5.onShowError">
                <anchor moveWithCells="1">
                  <from>
                    <xdr:col>3</xdr:col>
                    <xdr:colOff>180975</xdr:colOff>
                    <xdr:row>1</xdr:row>
                    <xdr:rowOff>85725</xdr:rowOff>
                  </from>
                  <to>
                    <xdr:col>4</xdr:col>
                    <xdr:colOff>390525</xdr:colOff>
                    <xdr:row>1</xdr:row>
                    <xdr:rowOff>295275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A213"/>
  <sheetViews>
    <sheetView zoomScale="80" zoomScaleNormal="80" workbookViewId="0">
      <pane ySplit="9" topLeftCell="A10" activePane="bottomLeft" state="frozenSplit"/>
      <selection pane="bottomLeft" activeCell="D5" sqref="D5:E5"/>
    </sheetView>
  </sheetViews>
  <sheetFormatPr defaultRowHeight="12.75" x14ac:dyDescent="0.2"/>
  <cols>
    <col min="1" max="1" width="13.5703125" customWidth="1"/>
    <col min="3" max="3" width="12.7109375" customWidth="1"/>
    <col min="5" max="5" width="6.5703125" customWidth="1"/>
    <col min="6" max="6" width="6.28515625" customWidth="1"/>
    <col min="7" max="7" width="8.42578125" bestFit="1" customWidth="1"/>
    <col min="8" max="8" width="7.85546875" bestFit="1" customWidth="1"/>
    <col min="9" max="9" width="9.85546875" bestFit="1" customWidth="1"/>
    <col min="10" max="10" width="10.28515625" bestFit="1" customWidth="1"/>
    <col min="11" max="11" width="7.7109375" bestFit="1" customWidth="1"/>
    <col min="12" max="12" width="10.5703125" bestFit="1" customWidth="1"/>
    <col min="13" max="13" width="12.7109375" bestFit="1" customWidth="1"/>
    <col min="14" max="14" width="10.85546875" bestFit="1" customWidth="1"/>
    <col min="16" max="16" width="7.42578125" bestFit="1" customWidth="1"/>
    <col min="17" max="17" width="13" bestFit="1" customWidth="1"/>
    <col min="18" max="18" width="12.140625" bestFit="1" customWidth="1"/>
    <col min="19" max="19" width="13" bestFit="1" customWidth="1"/>
    <col min="20" max="20" width="10.28515625" customWidth="1"/>
    <col min="21" max="21" width="9.85546875" customWidth="1"/>
    <col min="22" max="22" width="14.42578125" customWidth="1"/>
    <col min="23" max="23" width="14.140625" customWidth="1"/>
    <col min="24" max="24" width="15.85546875" bestFit="1" customWidth="1"/>
    <col min="25" max="25" width="16.28515625" bestFit="1" customWidth="1"/>
    <col min="26" max="26" width="17.140625" bestFit="1" customWidth="1"/>
    <col min="27" max="27" width="68.28515625" bestFit="1" customWidth="1"/>
  </cols>
  <sheetData>
    <row r="1" spans="1:27" x14ac:dyDescent="0.2">
      <c r="A1" s="342" t="s">
        <v>47</v>
      </c>
      <c r="B1" s="276"/>
      <c r="C1" s="276"/>
      <c r="D1" s="276"/>
      <c r="E1" s="277"/>
    </row>
    <row r="2" spans="1:27" ht="28.5" customHeight="1" x14ac:dyDescent="0.2">
      <c r="A2" s="448"/>
      <c r="B2" s="279"/>
      <c r="C2" s="279"/>
      <c r="D2" s="279"/>
      <c r="E2" s="280"/>
      <c r="M2" s="455" t="s">
        <v>299</v>
      </c>
      <c r="N2" s="460"/>
      <c r="O2" s="460"/>
      <c r="P2" s="460"/>
      <c r="Q2" s="460"/>
      <c r="R2" s="461"/>
    </row>
    <row r="3" spans="1:27" x14ac:dyDescent="0.2">
      <c r="R3" s="26"/>
    </row>
    <row r="4" spans="1:27" x14ac:dyDescent="0.2">
      <c r="A4" s="391" t="s">
        <v>51</v>
      </c>
      <c r="B4" s="415"/>
      <c r="C4" s="415"/>
      <c r="D4" s="415"/>
      <c r="E4" s="415"/>
      <c r="F4" s="391"/>
      <c r="G4" s="415"/>
      <c r="H4" s="415"/>
      <c r="I4" s="415"/>
      <c r="J4" s="415"/>
    </row>
    <row r="5" spans="1:27" x14ac:dyDescent="0.2">
      <c r="A5" s="308" t="s">
        <v>58</v>
      </c>
      <c r="B5" s="417"/>
      <c r="C5" s="356"/>
      <c r="D5" s="457" t="s">
        <v>498</v>
      </c>
      <c r="E5" s="457"/>
      <c r="F5" s="17"/>
      <c r="G5" s="17"/>
      <c r="H5" s="17"/>
      <c r="I5" s="17"/>
      <c r="J5" s="18"/>
    </row>
    <row r="7" spans="1:27" x14ac:dyDescent="0.2">
      <c r="A7" s="420" t="s">
        <v>92</v>
      </c>
      <c r="B7" s="264"/>
      <c r="C7" s="264"/>
      <c r="D7" s="264"/>
      <c r="E7" s="264"/>
      <c r="F7" s="264"/>
      <c r="G7" s="264"/>
      <c r="H7" s="264"/>
      <c r="I7" s="264"/>
      <c r="J7" s="264"/>
      <c r="K7" s="264"/>
      <c r="L7" s="264"/>
      <c r="M7" s="264"/>
      <c r="N7" s="264"/>
      <c r="O7" s="264"/>
      <c r="P7" s="264"/>
      <c r="Q7" s="264"/>
      <c r="R7" s="264"/>
      <c r="S7" s="264"/>
      <c r="T7" s="264"/>
      <c r="U7" s="264"/>
      <c r="V7" s="264"/>
      <c r="W7" s="267"/>
      <c r="X7" s="267"/>
      <c r="Y7" s="267"/>
      <c r="Z7" s="267"/>
      <c r="AA7" s="459"/>
    </row>
    <row r="8" spans="1:27" x14ac:dyDescent="0.2">
      <c r="A8" s="329" t="s">
        <v>93</v>
      </c>
      <c r="B8" s="330"/>
      <c r="C8" s="330"/>
      <c r="D8" s="330"/>
      <c r="E8" s="330"/>
      <c r="F8" s="255" t="s">
        <v>186</v>
      </c>
      <c r="G8" s="261"/>
      <c r="H8" s="261"/>
      <c r="I8" s="261"/>
      <c r="J8" s="261"/>
      <c r="K8" s="261"/>
      <c r="L8" s="261"/>
      <c r="M8" s="261"/>
      <c r="N8" s="261"/>
      <c r="O8" s="261"/>
      <c r="P8" s="261"/>
      <c r="Q8" s="261"/>
      <c r="R8" s="261"/>
      <c r="S8" s="261"/>
      <c r="T8" s="261"/>
      <c r="U8" s="261"/>
      <c r="V8" s="261"/>
      <c r="W8" s="279"/>
      <c r="X8" s="279"/>
      <c r="Y8" s="279"/>
      <c r="Z8" s="279"/>
      <c r="AA8" s="280"/>
    </row>
    <row r="9" spans="1:27" x14ac:dyDescent="0.2">
      <c r="A9" s="9" t="s">
        <v>175</v>
      </c>
      <c r="B9" s="9" t="s">
        <v>21</v>
      </c>
      <c r="C9" s="9" t="s">
        <v>12</v>
      </c>
      <c r="D9" s="9" t="s">
        <v>40</v>
      </c>
      <c r="E9" s="9"/>
      <c r="F9" s="98" t="s">
        <v>22</v>
      </c>
      <c r="G9" s="100" t="s">
        <v>9</v>
      </c>
      <c r="H9" s="100" t="s">
        <v>176</v>
      </c>
      <c r="I9" s="100" t="s">
        <v>177</v>
      </c>
      <c r="J9" s="100" t="s">
        <v>178</v>
      </c>
      <c r="K9" s="100" t="s">
        <v>179</v>
      </c>
      <c r="L9" s="100" t="s">
        <v>180</v>
      </c>
      <c r="M9" s="100" t="s">
        <v>181</v>
      </c>
      <c r="N9" s="100" t="s">
        <v>182</v>
      </c>
      <c r="O9" s="100" t="s">
        <v>183</v>
      </c>
      <c r="P9" s="100" t="s">
        <v>184</v>
      </c>
      <c r="Q9" s="100" t="s">
        <v>185</v>
      </c>
      <c r="R9" s="209" t="s">
        <v>84</v>
      </c>
      <c r="S9" s="207" t="s">
        <v>85</v>
      </c>
      <c r="T9" s="207" t="s">
        <v>88</v>
      </c>
      <c r="U9" s="209" t="s">
        <v>89</v>
      </c>
      <c r="V9" s="209" t="s">
        <v>91</v>
      </c>
      <c r="W9" s="207" t="s">
        <v>90</v>
      </c>
      <c r="X9" s="207" t="s">
        <v>326</v>
      </c>
      <c r="Y9" s="207" t="s">
        <v>327</v>
      </c>
      <c r="Z9" s="207" t="s">
        <v>328</v>
      </c>
      <c r="AA9" s="207" t="s">
        <v>325</v>
      </c>
    </row>
    <row r="10" spans="1:27" x14ac:dyDescent="0.2">
      <c r="A10" s="13" t="s">
        <v>685</v>
      </c>
      <c r="B10" s="13" t="s">
        <v>187</v>
      </c>
      <c r="C10" s="13" t="s">
        <v>67</v>
      </c>
      <c r="D10" s="13" t="s">
        <v>43</v>
      </c>
      <c r="E10" s="97"/>
      <c r="F10" s="213"/>
      <c r="G10" s="213"/>
      <c r="H10" s="213"/>
      <c r="I10" s="213"/>
      <c r="J10" s="213"/>
      <c r="K10" s="213"/>
      <c r="L10" s="213"/>
      <c r="M10" s="213"/>
      <c r="N10" s="213"/>
      <c r="O10" s="213"/>
      <c r="P10" s="213"/>
      <c r="Q10" s="213"/>
      <c r="R10" s="213"/>
      <c r="S10" s="213"/>
      <c r="T10" s="213"/>
      <c r="U10" s="213"/>
      <c r="V10" s="213"/>
      <c r="W10" s="213"/>
      <c r="X10" s="213"/>
      <c r="Y10" s="213"/>
      <c r="Z10" s="213"/>
      <c r="AA10" s="213"/>
    </row>
    <row r="11" spans="1:27" x14ac:dyDescent="0.2">
      <c r="A11" s="242" t="s">
        <v>686</v>
      </c>
      <c r="B11" s="13" t="s">
        <v>187</v>
      </c>
      <c r="C11" s="13" t="s">
        <v>648</v>
      </c>
      <c r="D11" s="13" t="s">
        <v>43</v>
      </c>
      <c r="E11" s="97"/>
      <c r="F11" s="213"/>
      <c r="G11" s="213"/>
      <c r="H11" s="213"/>
      <c r="I11" s="213"/>
      <c r="J11" s="213"/>
      <c r="K11" s="213"/>
      <c r="L11" s="213"/>
      <c r="M11" s="213"/>
      <c r="N11" s="213"/>
      <c r="O11" s="213"/>
      <c r="P11" s="213"/>
      <c r="Q11" s="213"/>
      <c r="R11" s="213"/>
      <c r="S11" s="213"/>
      <c r="T11" s="213"/>
      <c r="U11" s="213"/>
      <c r="V11" s="213"/>
      <c r="W11" s="213"/>
      <c r="X11" s="213"/>
      <c r="Y11" s="213"/>
      <c r="Z11" s="213"/>
      <c r="AA11" s="213"/>
    </row>
    <row r="12" spans="1:27" x14ac:dyDescent="0.2">
      <c r="A12" s="13" t="s">
        <v>634</v>
      </c>
      <c r="B12" s="13" t="s">
        <v>187</v>
      </c>
      <c r="C12" s="13" t="s">
        <v>67</v>
      </c>
      <c r="D12" s="13" t="s">
        <v>43</v>
      </c>
      <c r="E12" s="97"/>
      <c r="F12" s="213"/>
      <c r="G12" s="213"/>
      <c r="H12" s="213"/>
      <c r="I12" s="213"/>
      <c r="J12" s="213"/>
      <c r="K12" s="213"/>
      <c r="L12" s="213"/>
      <c r="M12" s="213"/>
      <c r="N12" s="213"/>
      <c r="O12" s="213"/>
      <c r="P12" s="213"/>
      <c r="Q12" s="213"/>
      <c r="R12" s="213"/>
      <c r="S12" s="213"/>
      <c r="T12" s="213"/>
      <c r="U12" s="213"/>
      <c r="V12" s="213"/>
      <c r="W12" s="213"/>
      <c r="X12" s="213"/>
      <c r="Y12" s="213"/>
      <c r="Z12" s="213"/>
      <c r="AA12" s="213"/>
    </row>
    <row r="13" spans="1:27" x14ac:dyDescent="0.2">
      <c r="A13" s="13"/>
      <c r="B13" s="13"/>
      <c r="C13" s="13"/>
      <c r="D13" s="13"/>
      <c r="E13" s="97"/>
      <c r="F13" s="213"/>
      <c r="G13" s="213"/>
      <c r="H13" s="213"/>
      <c r="I13" s="213"/>
      <c r="J13" s="213"/>
      <c r="K13" s="213"/>
      <c r="L13" s="213"/>
      <c r="M13" s="213"/>
      <c r="N13" s="213"/>
      <c r="O13" s="213"/>
      <c r="P13" s="213"/>
      <c r="Q13" s="213"/>
      <c r="R13" s="213"/>
      <c r="S13" s="213"/>
      <c r="T13" s="213"/>
      <c r="U13" s="213"/>
      <c r="V13" s="213"/>
      <c r="W13" s="213"/>
      <c r="X13" s="213"/>
      <c r="Y13" s="213"/>
      <c r="Z13" s="213"/>
      <c r="AA13" s="213"/>
    </row>
    <row r="14" spans="1:27" x14ac:dyDescent="0.2">
      <c r="A14" s="13"/>
      <c r="B14" s="13"/>
      <c r="C14" s="13"/>
      <c r="D14" s="13"/>
      <c r="E14" s="97"/>
      <c r="F14" s="213"/>
      <c r="G14" s="213"/>
      <c r="H14" s="213"/>
      <c r="I14" s="213"/>
      <c r="J14" s="213"/>
      <c r="K14" s="213"/>
      <c r="L14" s="213"/>
      <c r="M14" s="213"/>
      <c r="N14" s="213"/>
      <c r="O14" s="213"/>
      <c r="P14" s="213"/>
      <c r="Q14" s="213"/>
      <c r="R14" s="213"/>
      <c r="S14" s="213"/>
      <c r="T14" s="213"/>
      <c r="U14" s="213"/>
      <c r="V14" s="213"/>
      <c r="W14" s="213"/>
      <c r="X14" s="213"/>
      <c r="Y14" s="213"/>
      <c r="Z14" s="213"/>
      <c r="AA14" s="213"/>
    </row>
    <row r="15" spans="1:27" x14ac:dyDescent="0.2">
      <c r="A15" s="13"/>
      <c r="B15" s="13"/>
      <c r="C15" s="13"/>
      <c r="D15" s="13"/>
      <c r="E15" s="97"/>
      <c r="F15" s="213"/>
      <c r="G15" s="213"/>
      <c r="H15" s="213"/>
      <c r="I15" s="213"/>
      <c r="J15" s="213"/>
      <c r="K15" s="213"/>
      <c r="L15" s="213"/>
      <c r="M15" s="213"/>
      <c r="N15" s="213"/>
      <c r="O15" s="213"/>
      <c r="P15" s="213"/>
      <c r="Q15" s="213"/>
      <c r="R15" s="213"/>
      <c r="S15" s="213"/>
      <c r="T15" s="213"/>
      <c r="U15" s="213"/>
      <c r="V15" s="213"/>
      <c r="W15" s="213"/>
      <c r="X15" s="213"/>
      <c r="Y15" s="213"/>
      <c r="Z15" s="213"/>
      <c r="AA15" s="213"/>
    </row>
    <row r="16" spans="1:27" x14ac:dyDescent="0.2">
      <c r="A16" s="12"/>
      <c r="B16" s="13"/>
      <c r="C16" s="13"/>
      <c r="D16" s="13"/>
      <c r="E16" s="97"/>
      <c r="F16" s="213"/>
      <c r="G16" s="213"/>
      <c r="H16" s="213"/>
      <c r="I16" s="213"/>
      <c r="J16" s="213"/>
      <c r="K16" s="213"/>
      <c r="L16" s="213"/>
      <c r="M16" s="213"/>
      <c r="N16" s="213"/>
      <c r="O16" s="213"/>
      <c r="P16" s="213"/>
      <c r="Q16" s="213"/>
      <c r="R16" s="213"/>
      <c r="S16" s="213"/>
      <c r="T16" s="213"/>
      <c r="U16" s="213"/>
      <c r="V16" s="213"/>
      <c r="W16" s="213"/>
      <c r="X16" s="213"/>
      <c r="Y16" s="213"/>
      <c r="Z16" s="213"/>
      <c r="AA16" s="213"/>
    </row>
    <row r="17" spans="1:27" x14ac:dyDescent="0.2">
      <c r="A17" s="13"/>
      <c r="B17" s="13"/>
      <c r="C17" s="13"/>
      <c r="D17" s="13"/>
      <c r="E17" s="97"/>
      <c r="F17" s="213"/>
      <c r="G17" s="213"/>
      <c r="H17" s="213"/>
      <c r="I17" s="213"/>
      <c r="J17" s="213"/>
      <c r="K17" s="213"/>
      <c r="L17" s="213"/>
      <c r="M17" s="213"/>
      <c r="N17" s="213"/>
      <c r="O17" s="213"/>
      <c r="P17" s="213"/>
      <c r="Q17" s="213"/>
      <c r="R17" s="213"/>
      <c r="S17" s="213"/>
      <c r="T17" s="213"/>
      <c r="U17" s="213"/>
      <c r="V17" s="213"/>
      <c r="W17" s="213"/>
      <c r="X17" s="213"/>
      <c r="Y17" s="213"/>
      <c r="Z17" s="213"/>
      <c r="AA17" s="213"/>
    </row>
    <row r="18" spans="1:27" x14ac:dyDescent="0.2">
      <c r="A18" s="13"/>
      <c r="B18" s="13"/>
      <c r="C18" s="13"/>
      <c r="D18" s="13"/>
      <c r="E18" s="97"/>
      <c r="F18" s="213"/>
      <c r="G18" s="213"/>
      <c r="H18" s="213"/>
      <c r="I18" s="213"/>
      <c r="J18" s="213"/>
      <c r="K18" s="213"/>
      <c r="L18" s="213"/>
      <c r="M18" s="213"/>
      <c r="N18" s="213"/>
      <c r="O18" s="213"/>
      <c r="P18" s="213"/>
      <c r="Q18" s="213"/>
      <c r="R18" s="213"/>
      <c r="S18" s="213"/>
      <c r="T18" s="213"/>
      <c r="U18" s="213"/>
      <c r="V18" s="213"/>
      <c r="W18" s="213"/>
      <c r="X18" s="213"/>
      <c r="Y18" s="213"/>
      <c r="Z18" s="213"/>
      <c r="AA18" s="213"/>
    </row>
    <row r="19" spans="1:27" x14ac:dyDescent="0.2">
      <c r="A19" s="13"/>
      <c r="B19" s="13"/>
      <c r="C19" s="13"/>
      <c r="D19" s="13"/>
      <c r="E19" s="97"/>
      <c r="F19" s="213"/>
      <c r="G19" s="213"/>
      <c r="H19" s="213"/>
      <c r="I19" s="213"/>
      <c r="J19" s="213"/>
      <c r="K19" s="213"/>
      <c r="L19" s="213"/>
      <c r="M19" s="213"/>
      <c r="N19" s="213"/>
      <c r="O19" s="213"/>
      <c r="P19" s="213"/>
      <c r="Q19" s="213"/>
      <c r="R19" s="213"/>
      <c r="S19" s="213"/>
      <c r="T19" s="213"/>
      <c r="U19" s="213"/>
      <c r="V19" s="213"/>
      <c r="W19" s="213"/>
      <c r="X19" s="213"/>
      <c r="Y19" s="213"/>
      <c r="Z19" s="213"/>
      <c r="AA19" s="213"/>
    </row>
    <row r="20" spans="1:27" x14ac:dyDescent="0.2">
      <c r="A20" s="13"/>
      <c r="B20" s="13"/>
      <c r="C20" s="13"/>
      <c r="D20" s="13"/>
      <c r="E20" s="97"/>
      <c r="F20" s="213"/>
      <c r="G20" s="213"/>
      <c r="H20" s="213"/>
      <c r="I20" s="213"/>
      <c r="J20" s="213"/>
      <c r="K20" s="213"/>
      <c r="L20" s="213"/>
      <c r="M20" s="213"/>
      <c r="N20" s="213"/>
      <c r="O20" s="213"/>
      <c r="P20" s="213"/>
      <c r="Q20" s="213"/>
      <c r="R20" s="213"/>
      <c r="S20" s="213"/>
      <c r="T20" s="213"/>
      <c r="U20" s="213"/>
      <c r="V20" s="213"/>
      <c r="W20" s="213"/>
      <c r="X20" s="213"/>
      <c r="Y20" s="213"/>
      <c r="Z20" s="213"/>
      <c r="AA20" s="213"/>
    </row>
    <row r="21" spans="1:27" x14ac:dyDescent="0.2">
      <c r="A21" s="13"/>
      <c r="B21" s="13"/>
      <c r="C21" s="13"/>
      <c r="D21" s="13"/>
      <c r="E21" s="97"/>
      <c r="F21" s="213"/>
      <c r="G21" s="213"/>
      <c r="H21" s="213"/>
      <c r="I21" s="213"/>
      <c r="J21" s="213"/>
      <c r="K21" s="213"/>
      <c r="L21" s="213"/>
      <c r="M21" s="213"/>
      <c r="N21" s="213"/>
      <c r="O21" s="213"/>
      <c r="P21" s="213"/>
      <c r="Q21" s="213"/>
      <c r="R21" s="213"/>
      <c r="S21" s="213"/>
      <c r="T21" s="213"/>
      <c r="U21" s="213"/>
      <c r="V21" s="213"/>
      <c r="W21" s="213"/>
      <c r="X21" s="213"/>
      <c r="Y21" s="213"/>
      <c r="Z21" s="213"/>
      <c r="AA21" s="213"/>
    </row>
    <row r="22" spans="1:27" x14ac:dyDescent="0.2">
      <c r="A22" s="13"/>
      <c r="B22" s="13"/>
      <c r="C22" s="13"/>
      <c r="D22" s="13"/>
      <c r="E22" s="97"/>
      <c r="F22" s="213"/>
      <c r="G22" s="213"/>
      <c r="H22" s="213"/>
      <c r="I22" s="213"/>
      <c r="J22" s="213"/>
      <c r="K22" s="213"/>
      <c r="L22" s="213"/>
      <c r="M22" s="213"/>
      <c r="N22" s="213"/>
      <c r="O22" s="213"/>
      <c r="P22" s="213"/>
      <c r="Q22" s="213"/>
      <c r="R22" s="213"/>
      <c r="S22" s="213"/>
      <c r="T22" s="213"/>
      <c r="U22" s="213"/>
      <c r="V22" s="213"/>
      <c r="W22" s="213"/>
      <c r="X22" s="213"/>
      <c r="Y22" s="213"/>
      <c r="Z22" s="213"/>
      <c r="AA22" s="213"/>
    </row>
    <row r="23" spans="1:27" x14ac:dyDescent="0.2">
      <c r="A23" s="13"/>
      <c r="B23" s="13"/>
      <c r="C23" s="13"/>
      <c r="D23" s="13"/>
      <c r="E23" s="97"/>
      <c r="F23" s="213"/>
      <c r="G23" s="213"/>
      <c r="H23" s="213"/>
      <c r="I23" s="213"/>
      <c r="J23" s="213"/>
      <c r="K23" s="213"/>
      <c r="L23" s="213"/>
      <c r="M23" s="213"/>
      <c r="N23" s="213"/>
      <c r="O23" s="213"/>
      <c r="P23" s="213"/>
      <c r="Q23" s="213"/>
      <c r="R23" s="213"/>
      <c r="S23" s="213"/>
      <c r="T23" s="213"/>
      <c r="U23" s="213"/>
      <c r="V23" s="213"/>
      <c r="W23" s="213"/>
      <c r="X23" s="213"/>
      <c r="Y23" s="213"/>
      <c r="Z23" s="213"/>
      <c r="AA23" s="213"/>
    </row>
    <row r="24" spans="1:27" x14ac:dyDescent="0.2">
      <c r="A24" s="12"/>
      <c r="B24" s="13"/>
      <c r="C24" s="13"/>
      <c r="D24" s="13"/>
      <c r="E24" s="97"/>
      <c r="F24" s="213"/>
      <c r="G24" s="213"/>
      <c r="H24" s="213"/>
      <c r="I24" s="213"/>
      <c r="J24" s="213"/>
      <c r="K24" s="213"/>
      <c r="L24" s="213"/>
      <c r="M24" s="213"/>
      <c r="N24" s="213"/>
      <c r="O24" s="213"/>
      <c r="P24" s="213"/>
      <c r="Q24" s="213"/>
      <c r="R24" s="213"/>
      <c r="S24" s="213"/>
      <c r="T24" s="213"/>
      <c r="U24" s="213"/>
      <c r="V24" s="213"/>
      <c r="W24" s="213"/>
      <c r="X24" s="213"/>
      <c r="Y24" s="213"/>
      <c r="Z24" s="213"/>
      <c r="AA24" s="213"/>
    </row>
    <row r="25" spans="1:27" x14ac:dyDescent="0.2">
      <c r="A25" s="13"/>
      <c r="B25" s="13"/>
      <c r="C25" s="13"/>
      <c r="D25" s="13"/>
      <c r="E25" s="97"/>
      <c r="F25" s="213"/>
      <c r="G25" s="213"/>
      <c r="H25" s="213"/>
      <c r="I25" s="213"/>
      <c r="J25" s="213"/>
      <c r="K25" s="213"/>
      <c r="L25" s="213"/>
      <c r="M25" s="213"/>
      <c r="N25" s="213"/>
      <c r="O25" s="213"/>
      <c r="P25" s="213"/>
      <c r="Q25" s="213"/>
      <c r="R25" s="213"/>
      <c r="S25" s="213"/>
      <c r="T25" s="213"/>
      <c r="U25" s="213"/>
      <c r="V25" s="213"/>
      <c r="W25" s="213"/>
      <c r="X25" s="213"/>
      <c r="Y25" s="213"/>
      <c r="Z25" s="213"/>
      <c r="AA25" s="213"/>
    </row>
    <row r="26" spans="1:27" x14ac:dyDescent="0.2">
      <c r="A26" s="13"/>
      <c r="B26" s="13"/>
      <c r="C26" s="13"/>
      <c r="D26" s="13"/>
      <c r="E26" s="97"/>
      <c r="F26" s="213"/>
      <c r="G26" s="213"/>
      <c r="H26" s="213"/>
      <c r="I26" s="213"/>
      <c r="J26" s="213"/>
      <c r="K26" s="213"/>
      <c r="L26" s="213"/>
      <c r="M26" s="213"/>
      <c r="N26" s="213"/>
      <c r="O26" s="213"/>
      <c r="P26" s="213"/>
      <c r="Q26" s="213"/>
      <c r="R26" s="213"/>
      <c r="S26" s="213"/>
      <c r="T26" s="213"/>
      <c r="U26" s="213"/>
      <c r="V26" s="213"/>
      <c r="W26" s="213"/>
      <c r="X26" s="213"/>
      <c r="Y26" s="213"/>
      <c r="Z26" s="213"/>
      <c r="AA26" s="213"/>
    </row>
    <row r="27" spans="1:27" x14ac:dyDescent="0.2">
      <c r="A27" s="13"/>
      <c r="B27" s="13"/>
      <c r="C27" s="13"/>
      <c r="D27" s="13"/>
      <c r="E27" s="97"/>
      <c r="F27" s="213"/>
      <c r="G27" s="213"/>
      <c r="H27" s="213"/>
      <c r="I27" s="213"/>
      <c r="J27" s="213"/>
      <c r="K27" s="213"/>
      <c r="L27" s="213"/>
      <c r="M27" s="213"/>
      <c r="N27" s="213"/>
      <c r="O27" s="213"/>
      <c r="P27" s="213"/>
      <c r="Q27" s="213"/>
      <c r="R27" s="213"/>
      <c r="S27" s="213"/>
      <c r="T27" s="213"/>
      <c r="U27" s="213"/>
      <c r="V27" s="213"/>
      <c r="W27" s="213"/>
      <c r="X27" s="213"/>
      <c r="Y27" s="213"/>
      <c r="Z27" s="213"/>
      <c r="AA27" s="213"/>
    </row>
    <row r="28" spans="1:27" x14ac:dyDescent="0.2">
      <c r="A28" s="13"/>
      <c r="B28" s="13"/>
      <c r="C28" s="13"/>
      <c r="D28" s="13"/>
      <c r="E28" s="97"/>
      <c r="F28" s="213"/>
      <c r="G28" s="213"/>
      <c r="H28" s="213"/>
      <c r="I28" s="213"/>
      <c r="J28" s="213"/>
      <c r="K28" s="213"/>
      <c r="L28" s="213"/>
      <c r="M28" s="213"/>
      <c r="N28" s="213"/>
      <c r="O28" s="213"/>
      <c r="P28" s="213"/>
      <c r="Q28" s="213"/>
      <c r="R28" s="213"/>
      <c r="S28" s="213"/>
      <c r="T28" s="213"/>
      <c r="U28" s="213"/>
      <c r="V28" s="213"/>
      <c r="W28" s="213"/>
      <c r="X28" s="213"/>
      <c r="Y28" s="213"/>
      <c r="Z28" s="213"/>
      <c r="AA28" s="213"/>
    </row>
    <row r="29" spans="1:27" x14ac:dyDescent="0.2">
      <c r="A29" s="12"/>
      <c r="B29" s="13"/>
      <c r="C29" s="13"/>
      <c r="D29" s="13"/>
      <c r="E29" s="97"/>
      <c r="F29" s="213"/>
      <c r="G29" s="213"/>
      <c r="H29" s="213"/>
      <c r="I29" s="213"/>
      <c r="J29" s="213"/>
      <c r="K29" s="213"/>
      <c r="L29" s="213"/>
      <c r="M29" s="213"/>
      <c r="N29" s="213"/>
      <c r="O29" s="213"/>
      <c r="P29" s="213"/>
      <c r="Q29" s="213"/>
      <c r="R29" s="213"/>
      <c r="S29" s="213"/>
      <c r="T29" s="213"/>
      <c r="U29" s="213"/>
      <c r="V29" s="213"/>
      <c r="W29" s="213"/>
      <c r="X29" s="213"/>
      <c r="Y29" s="213"/>
      <c r="Z29" s="213"/>
      <c r="AA29" s="213"/>
    </row>
    <row r="30" spans="1:27" x14ac:dyDescent="0.2">
      <c r="A30" s="13"/>
      <c r="B30" s="13"/>
      <c r="C30" s="13"/>
      <c r="D30" s="13"/>
      <c r="E30" s="97"/>
      <c r="F30" s="213"/>
      <c r="G30" s="213"/>
      <c r="H30" s="213"/>
      <c r="I30" s="213"/>
      <c r="J30" s="213"/>
      <c r="K30" s="213"/>
      <c r="L30" s="213"/>
      <c r="M30" s="213"/>
      <c r="N30" s="213"/>
      <c r="O30" s="213"/>
      <c r="P30" s="213"/>
      <c r="Q30" s="213"/>
      <c r="R30" s="213"/>
      <c r="S30" s="213"/>
      <c r="T30" s="213"/>
      <c r="U30" s="213"/>
      <c r="V30" s="213"/>
      <c r="W30" s="213"/>
      <c r="X30" s="213"/>
      <c r="Y30" s="213"/>
      <c r="Z30" s="213"/>
      <c r="AA30" s="213"/>
    </row>
    <row r="31" spans="1:27" x14ac:dyDescent="0.2">
      <c r="A31" s="13"/>
      <c r="B31" s="13"/>
      <c r="C31" s="13"/>
      <c r="D31" s="13"/>
      <c r="E31" s="97"/>
      <c r="F31" s="213"/>
      <c r="G31" s="213"/>
      <c r="H31" s="213"/>
      <c r="I31" s="213"/>
      <c r="J31" s="213"/>
      <c r="K31" s="213"/>
      <c r="L31" s="213"/>
      <c r="M31" s="213"/>
      <c r="N31" s="213"/>
      <c r="O31" s="213"/>
      <c r="P31" s="213"/>
      <c r="Q31" s="213"/>
      <c r="R31" s="213"/>
      <c r="S31" s="213"/>
      <c r="T31" s="213"/>
      <c r="U31" s="213"/>
      <c r="V31" s="213"/>
      <c r="W31" s="213"/>
      <c r="X31" s="213"/>
      <c r="Y31" s="213"/>
      <c r="Z31" s="213"/>
      <c r="AA31" s="213"/>
    </row>
    <row r="32" spans="1:27" x14ac:dyDescent="0.2">
      <c r="A32" s="12"/>
      <c r="B32" s="13"/>
      <c r="C32" s="13"/>
      <c r="D32" s="13"/>
      <c r="E32" s="97"/>
      <c r="F32" s="213"/>
      <c r="G32" s="213"/>
      <c r="H32" s="213"/>
      <c r="I32" s="213"/>
      <c r="J32" s="213"/>
      <c r="K32" s="213"/>
      <c r="L32" s="213"/>
      <c r="M32" s="213"/>
      <c r="N32" s="213"/>
      <c r="O32" s="213"/>
      <c r="P32" s="213"/>
      <c r="Q32" s="213"/>
      <c r="R32" s="213"/>
      <c r="S32" s="213"/>
      <c r="T32" s="213"/>
      <c r="U32" s="213"/>
      <c r="V32" s="213"/>
      <c r="W32" s="213"/>
      <c r="X32" s="213"/>
      <c r="Y32" s="213"/>
      <c r="Z32" s="213"/>
      <c r="AA32" s="213"/>
    </row>
    <row r="33" spans="1:27" x14ac:dyDescent="0.2">
      <c r="A33" s="14"/>
      <c r="B33" s="13"/>
      <c r="C33" s="13"/>
      <c r="D33" s="13"/>
      <c r="E33" s="97"/>
      <c r="F33" s="213"/>
      <c r="G33" s="213"/>
      <c r="H33" s="213"/>
      <c r="I33" s="213"/>
      <c r="J33" s="213"/>
      <c r="K33" s="213"/>
      <c r="L33" s="213"/>
      <c r="M33" s="213"/>
      <c r="N33" s="213"/>
      <c r="O33" s="213"/>
      <c r="P33" s="213"/>
      <c r="Q33" s="213"/>
      <c r="R33" s="213"/>
      <c r="S33" s="213"/>
      <c r="T33" s="213"/>
      <c r="U33" s="213"/>
      <c r="V33" s="213"/>
      <c r="W33" s="213"/>
      <c r="X33" s="213"/>
      <c r="Y33" s="213"/>
      <c r="Z33" s="213"/>
      <c r="AA33" s="213"/>
    </row>
    <row r="34" spans="1:27" x14ac:dyDescent="0.2">
      <c r="A34" s="13"/>
      <c r="B34" s="13"/>
      <c r="C34" s="13"/>
      <c r="D34" s="13"/>
      <c r="E34" s="97"/>
      <c r="F34" s="213"/>
      <c r="G34" s="213"/>
      <c r="H34" s="213"/>
      <c r="I34" s="213"/>
      <c r="J34" s="213"/>
      <c r="K34" s="213"/>
      <c r="L34" s="213"/>
      <c r="M34" s="213"/>
      <c r="N34" s="213"/>
      <c r="O34" s="213"/>
      <c r="P34" s="213"/>
      <c r="Q34" s="213"/>
      <c r="R34" s="213"/>
      <c r="S34" s="213"/>
      <c r="T34" s="213"/>
      <c r="U34" s="213"/>
      <c r="V34" s="213"/>
      <c r="W34" s="213"/>
      <c r="X34" s="213"/>
      <c r="Y34" s="213"/>
      <c r="Z34" s="213"/>
      <c r="AA34" s="213"/>
    </row>
    <row r="35" spans="1:27" x14ac:dyDescent="0.2">
      <c r="A35" s="13"/>
      <c r="B35" s="13"/>
      <c r="C35" s="13"/>
      <c r="D35" s="13"/>
      <c r="E35" s="97"/>
      <c r="F35" s="213"/>
      <c r="G35" s="213"/>
      <c r="H35" s="213"/>
      <c r="I35" s="213"/>
      <c r="J35" s="213"/>
      <c r="K35" s="213"/>
      <c r="L35" s="213"/>
      <c r="M35" s="213"/>
      <c r="N35" s="213"/>
      <c r="O35" s="213"/>
      <c r="P35" s="213"/>
      <c r="Q35" s="213"/>
      <c r="R35" s="213"/>
      <c r="S35" s="213"/>
      <c r="T35" s="213"/>
      <c r="U35" s="213"/>
      <c r="V35" s="213"/>
      <c r="W35" s="213"/>
      <c r="X35" s="213"/>
      <c r="Y35" s="213"/>
      <c r="Z35" s="213"/>
      <c r="AA35" s="213"/>
    </row>
    <row r="36" spans="1:27" x14ac:dyDescent="0.2">
      <c r="A36" s="12"/>
      <c r="B36" s="13"/>
      <c r="C36" s="13"/>
      <c r="D36" s="13"/>
      <c r="E36" s="97"/>
      <c r="F36" s="213"/>
      <c r="G36" s="213"/>
      <c r="H36" s="213"/>
      <c r="I36" s="213"/>
      <c r="J36" s="213"/>
      <c r="K36" s="213"/>
      <c r="L36" s="213"/>
      <c r="M36" s="213"/>
      <c r="N36" s="213"/>
      <c r="O36" s="213"/>
      <c r="P36" s="213"/>
      <c r="Q36" s="213"/>
      <c r="R36" s="213"/>
      <c r="S36" s="213"/>
      <c r="T36" s="213"/>
      <c r="U36" s="213"/>
      <c r="V36" s="213"/>
      <c r="W36" s="213"/>
      <c r="X36" s="213"/>
      <c r="Y36" s="213"/>
      <c r="Z36" s="213"/>
      <c r="AA36" s="213"/>
    </row>
    <row r="37" spans="1:27" x14ac:dyDescent="0.2">
      <c r="A37" s="13"/>
      <c r="B37" s="13"/>
      <c r="C37" s="13"/>
      <c r="D37" s="13"/>
      <c r="E37" s="97"/>
      <c r="F37" s="213"/>
      <c r="G37" s="213"/>
      <c r="H37" s="213"/>
      <c r="I37" s="213"/>
      <c r="J37" s="213"/>
      <c r="K37" s="213"/>
      <c r="L37" s="213"/>
      <c r="M37" s="213"/>
      <c r="N37" s="213"/>
      <c r="O37" s="213"/>
      <c r="P37" s="213"/>
      <c r="Q37" s="213"/>
      <c r="R37" s="213"/>
      <c r="S37" s="213"/>
      <c r="T37" s="213"/>
      <c r="U37" s="213"/>
      <c r="V37" s="213"/>
      <c r="W37" s="213"/>
      <c r="X37" s="213"/>
      <c r="Y37" s="213"/>
      <c r="Z37" s="213"/>
      <c r="AA37" s="213"/>
    </row>
    <row r="38" spans="1:27" x14ac:dyDescent="0.2">
      <c r="A38" s="13"/>
      <c r="B38" s="13"/>
      <c r="C38" s="13"/>
      <c r="D38" s="13"/>
      <c r="E38" s="97"/>
      <c r="F38" s="213"/>
      <c r="G38" s="213"/>
      <c r="H38" s="213"/>
      <c r="I38" s="213"/>
      <c r="J38" s="213"/>
      <c r="K38" s="213"/>
      <c r="L38" s="213"/>
      <c r="M38" s="213"/>
      <c r="N38" s="213"/>
      <c r="O38" s="213"/>
      <c r="P38" s="213"/>
      <c r="Q38" s="213"/>
      <c r="R38" s="213"/>
      <c r="S38" s="213"/>
      <c r="T38" s="213"/>
      <c r="U38" s="213"/>
      <c r="V38" s="213"/>
      <c r="W38" s="213"/>
      <c r="X38" s="213"/>
      <c r="Y38" s="213"/>
      <c r="Z38" s="213"/>
      <c r="AA38" s="213"/>
    </row>
    <row r="39" spans="1:27" x14ac:dyDescent="0.2">
      <c r="A39" s="13"/>
      <c r="B39" s="13"/>
      <c r="C39" s="13"/>
      <c r="D39" s="13"/>
      <c r="E39" s="97"/>
      <c r="F39" s="213"/>
      <c r="G39" s="213"/>
      <c r="H39" s="213"/>
      <c r="I39" s="213"/>
      <c r="J39" s="213"/>
      <c r="K39" s="213"/>
      <c r="L39" s="213"/>
      <c r="M39" s="213"/>
      <c r="N39" s="213"/>
      <c r="O39" s="213"/>
      <c r="P39" s="213"/>
      <c r="Q39" s="213"/>
      <c r="R39" s="213"/>
      <c r="S39" s="213"/>
      <c r="T39" s="213"/>
      <c r="U39" s="213"/>
      <c r="V39" s="213"/>
      <c r="W39" s="213"/>
      <c r="X39" s="213"/>
      <c r="Y39" s="213"/>
      <c r="Z39" s="213"/>
      <c r="AA39" s="213"/>
    </row>
    <row r="40" spans="1:27" x14ac:dyDescent="0.2">
      <c r="A40" s="13"/>
      <c r="B40" s="13"/>
      <c r="C40" s="13"/>
      <c r="D40" s="13"/>
      <c r="E40" s="97"/>
      <c r="F40" s="213"/>
      <c r="G40" s="213"/>
      <c r="H40" s="213"/>
      <c r="I40" s="213"/>
      <c r="J40" s="213"/>
      <c r="K40" s="213"/>
      <c r="L40" s="213"/>
      <c r="M40" s="213"/>
      <c r="N40" s="213"/>
      <c r="O40" s="213"/>
      <c r="P40" s="213"/>
      <c r="Q40" s="213"/>
      <c r="R40" s="213"/>
      <c r="S40" s="213"/>
      <c r="T40" s="213"/>
      <c r="U40" s="213"/>
      <c r="V40" s="213"/>
      <c r="W40" s="213"/>
      <c r="X40" s="213"/>
      <c r="Y40" s="213"/>
      <c r="Z40" s="213"/>
      <c r="AA40" s="213"/>
    </row>
    <row r="41" spans="1:27" x14ac:dyDescent="0.2">
      <c r="A41" s="13"/>
      <c r="B41" s="13"/>
      <c r="C41" s="13"/>
      <c r="D41" s="13"/>
      <c r="E41" s="97"/>
      <c r="F41" s="213"/>
      <c r="G41" s="213"/>
      <c r="H41" s="213"/>
      <c r="I41" s="213"/>
      <c r="J41" s="213"/>
      <c r="K41" s="213"/>
      <c r="L41" s="213"/>
      <c r="M41" s="213"/>
      <c r="N41" s="213"/>
      <c r="O41" s="213"/>
      <c r="P41" s="213"/>
      <c r="Q41" s="213"/>
      <c r="R41" s="213"/>
      <c r="S41" s="213"/>
      <c r="T41" s="213"/>
      <c r="U41" s="213"/>
      <c r="V41" s="213"/>
      <c r="W41" s="213"/>
      <c r="X41" s="213"/>
      <c r="Y41" s="213"/>
      <c r="Z41" s="213"/>
      <c r="AA41" s="213"/>
    </row>
    <row r="42" spans="1:27" x14ac:dyDescent="0.2">
      <c r="A42" s="13"/>
      <c r="B42" s="13"/>
      <c r="C42" s="13"/>
      <c r="D42" s="13"/>
      <c r="E42" s="97"/>
      <c r="F42" s="213"/>
      <c r="G42" s="213"/>
      <c r="H42" s="213"/>
      <c r="I42" s="213"/>
      <c r="J42" s="213"/>
      <c r="K42" s="213"/>
      <c r="L42" s="213"/>
      <c r="M42" s="213"/>
      <c r="N42" s="213"/>
      <c r="O42" s="213"/>
      <c r="P42" s="213"/>
      <c r="Q42" s="213"/>
      <c r="R42" s="213"/>
      <c r="S42" s="213"/>
      <c r="T42" s="213"/>
      <c r="U42" s="213"/>
      <c r="V42" s="213"/>
      <c r="W42" s="213"/>
      <c r="X42" s="213"/>
      <c r="Y42" s="213"/>
      <c r="Z42" s="213"/>
      <c r="AA42" s="213"/>
    </row>
    <row r="43" spans="1:27" x14ac:dyDescent="0.2">
      <c r="A43" s="13"/>
      <c r="B43" s="13"/>
      <c r="C43" s="13"/>
      <c r="D43" s="13"/>
      <c r="E43" s="97"/>
      <c r="F43" s="213"/>
      <c r="G43" s="213"/>
      <c r="H43" s="213"/>
      <c r="I43" s="213"/>
      <c r="J43" s="213"/>
      <c r="K43" s="213"/>
      <c r="L43" s="213"/>
      <c r="M43" s="213"/>
      <c r="N43" s="213"/>
      <c r="O43" s="213"/>
      <c r="P43" s="213"/>
      <c r="Q43" s="213"/>
      <c r="R43" s="213"/>
      <c r="S43" s="213"/>
      <c r="T43" s="213"/>
      <c r="U43" s="213"/>
      <c r="V43" s="213"/>
      <c r="W43" s="213"/>
      <c r="X43" s="213"/>
      <c r="Y43" s="213"/>
      <c r="Z43" s="213"/>
      <c r="AA43" s="213"/>
    </row>
    <row r="44" spans="1:27" x14ac:dyDescent="0.2">
      <c r="A44" s="13"/>
      <c r="B44" s="13"/>
      <c r="C44" s="13"/>
      <c r="D44" s="13"/>
      <c r="E44" s="97"/>
      <c r="F44" s="213"/>
      <c r="G44" s="213"/>
      <c r="H44" s="213"/>
      <c r="I44" s="213"/>
      <c r="J44" s="213"/>
      <c r="K44" s="213"/>
      <c r="L44" s="213"/>
      <c r="M44" s="213"/>
      <c r="N44" s="213"/>
      <c r="O44" s="213"/>
      <c r="P44" s="213"/>
      <c r="Q44" s="213"/>
      <c r="R44" s="213"/>
      <c r="S44" s="213"/>
      <c r="T44" s="213"/>
      <c r="U44" s="213"/>
      <c r="V44" s="213"/>
      <c r="W44" s="213"/>
      <c r="X44" s="213"/>
      <c r="Y44" s="213"/>
      <c r="Z44" s="213"/>
      <c r="AA44" s="213"/>
    </row>
    <row r="45" spans="1:27" x14ac:dyDescent="0.2">
      <c r="A45" s="13"/>
      <c r="B45" s="13"/>
      <c r="C45" s="13"/>
      <c r="D45" s="13"/>
      <c r="E45" s="97"/>
      <c r="F45" s="213"/>
      <c r="G45" s="213"/>
      <c r="H45" s="213"/>
      <c r="I45" s="213"/>
      <c r="J45" s="213"/>
      <c r="K45" s="213"/>
      <c r="L45" s="213"/>
      <c r="M45" s="213"/>
      <c r="N45" s="213"/>
      <c r="O45" s="213"/>
      <c r="P45" s="213"/>
      <c r="Q45" s="213"/>
      <c r="R45" s="213"/>
      <c r="S45" s="213"/>
      <c r="T45" s="213"/>
      <c r="U45" s="213"/>
      <c r="V45" s="213"/>
      <c r="W45" s="213"/>
      <c r="X45" s="213"/>
      <c r="Y45" s="213"/>
      <c r="Z45" s="213"/>
      <c r="AA45" s="213"/>
    </row>
    <row r="46" spans="1:27" x14ac:dyDescent="0.2">
      <c r="A46" s="13"/>
      <c r="B46" s="13"/>
      <c r="C46" s="13"/>
      <c r="D46" s="13"/>
      <c r="E46" s="97"/>
      <c r="F46" s="213"/>
      <c r="G46" s="213"/>
      <c r="H46" s="213"/>
      <c r="I46" s="213"/>
      <c r="J46" s="213"/>
      <c r="K46" s="213"/>
      <c r="L46" s="213"/>
      <c r="M46" s="213"/>
      <c r="N46" s="213"/>
      <c r="O46" s="213"/>
      <c r="P46" s="213"/>
      <c r="Q46" s="213"/>
      <c r="R46" s="213"/>
      <c r="S46" s="213"/>
      <c r="T46" s="213"/>
      <c r="U46" s="213"/>
      <c r="V46" s="213"/>
      <c r="W46" s="213"/>
      <c r="X46" s="213"/>
      <c r="Y46" s="213"/>
      <c r="Z46" s="213"/>
      <c r="AA46" s="213"/>
    </row>
    <row r="47" spans="1:27" x14ac:dyDescent="0.2">
      <c r="A47" s="13"/>
      <c r="B47" s="13"/>
      <c r="C47" s="13"/>
      <c r="D47" s="13"/>
      <c r="E47" s="97"/>
      <c r="F47" s="213"/>
      <c r="G47" s="213"/>
      <c r="H47" s="213"/>
      <c r="I47" s="213"/>
      <c r="J47" s="213"/>
      <c r="K47" s="213"/>
      <c r="L47" s="213"/>
      <c r="M47" s="213"/>
      <c r="N47" s="213"/>
      <c r="O47" s="213"/>
      <c r="P47" s="213"/>
      <c r="Q47" s="213"/>
      <c r="R47" s="213"/>
      <c r="S47" s="213"/>
      <c r="T47" s="213"/>
      <c r="U47" s="213"/>
      <c r="V47" s="213"/>
      <c r="W47" s="213"/>
      <c r="X47" s="213"/>
      <c r="Y47" s="213"/>
      <c r="Z47" s="213"/>
      <c r="AA47" s="213"/>
    </row>
    <row r="48" spans="1:27" x14ac:dyDescent="0.2">
      <c r="A48" s="13"/>
      <c r="B48" s="13"/>
      <c r="C48" s="13"/>
      <c r="D48" s="13"/>
      <c r="E48" s="97"/>
      <c r="F48" s="213"/>
      <c r="G48" s="213"/>
      <c r="H48" s="213"/>
      <c r="I48" s="213"/>
      <c r="J48" s="213"/>
      <c r="K48" s="213"/>
      <c r="L48" s="213"/>
      <c r="M48" s="213"/>
      <c r="N48" s="213"/>
      <c r="O48" s="213"/>
      <c r="P48" s="213"/>
      <c r="Q48" s="213"/>
      <c r="R48" s="213"/>
      <c r="S48" s="213"/>
      <c r="T48" s="213"/>
      <c r="U48" s="213"/>
      <c r="V48" s="213"/>
      <c r="W48" s="213"/>
      <c r="X48" s="213"/>
      <c r="Y48" s="213"/>
      <c r="Z48" s="213"/>
      <c r="AA48" s="213"/>
    </row>
    <row r="49" spans="1:27" x14ac:dyDescent="0.2">
      <c r="A49" s="13"/>
      <c r="B49" s="13"/>
      <c r="C49" s="13"/>
      <c r="D49" s="13"/>
      <c r="E49" s="97"/>
      <c r="F49" s="213"/>
      <c r="G49" s="213"/>
      <c r="H49" s="213"/>
      <c r="I49" s="213"/>
      <c r="J49" s="213"/>
      <c r="K49" s="213"/>
      <c r="L49" s="213"/>
      <c r="M49" s="213"/>
      <c r="N49" s="213"/>
      <c r="O49" s="213"/>
      <c r="P49" s="213"/>
      <c r="Q49" s="213"/>
      <c r="R49" s="213"/>
      <c r="S49" s="213"/>
      <c r="T49" s="213"/>
      <c r="U49" s="213"/>
      <c r="V49" s="213"/>
      <c r="W49" s="213"/>
      <c r="X49" s="213"/>
      <c r="Y49" s="213"/>
      <c r="Z49" s="213"/>
      <c r="AA49" s="213"/>
    </row>
    <row r="50" spans="1:27" x14ac:dyDescent="0.2">
      <c r="A50" s="13"/>
      <c r="B50" s="13"/>
      <c r="C50" s="13"/>
      <c r="D50" s="13"/>
      <c r="E50" s="97"/>
      <c r="F50" s="213"/>
      <c r="G50" s="213"/>
      <c r="H50" s="213"/>
      <c r="I50" s="213"/>
      <c r="J50" s="213"/>
      <c r="K50" s="213"/>
      <c r="L50" s="213"/>
      <c r="M50" s="213"/>
      <c r="N50" s="213"/>
      <c r="O50" s="213"/>
      <c r="P50" s="213"/>
      <c r="Q50" s="213"/>
      <c r="R50" s="213"/>
      <c r="S50" s="213"/>
      <c r="T50" s="213"/>
      <c r="U50" s="213"/>
      <c r="V50" s="213"/>
      <c r="W50" s="213"/>
      <c r="X50" s="213"/>
      <c r="Y50" s="213"/>
      <c r="Z50" s="213"/>
      <c r="AA50" s="213"/>
    </row>
    <row r="51" spans="1:27" x14ac:dyDescent="0.2">
      <c r="A51" s="13"/>
      <c r="B51" s="13"/>
      <c r="C51" s="13"/>
      <c r="D51" s="13"/>
      <c r="E51" s="97"/>
      <c r="F51" s="213"/>
      <c r="G51" s="213"/>
      <c r="H51" s="213"/>
      <c r="I51" s="213"/>
      <c r="J51" s="213"/>
      <c r="K51" s="213"/>
      <c r="L51" s="213"/>
      <c r="M51" s="213"/>
      <c r="N51" s="213"/>
      <c r="O51" s="213"/>
      <c r="P51" s="213"/>
      <c r="Q51" s="213"/>
      <c r="R51" s="213"/>
      <c r="S51" s="213"/>
      <c r="T51" s="213"/>
      <c r="U51" s="213"/>
      <c r="V51" s="213"/>
      <c r="W51" s="213"/>
      <c r="X51" s="213"/>
      <c r="Y51" s="213"/>
      <c r="Z51" s="213"/>
      <c r="AA51" s="213"/>
    </row>
    <row r="52" spans="1:27" x14ac:dyDescent="0.2">
      <c r="A52" s="13"/>
      <c r="B52" s="13"/>
      <c r="C52" s="13"/>
      <c r="D52" s="13"/>
      <c r="E52" s="97"/>
      <c r="F52" s="213"/>
      <c r="G52" s="213"/>
      <c r="H52" s="213"/>
      <c r="I52" s="213"/>
      <c r="J52" s="213"/>
      <c r="K52" s="213"/>
      <c r="L52" s="213"/>
      <c r="M52" s="213"/>
      <c r="N52" s="213"/>
      <c r="O52" s="213"/>
      <c r="P52" s="213"/>
      <c r="Q52" s="213"/>
      <c r="R52" s="213"/>
      <c r="S52" s="213"/>
      <c r="T52" s="213"/>
      <c r="U52" s="213"/>
      <c r="V52" s="213"/>
      <c r="W52" s="213"/>
      <c r="X52" s="213"/>
      <c r="Y52" s="213"/>
      <c r="Z52" s="213"/>
      <c r="AA52" s="213"/>
    </row>
    <row r="53" spans="1:27" x14ac:dyDescent="0.2">
      <c r="A53" s="13"/>
      <c r="B53" s="13"/>
      <c r="C53" s="13"/>
      <c r="D53" s="13"/>
      <c r="E53" s="97"/>
      <c r="F53" s="213"/>
      <c r="G53" s="213"/>
      <c r="H53" s="213"/>
      <c r="I53" s="213"/>
      <c r="J53" s="213"/>
      <c r="K53" s="213"/>
      <c r="L53" s="213"/>
      <c r="M53" s="213"/>
      <c r="N53" s="213"/>
      <c r="O53" s="213"/>
      <c r="P53" s="213"/>
      <c r="Q53" s="213"/>
      <c r="R53" s="213"/>
      <c r="S53" s="213"/>
      <c r="T53" s="213"/>
      <c r="U53" s="213"/>
      <c r="V53" s="213"/>
      <c r="W53" s="213"/>
      <c r="X53" s="213"/>
      <c r="Y53" s="213"/>
      <c r="Z53" s="213"/>
      <c r="AA53" s="213"/>
    </row>
    <row r="54" spans="1:27" x14ac:dyDescent="0.2">
      <c r="A54" s="13"/>
      <c r="B54" s="13"/>
      <c r="C54" s="13"/>
      <c r="D54" s="13"/>
      <c r="E54" s="97"/>
      <c r="F54" s="213"/>
      <c r="G54" s="213"/>
      <c r="H54" s="213"/>
      <c r="I54" s="213"/>
      <c r="J54" s="213"/>
      <c r="K54" s="213"/>
      <c r="L54" s="213"/>
      <c r="M54" s="213"/>
      <c r="N54" s="213"/>
      <c r="O54" s="213"/>
      <c r="P54" s="213"/>
      <c r="Q54" s="213"/>
      <c r="R54" s="213"/>
      <c r="S54" s="213"/>
      <c r="T54" s="213"/>
      <c r="U54" s="213"/>
      <c r="V54" s="213"/>
      <c r="W54" s="213"/>
      <c r="X54" s="213"/>
      <c r="Y54" s="213"/>
      <c r="Z54" s="213"/>
      <c r="AA54" s="213"/>
    </row>
    <row r="55" spans="1:27" x14ac:dyDescent="0.2">
      <c r="A55" s="13"/>
      <c r="B55" s="13"/>
      <c r="C55" s="13"/>
      <c r="D55" s="13"/>
      <c r="E55" s="97"/>
      <c r="F55" s="213"/>
      <c r="G55" s="213"/>
      <c r="H55" s="213"/>
      <c r="I55" s="213"/>
      <c r="J55" s="213"/>
      <c r="K55" s="213"/>
      <c r="L55" s="213"/>
      <c r="M55" s="213"/>
      <c r="N55" s="213"/>
      <c r="O55" s="213"/>
      <c r="P55" s="213"/>
      <c r="Q55" s="213"/>
      <c r="R55" s="213"/>
      <c r="S55" s="213"/>
      <c r="T55" s="213"/>
      <c r="U55" s="213"/>
      <c r="V55" s="213"/>
      <c r="W55" s="213"/>
      <c r="X55" s="213"/>
      <c r="Y55" s="213"/>
      <c r="Z55" s="213"/>
      <c r="AA55" s="213"/>
    </row>
    <row r="56" spans="1:27" x14ac:dyDescent="0.2">
      <c r="A56" s="13"/>
      <c r="B56" s="13"/>
      <c r="C56" s="13"/>
      <c r="D56" s="13"/>
      <c r="E56" s="97"/>
      <c r="F56" s="213"/>
      <c r="G56" s="213"/>
      <c r="H56" s="213"/>
      <c r="I56" s="213"/>
      <c r="J56" s="213"/>
      <c r="K56" s="213"/>
      <c r="L56" s="213"/>
      <c r="M56" s="213"/>
      <c r="N56" s="213"/>
      <c r="O56" s="213"/>
      <c r="P56" s="213"/>
      <c r="Q56" s="213"/>
      <c r="R56" s="213"/>
      <c r="S56" s="213"/>
      <c r="T56" s="213"/>
      <c r="U56" s="213"/>
      <c r="V56" s="213"/>
      <c r="W56" s="213"/>
      <c r="X56" s="213"/>
      <c r="Y56" s="213"/>
      <c r="Z56" s="213"/>
      <c r="AA56" s="213"/>
    </row>
    <row r="57" spans="1:27" x14ac:dyDescent="0.2">
      <c r="A57" s="13"/>
      <c r="B57" s="13"/>
      <c r="C57" s="13"/>
      <c r="D57" s="13"/>
      <c r="E57" s="97"/>
      <c r="F57" s="213"/>
      <c r="G57" s="213"/>
      <c r="H57" s="213"/>
      <c r="I57" s="213"/>
      <c r="J57" s="213"/>
      <c r="K57" s="213"/>
      <c r="L57" s="213"/>
      <c r="M57" s="213"/>
      <c r="N57" s="213"/>
      <c r="O57" s="213"/>
      <c r="P57" s="213"/>
      <c r="Q57" s="213"/>
      <c r="R57" s="213"/>
      <c r="S57" s="213"/>
      <c r="T57" s="213"/>
      <c r="U57" s="213"/>
      <c r="V57" s="213"/>
      <c r="W57" s="213"/>
      <c r="X57" s="213"/>
      <c r="Y57" s="213"/>
      <c r="Z57" s="213"/>
      <c r="AA57" s="213"/>
    </row>
    <row r="58" spans="1:27" x14ac:dyDescent="0.2">
      <c r="A58" s="13"/>
      <c r="B58" s="13"/>
      <c r="C58" s="13"/>
      <c r="D58" s="13"/>
      <c r="E58" s="97"/>
      <c r="F58" s="213"/>
      <c r="G58" s="213"/>
      <c r="H58" s="213"/>
      <c r="I58" s="213"/>
      <c r="J58" s="213"/>
      <c r="K58" s="213"/>
      <c r="L58" s="213"/>
      <c r="M58" s="213"/>
      <c r="N58" s="213"/>
      <c r="O58" s="213"/>
      <c r="P58" s="213"/>
      <c r="Q58" s="213"/>
      <c r="R58" s="213"/>
      <c r="S58" s="213"/>
      <c r="T58" s="213"/>
      <c r="U58" s="213"/>
      <c r="V58" s="213"/>
      <c r="W58" s="213"/>
      <c r="X58" s="213"/>
      <c r="Y58" s="213"/>
      <c r="Z58" s="213"/>
      <c r="AA58" s="213"/>
    </row>
    <row r="59" spans="1:27" x14ac:dyDescent="0.2">
      <c r="A59" s="13"/>
      <c r="B59" s="13"/>
      <c r="C59" s="13"/>
      <c r="D59" s="13"/>
      <c r="E59" s="97"/>
      <c r="F59" s="213"/>
      <c r="G59" s="213"/>
      <c r="H59" s="213"/>
      <c r="I59" s="213"/>
      <c r="J59" s="213"/>
      <c r="K59" s="213"/>
      <c r="L59" s="213"/>
      <c r="M59" s="213"/>
      <c r="N59" s="213"/>
      <c r="O59" s="213"/>
      <c r="P59" s="213"/>
      <c r="Q59" s="213"/>
      <c r="R59" s="213"/>
      <c r="S59" s="213"/>
      <c r="T59" s="213"/>
      <c r="U59" s="213"/>
      <c r="V59" s="213"/>
      <c r="W59" s="213"/>
      <c r="X59" s="213"/>
      <c r="Y59" s="213"/>
      <c r="Z59" s="213"/>
      <c r="AA59" s="213"/>
    </row>
    <row r="60" spans="1:27" x14ac:dyDescent="0.2">
      <c r="A60" s="13"/>
      <c r="B60" s="13"/>
      <c r="C60" s="13"/>
      <c r="D60" s="13"/>
      <c r="E60" s="97"/>
      <c r="F60" s="213"/>
      <c r="G60" s="213"/>
      <c r="H60" s="213"/>
      <c r="I60" s="213"/>
      <c r="J60" s="213"/>
      <c r="K60" s="213"/>
      <c r="L60" s="213"/>
      <c r="M60" s="213"/>
      <c r="N60" s="213"/>
      <c r="O60" s="213"/>
      <c r="P60" s="213"/>
      <c r="Q60" s="213"/>
      <c r="R60" s="213"/>
      <c r="S60" s="213"/>
      <c r="T60" s="213"/>
      <c r="U60" s="213"/>
      <c r="V60" s="213"/>
      <c r="W60" s="213"/>
      <c r="X60" s="213"/>
      <c r="Y60" s="213"/>
      <c r="Z60" s="213"/>
      <c r="AA60" s="213"/>
    </row>
    <row r="61" spans="1:27" x14ac:dyDescent="0.2">
      <c r="A61" s="13"/>
      <c r="B61" s="13"/>
      <c r="C61" s="13"/>
      <c r="D61" s="13"/>
      <c r="E61" s="97"/>
      <c r="F61" s="213"/>
      <c r="G61" s="213"/>
      <c r="H61" s="213"/>
      <c r="I61" s="213"/>
      <c r="J61" s="213"/>
      <c r="K61" s="213"/>
      <c r="L61" s="213"/>
      <c r="M61" s="213"/>
      <c r="N61" s="213"/>
      <c r="O61" s="213"/>
      <c r="P61" s="213"/>
      <c r="Q61" s="213"/>
      <c r="R61" s="213"/>
      <c r="S61" s="213"/>
      <c r="T61" s="213"/>
      <c r="U61" s="213"/>
      <c r="V61" s="213"/>
      <c r="W61" s="213"/>
      <c r="X61" s="213"/>
      <c r="Y61" s="213"/>
      <c r="Z61" s="213"/>
      <c r="AA61" s="213"/>
    </row>
    <row r="62" spans="1:27" x14ac:dyDescent="0.2">
      <c r="A62" s="13"/>
      <c r="B62" s="13"/>
      <c r="C62" s="13"/>
      <c r="D62" s="13"/>
      <c r="E62" s="97"/>
      <c r="F62" s="213"/>
      <c r="G62" s="213"/>
      <c r="H62" s="213"/>
      <c r="I62" s="213"/>
      <c r="J62" s="213"/>
      <c r="K62" s="213"/>
      <c r="L62" s="213"/>
      <c r="M62" s="213"/>
      <c r="N62" s="213"/>
      <c r="O62" s="213"/>
      <c r="P62" s="213"/>
      <c r="Q62" s="213"/>
      <c r="R62" s="213"/>
      <c r="S62" s="213"/>
      <c r="T62" s="213"/>
      <c r="U62" s="213"/>
      <c r="V62" s="213"/>
      <c r="W62" s="213"/>
      <c r="X62" s="213"/>
      <c r="Y62" s="213"/>
      <c r="Z62" s="213"/>
      <c r="AA62" s="213"/>
    </row>
    <row r="63" spans="1:27" x14ac:dyDescent="0.2">
      <c r="A63" s="13"/>
      <c r="B63" s="13"/>
      <c r="C63" s="13"/>
      <c r="D63" s="13"/>
      <c r="E63" s="97"/>
      <c r="F63" s="213"/>
      <c r="G63" s="213"/>
      <c r="H63" s="213"/>
      <c r="I63" s="213"/>
      <c r="J63" s="213"/>
      <c r="K63" s="213"/>
      <c r="L63" s="213"/>
      <c r="M63" s="213"/>
      <c r="N63" s="213"/>
      <c r="O63" s="213"/>
      <c r="P63" s="213"/>
      <c r="Q63" s="213"/>
      <c r="R63" s="213"/>
      <c r="S63" s="213"/>
      <c r="T63" s="213"/>
      <c r="U63" s="213"/>
      <c r="V63" s="213"/>
      <c r="W63" s="213"/>
      <c r="X63" s="213"/>
      <c r="Y63" s="213"/>
      <c r="Z63" s="213"/>
      <c r="AA63" s="213"/>
    </row>
    <row r="64" spans="1:27" x14ac:dyDescent="0.2">
      <c r="A64" s="13"/>
      <c r="B64" s="13"/>
      <c r="C64" s="13"/>
      <c r="D64" s="13"/>
      <c r="E64" s="97"/>
      <c r="F64" s="213"/>
      <c r="G64" s="213"/>
      <c r="H64" s="213"/>
      <c r="I64" s="213"/>
      <c r="J64" s="213"/>
      <c r="K64" s="213"/>
      <c r="L64" s="213"/>
      <c r="M64" s="213"/>
      <c r="N64" s="213"/>
      <c r="O64" s="213"/>
      <c r="P64" s="213"/>
      <c r="Q64" s="213"/>
      <c r="R64" s="213"/>
      <c r="S64" s="213"/>
      <c r="T64" s="213"/>
      <c r="U64" s="213"/>
      <c r="V64" s="213"/>
      <c r="W64" s="213"/>
      <c r="X64" s="213"/>
      <c r="Y64" s="213"/>
      <c r="Z64" s="213"/>
      <c r="AA64" s="213"/>
    </row>
    <row r="65" spans="1:27" x14ac:dyDescent="0.2">
      <c r="A65" s="13"/>
      <c r="B65" s="13"/>
      <c r="C65" s="13"/>
      <c r="D65" s="13"/>
      <c r="E65" s="97"/>
      <c r="F65" s="213"/>
      <c r="G65" s="213"/>
      <c r="H65" s="213"/>
      <c r="I65" s="213"/>
      <c r="J65" s="213"/>
      <c r="K65" s="213"/>
      <c r="L65" s="213"/>
      <c r="M65" s="213"/>
      <c r="N65" s="213"/>
      <c r="O65" s="213"/>
      <c r="P65" s="213"/>
      <c r="Q65" s="213"/>
      <c r="R65" s="213"/>
      <c r="S65" s="213"/>
      <c r="T65" s="213"/>
      <c r="U65" s="213"/>
      <c r="V65" s="213"/>
      <c r="W65" s="213"/>
      <c r="X65" s="213"/>
      <c r="Y65" s="213"/>
      <c r="Z65" s="213"/>
      <c r="AA65" s="213"/>
    </row>
    <row r="66" spans="1:27" x14ac:dyDescent="0.2">
      <c r="A66" s="13"/>
      <c r="B66" s="13"/>
      <c r="C66" s="13"/>
      <c r="D66" s="13"/>
      <c r="E66" s="97"/>
      <c r="F66" s="213"/>
      <c r="G66" s="213"/>
      <c r="H66" s="213"/>
      <c r="I66" s="213"/>
      <c r="J66" s="213"/>
      <c r="K66" s="213"/>
      <c r="L66" s="213"/>
      <c r="M66" s="213"/>
      <c r="N66" s="213"/>
      <c r="O66" s="213"/>
      <c r="P66" s="213"/>
      <c r="Q66" s="213"/>
      <c r="R66" s="213"/>
      <c r="S66" s="213"/>
      <c r="T66" s="213"/>
      <c r="U66" s="213"/>
      <c r="V66" s="213"/>
      <c r="W66" s="213"/>
      <c r="X66" s="213"/>
      <c r="Y66" s="213"/>
      <c r="Z66" s="213"/>
      <c r="AA66" s="213"/>
    </row>
    <row r="67" spans="1:27" x14ac:dyDescent="0.2">
      <c r="A67" s="13"/>
      <c r="B67" s="13"/>
      <c r="C67" s="13"/>
      <c r="D67" s="13"/>
      <c r="E67" s="97"/>
      <c r="F67" s="213"/>
      <c r="G67" s="213"/>
      <c r="H67" s="213"/>
      <c r="I67" s="213"/>
      <c r="J67" s="213"/>
      <c r="K67" s="213"/>
      <c r="L67" s="213"/>
      <c r="M67" s="213"/>
      <c r="N67" s="213"/>
      <c r="O67" s="213"/>
      <c r="P67" s="213"/>
      <c r="Q67" s="213"/>
      <c r="R67" s="213"/>
      <c r="S67" s="213"/>
      <c r="T67" s="213"/>
      <c r="U67" s="213"/>
      <c r="V67" s="213"/>
      <c r="W67" s="213"/>
      <c r="X67" s="213"/>
      <c r="Y67" s="213"/>
      <c r="Z67" s="213"/>
      <c r="AA67" s="213"/>
    </row>
    <row r="68" spans="1:27" x14ac:dyDescent="0.2">
      <c r="A68" s="13"/>
      <c r="B68" s="13"/>
      <c r="C68" s="13"/>
      <c r="D68" s="13"/>
      <c r="E68" s="97"/>
      <c r="F68" s="213"/>
      <c r="G68" s="213"/>
      <c r="H68" s="213"/>
      <c r="I68" s="213"/>
      <c r="J68" s="213"/>
      <c r="K68" s="213"/>
      <c r="L68" s="213"/>
      <c r="M68" s="213"/>
      <c r="N68" s="213"/>
      <c r="O68" s="213"/>
      <c r="P68" s="213"/>
      <c r="Q68" s="213"/>
      <c r="R68" s="213"/>
      <c r="S68" s="213"/>
      <c r="T68" s="213"/>
      <c r="U68" s="213"/>
      <c r="V68" s="213"/>
      <c r="W68" s="213"/>
      <c r="X68" s="213"/>
      <c r="Y68" s="213"/>
      <c r="Z68" s="213"/>
      <c r="AA68" s="213"/>
    </row>
    <row r="69" spans="1:27" x14ac:dyDescent="0.2">
      <c r="A69" s="13"/>
      <c r="B69" s="13"/>
      <c r="C69" s="13"/>
      <c r="D69" s="13"/>
      <c r="E69" s="97"/>
      <c r="F69" s="213"/>
      <c r="G69" s="213"/>
      <c r="H69" s="213"/>
      <c r="I69" s="213"/>
      <c r="J69" s="213"/>
      <c r="K69" s="213"/>
      <c r="L69" s="213"/>
      <c r="M69" s="213"/>
      <c r="N69" s="213"/>
      <c r="O69" s="213"/>
      <c r="P69" s="213"/>
      <c r="Q69" s="213"/>
      <c r="R69" s="213"/>
      <c r="S69" s="213"/>
      <c r="T69" s="213"/>
      <c r="U69" s="213"/>
      <c r="V69" s="213"/>
      <c r="W69" s="213"/>
      <c r="X69" s="213"/>
      <c r="Y69" s="213"/>
      <c r="Z69" s="213"/>
      <c r="AA69" s="213"/>
    </row>
    <row r="70" spans="1:27" x14ac:dyDescent="0.2">
      <c r="A70" s="13"/>
      <c r="B70" s="13"/>
      <c r="C70" s="13"/>
      <c r="D70" s="13"/>
      <c r="E70" s="97"/>
      <c r="F70" s="213"/>
      <c r="G70" s="213"/>
      <c r="H70" s="213"/>
      <c r="I70" s="213"/>
      <c r="J70" s="213"/>
      <c r="K70" s="213"/>
      <c r="L70" s="213"/>
      <c r="M70" s="213"/>
      <c r="N70" s="213"/>
      <c r="O70" s="213"/>
      <c r="P70" s="213"/>
      <c r="Q70" s="213"/>
      <c r="R70" s="213"/>
      <c r="S70" s="213"/>
      <c r="T70" s="213"/>
      <c r="U70" s="213"/>
      <c r="V70" s="213"/>
      <c r="W70" s="213"/>
      <c r="X70" s="213"/>
      <c r="Y70" s="213"/>
      <c r="Z70" s="213"/>
      <c r="AA70" s="213"/>
    </row>
    <row r="71" spans="1:27" x14ac:dyDescent="0.2">
      <c r="A71" s="13"/>
      <c r="B71" s="13"/>
      <c r="C71" s="13"/>
      <c r="D71" s="13"/>
      <c r="E71" s="97"/>
      <c r="F71" s="213"/>
      <c r="G71" s="213"/>
      <c r="H71" s="213"/>
      <c r="I71" s="213"/>
      <c r="J71" s="213"/>
      <c r="K71" s="213"/>
      <c r="L71" s="213"/>
      <c r="M71" s="213"/>
      <c r="N71" s="213"/>
      <c r="O71" s="213"/>
      <c r="P71" s="213"/>
      <c r="Q71" s="213"/>
      <c r="R71" s="213"/>
      <c r="S71" s="213"/>
      <c r="T71" s="213"/>
      <c r="U71" s="213"/>
      <c r="V71" s="213"/>
      <c r="W71" s="213"/>
      <c r="X71" s="213"/>
      <c r="Y71" s="213"/>
      <c r="Z71" s="213"/>
      <c r="AA71" s="213"/>
    </row>
    <row r="72" spans="1:27" x14ac:dyDescent="0.2">
      <c r="A72" s="13"/>
      <c r="B72" s="13"/>
      <c r="C72" s="13"/>
      <c r="D72" s="13"/>
      <c r="E72" s="97"/>
      <c r="F72" s="213"/>
      <c r="G72" s="213"/>
      <c r="H72" s="213"/>
      <c r="I72" s="213"/>
      <c r="J72" s="213"/>
      <c r="K72" s="213"/>
      <c r="L72" s="213"/>
      <c r="M72" s="213"/>
      <c r="N72" s="213"/>
      <c r="O72" s="213"/>
      <c r="P72" s="213"/>
      <c r="Q72" s="213"/>
      <c r="R72" s="213"/>
      <c r="S72" s="213"/>
      <c r="T72" s="213"/>
      <c r="U72" s="213"/>
      <c r="V72" s="213"/>
      <c r="W72" s="213"/>
      <c r="X72" s="213"/>
      <c r="Y72" s="213"/>
      <c r="Z72" s="213"/>
      <c r="AA72" s="213"/>
    </row>
    <row r="73" spans="1:27" x14ac:dyDescent="0.2">
      <c r="A73" s="13"/>
      <c r="B73" s="13"/>
      <c r="C73" s="13"/>
      <c r="D73" s="13"/>
      <c r="E73" s="97"/>
      <c r="F73" s="213"/>
      <c r="G73" s="213"/>
      <c r="H73" s="213"/>
      <c r="I73" s="213"/>
      <c r="J73" s="213"/>
      <c r="K73" s="213"/>
      <c r="L73" s="213"/>
      <c r="M73" s="213"/>
      <c r="N73" s="213"/>
      <c r="O73" s="213"/>
      <c r="P73" s="213"/>
      <c r="Q73" s="213"/>
      <c r="R73" s="213"/>
      <c r="S73" s="213"/>
      <c r="T73" s="213"/>
      <c r="U73" s="213"/>
      <c r="V73" s="213"/>
      <c r="W73" s="213"/>
      <c r="X73" s="213"/>
      <c r="Y73" s="213"/>
      <c r="Z73" s="213"/>
      <c r="AA73" s="213"/>
    </row>
    <row r="74" spans="1:27" x14ac:dyDescent="0.2">
      <c r="A74" s="13"/>
      <c r="B74" s="13"/>
      <c r="C74" s="13"/>
      <c r="D74" s="13"/>
      <c r="E74" s="97"/>
      <c r="F74" s="213"/>
      <c r="G74" s="213"/>
      <c r="H74" s="213"/>
      <c r="I74" s="213"/>
      <c r="J74" s="213"/>
      <c r="K74" s="213"/>
      <c r="L74" s="213"/>
      <c r="M74" s="213"/>
      <c r="N74" s="213"/>
      <c r="O74" s="213"/>
      <c r="P74" s="213"/>
      <c r="Q74" s="213"/>
      <c r="R74" s="213"/>
      <c r="S74" s="213"/>
      <c r="T74" s="213"/>
      <c r="U74" s="213"/>
      <c r="V74" s="213"/>
      <c r="W74" s="213"/>
      <c r="X74" s="213"/>
      <c r="Y74" s="213"/>
      <c r="Z74" s="213"/>
      <c r="AA74" s="213"/>
    </row>
    <row r="75" spans="1:27" x14ac:dyDescent="0.2">
      <c r="A75" s="13"/>
      <c r="B75" s="13"/>
      <c r="C75" s="13"/>
      <c r="D75" s="13"/>
      <c r="E75" s="97"/>
      <c r="F75" s="213"/>
      <c r="G75" s="213"/>
      <c r="H75" s="213"/>
      <c r="I75" s="213"/>
      <c r="J75" s="213"/>
      <c r="K75" s="213"/>
      <c r="L75" s="213"/>
      <c r="M75" s="213"/>
      <c r="N75" s="213"/>
      <c r="O75" s="213"/>
      <c r="P75" s="213"/>
      <c r="Q75" s="213"/>
      <c r="R75" s="213"/>
      <c r="S75" s="213"/>
      <c r="T75" s="213"/>
      <c r="U75" s="213"/>
      <c r="V75" s="213"/>
      <c r="W75" s="213"/>
      <c r="X75" s="213"/>
      <c r="Y75" s="213"/>
      <c r="Z75" s="213"/>
      <c r="AA75" s="213"/>
    </row>
    <row r="76" spans="1:27" x14ac:dyDescent="0.2">
      <c r="A76" s="13"/>
      <c r="B76" s="13"/>
      <c r="C76" s="13"/>
      <c r="D76" s="13"/>
      <c r="E76" s="97"/>
      <c r="F76" s="213"/>
      <c r="G76" s="213"/>
      <c r="H76" s="213"/>
      <c r="I76" s="213"/>
      <c r="J76" s="213"/>
      <c r="K76" s="213"/>
      <c r="L76" s="213"/>
      <c r="M76" s="213"/>
      <c r="N76" s="213"/>
      <c r="O76" s="213"/>
      <c r="P76" s="213"/>
      <c r="Q76" s="213"/>
      <c r="R76" s="213"/>
      <c r="S76" s="213"/>
      <c r="T76" s="213"/>
      <c r="U76" s="213"/>
      <c r="V76" s="213"/>
      <c r="W76" s="213"/>
      <c r="X76" s="213"/>
      <c r="Y76" s="213"/>
      <c r="Z76" s="213"/>
      <c r="AA76" s="213"/>
    </row>
    <row r="77" spans="1:27" x14ac:dyDescent="0.2">
      <c r="A77" s="13"/>
      <c r="B77" s="13"/>
      <c r="C77" s="13"/>
      <c r="D77" s="13"/>
      <c r="E77" s="97"/>
      <c r="F77" s="213"/>
      <c r="G77" s="213"/>
      <c r="H77" s="213"/>
      <c r="I77" s="213"/>
      <c r="J77" s="213"/>
      <c r="K77" s="213"/>
      <c r="L77" s="213"/>
      <c r="M77" s="213"/>
      <c r="N77" s="213"/>
      <c r="O77" s="213"/>
      <c r="P77" s="213"/>
      <c r="Q77" s="213"/>
      <c r="R77" s="213"/>
      <c r="S77" s="213"/>
      <c r="T77" s="213"/>
      <c r="U77" s="213"/>
      <c r="V77" s="213"/>
      <c r="W77" s="213"/>
      <c r="X77" s="213"/>
      <c r="Y77" s="213"/>
      <c r="Z77" s="213"/>
      <c r="AA77" s="213"/>
    </row>
    <row r="78" spans="1:27" x14ac:dyDescent="0.2">
      <c r="A78" s="13"/>
      <c r="B78" s="13"/>
      <c r="C78" s="13"/>
      <c r="D78" s="13"/>
      <c r="E78" s="97"/>
      <c r="F78" s="213"/>
      <c r="G78" s="213"/>
      <c r="H78" s="213"/>
      <c r="I78" s="213"/>
      <c r="J78" s="213"/>
      <c r="K78" s="213"/>
      <c r="L78" s="213"/>
      <c r="M78" s="213"/>
      <c r="N78" s="213"/>
      <c r="O78" s="213"/>
      <c r="P78" s="213"/>
      <c r="Q78" s="213"/>
      <c r="R78" s="213"/>
      <c r="S78" s="213"/>
      <c r="T78" s="213"/>
      <c r="U78" s="213"/>
      <c r="V78" s="213"/>
      <c r="W78" s="213"/>
      <c r="X78" s="213"/>
      <c r="Y78" s="213"/>
      <c r="Z78" s="213"/>
      <c r="AA78" s="213"/>
    </row>
    <row r="79" spans="1:27" x14ac:dyDescent="0.2">
      <c r="A79" s="13"/>
      <c r="B79" s="13"/>
      <c r="C79" s="13"/>
      <c r="D79" s="13"/>
      <c r="E79" s="97"/>
      <c r="F79" s="213"/>
      <c r="G79" s="213"/>
      <c r="H79" s="213"/>
      <c r="I79" s="213"/>
      <c r="J79" s="213"/>
      <c r="K79" s="213"/>
      <c r="L79" s="213"/>
      <c r="M79" s="213"/>
      <c r="N79" s="213"/>
      <c r="O79" s="213"/>
      <c r="P79" s="213"/>
      <c r="Q79" s="213"/>
      <c r="R79" s="213"/>
      <c r="S79" s="213"/>
      <c r="T79" s="213"/>
      <c r="U79" s="213"/>
      <c r="V79" s="213"/>
      <c r="W79" s="213"/>
      <c r="X79" s="213"/>
      <c r="Y79" s="213"/>
      <c r="Z79" s="213"/>
      <c r="AA79" s="213"/>
    </row>
    <row r="80" spans="1:27" x14ac:dyDescent="0.2">
      <c r="A80" s="13"/>
      <c r="B80" s="13"/>
      <c r="C80" s="13"/>
      <c r="D80" s="13"/>
      <c r="E80" s="97"/>
      <c r="F80" s="213"/>
      <c r="G80" s="213"/>
      <c r="H80" s="213"/>
      <c r="I80" s="213"/>
      <c r="J80" s="213"/>
      <c r="K80" s="213"/>
      <c r="L80" s="213"/>
      <c r="M80" s="213"/>
      <c r="N80" s="213"/>
      <c r="O80" s="213"/>
      <c r="P80" s="213"/>
      <c r="Q80" s="213"/>
      <c r="R80" s="213"/>
      <c r="S80" s="213"/>
      <c r="T80" s="213"/>
      <c r="U80" s="213"/>
      <c r="V80" s="213"/>
      <c r="W80" s="213"/>
      <c r="X80" s="213"/>
      <c r="Y80" s="213"/>
      <c r="Z80" s="213"/>
      <c r="AA80" s="213"/>
    </row>
    <row r="81" spans="1:27" x14ac:dyDescent="0.2">
      <c r="A81" s="13"/>
      <c r="B81" s="13"/>
      <c r="C81" s="13"/>
      <c r="D81" s="13"/>
      <c r="E81" s="97"/>
      <c r="F81" s="213"/>
      <c r="G81" s="213"/>
      <c r="H81" s="213"/>
      <c r="I81" s="213"/>
      <c r="J81" s="213"/>
      <c r="K81" s="213"/>
      <c r="L81" s="213"/>
      <c r="M81" s="213"/>
      <c r="N81" s="213"/>
      <c r="O81" s="213"/>
      <c r="P81" s="213"/>
      <c r="Q81" s="213"/>
      <c r="R81" s="213"/>
      <c r="S81" s="213"/>
      <c r="T81" s="213"/>
      <c r="U81" s="213"/>
      <c r="V81" s="213"/>
      <c r="W81" s="213"/>
      <c r="X81" s="213"/>
      <c r="Y81" s="213"/>
      <c r="Z81" s="213"/>
      <c r="AA81" s="213"/>
    </row>
    <row r="82" spans="1:27" x14ac:dyDescent="0.2">
      <c r="A82" s="13"/>
      <c r="B82" s="13"/>
      <c r="C82" s="13"/>
      <c r="D82" s="13"/>
      <c r="E82" s="97"/>
      <c r="F82" s="213"/>
      <c r="G82" s="213"/>
      <c r="H82" s="213"/>
      <c r="I82" s="213"/>
      <c r="J82" s="213"/>
      <c r="K82" s="213"/>
      <c r="L82" s="213"/>
      <c r="M82" s="213"/>
      <c r="N82" s="213"/>
      <c r="O82" s="213"/>
      <c r="P82" s="213"/>
      <c r="Q82" s="213"/>
      <c r="R82" s="213"/>
      <c r="S82" s="213"/>
      <c r="T82" s="213"/>
      <c r="U82" s="213"/>
      <c r="V82" s="213"/>
      <c r="W82" s="213"/>
      <c r="X82" s="213"/>
      <c r="Y82" s="213"/>
      <c r="Z82" s="213"/>
      <c r="AA82" s="213"/>
    </row>
    <row r="83" spans="1:27" x14ac:dyDescent="0.2">
      <c r="A83" s="13"/>
      <c r="B83" s="13"/>
      <c r="C83" s="13"/>
      <c r="D83" s="13"/>
      <c r="E83" s="97"/>
      <c r="F83" s="213"/>
      <c r="G83" s="213"/>
      <c r="H83" s="213"/>
      <c r="I83" s="213"/>
      <c r="J83" s="213"/>
      <c r="K83" s="213"/>
      <c r="L83" s="213"/>
      <c r="M83" s="213"/>
      <c r="N83" s="213"/>
      <c r="O83" s="213"/>
      <c r="P83" s="213"/>
      <c r="Q83" s="213"/>
      <c r="R83" s="213"/>
      <c r="S83" s="213"/>
      <c r="T83" s="213"/>
      <c r="U83" s="213"/>
      <c r="V83" s="213"/>
      <c r="W83" s="213"/>
      <c r="X83" s="213"/>
      <c r="Y83" s="213"/>
      <c r="Z83" s="213"/>
      <c r="AA83" s="213"/>
    </row>
    <row r="84" spans="1:27" x14ac:dyDescent="0.2">
      <c r="A84" s="13"/>
      <c r="B84" s="13"/>
      <c r="C84" s="13"/>
      <c r="D84" s="13"/>
      <c r="E84" s="97"/>
      <c r="F84" s="213"/>
      <c r="G84" s="213"/>
      <c r="H84" s="213"/>
      <c r="I84" s="213"/>
      <c r="J84" s="213"/>
      <c r="K84" s="213"/>
      <c r="L84" s="213"/>
      <c r="M84" s="213"/>
      <c r="N84" s="213"/>
      <c r="O84" s="213"/>
      <c r="P84" s="213"/>
      <c r="Q84" s="213"/>
      <c r="R84" s="213"/>
      <c r="S84" s="213"/>
      <c r="T84" s="213"/>
      <c r="U84" s="213"/>
      <c r="V84" s="213"/>
      <c r="W84" s="213"/>
      <c r="X84" s="213"/>
      <c r="Y84" s="213"/>
      <c r="Z84" s="213"/>
      <c r="AA84" s="213"/>
    </row>
    <row r="85" spans="1:27" x14ac:dyDescent="0.2">
      <c r="A85" s="13"/>
      <c r="B85" s="13"/>
      <c r="C85" s="13"/>
      <c r="D85" s="13"/>
      <c r="E85" s="97"/>
      <c r="F85" s="213"/>
      <c r="G85" s="213"/>
      <c r="H85" s="213"/>
      <c r="I85" s="213"/>
      <c r="J85" s="213"/>
      <c r="K85" s="213"/>
      <c r="L85" s="213"/>
      <c r="M85" s="213"/>
      <c r="N85" s="213"/>
      <c r="O85" s="213"/>
      <c r="P85" s="213"/>
      <c r="Q85" s="213"/>
      <c r="R85" s="213"/>
      <c r="S85" s="213"/>
      <c r="T85" s="213"/>
      <c r="U85" s="213"/>
      <c r="V85" s="213"/>
      <c r="W85" s="213"/>
      <c r="X85" s="213"/>
      <c r="Y85" s="213"/>
      <c r="Z85" s="213"/>
      <c r="AA85" s="213"/>
    </row>
    <row r="86" spans="1:27" x14ac:dyDescent="0.2">
      <c r="A86" s="13"/>
      <c r="B86" s="13"/>
      <c r="C86" s="13"/>
      <c r="D86" s="13"/>
      <c r="E86" s="97"/>
      <c r="F86" s="213"/>
      <c r="G86" s="213"/>
      <c r="H86" s="213"/>
      <c r="I86" s="213"/>
      <c r="J86" s="213"/>
      <c r="K86" s="213"/>
      <c r="L86" s="213"/>
      <c r="M86" s="213"/>
      <c r="N86" s="213"/>
      <c r="O86" s="213"/>
      <c r="P86" s="213"/>
      <c r="Q86" s="213"/>
      <c r="R86" s="213"/>
      <c r="S86" s="213"/>
      <c r="T86" s="213"/>
      <c r="U86" s="213"/>
      <c r="V86" s="213"/>
      <c r="W86" s="213"/>
      <c r="X86" s="213"/>
      <c r="Y86" s="213"/>
      <c r="Z86" s="213"/>
      <c r="AA86" s="213"/>
    </row>
    <row r="87" spans="1:27" x14ac:dyDescent="0.2">
      <c r="A87" s="13"/>
      <c r="B87" s="13"/>
      <c r="C87" s="13"/>
      <c r="D87" s="13"/>
      <c r="E87" s="97"/>
      <c r="F87" s="213"/>
      <c r="G87" s="213"/>
      <c r="H87" s="213"/>
      <c r="I87" s="213"/>
      <c r="J87" s="213"/>
      <c r="K87" s="213"/>
      <c r="L87" s="213"/>
      <c r="M87" s="213"/>
      <c r="N87" s="213"/>
      <c r="O87" s="213"/>
      <c r="P87" s="213"/>
      <c r="Q87" s="213"/>
      <c r="R87" s="213"/>
      <c r="S87" s="213"/>
      <c r="T87" s="213"/>
      <c r="U87" s="213"/>
      <c r="V87" s="213"/>
      <c r="W87" s="213"/>
      <c r="X87" s="213"/>
      <c r="Y87" s="213"/>
      <c r="Z87" s="213"/>
      <c r="AA87" s="213"/>
    </row>
    <row r="88" spans="1:27" x14ac:dyDescent="0.2">
      <c r="A88" s="13"/>
      <c r="B88" s="13"/>
      <c r="C88" s="13"/>
      <c r="D88" s="13"/>
      <c r="E88" s="97"/>
      <c r="F88" s="213"/>
      <c r="G88" s="213"/>
      <c r="H88" s="213"/>
      <c r="I88" s="213"/>
      <c r="J88" s="213"/>
      <c r="K88" s="213"/>
      <c r="L88" s="213"/>
      <c r="M88" s="213"/>
      <c r="N88" s="213"/>
      <c r="O88" s="213"/>
      <c r="P88" s="213"/>
      <c r="Q88" s="213"/>
      <c r="R88" s="213"/>
      <c r="S88" s="213"/>
      <c r="T88" s="213"/>
      <c r="U88" s="213"/>
      <c r="V88" s="213"/>
      <c r="W88" s="213"/>
      <c r="X88" s="213"/>
      <c r="Y88" s="213"/>
      <c r="Z88" s="213"/>
      <c r="AA88" s="213"/>
    </row>
    <row r="89" spans="1:27" x14ac:dyDescent="0.2">
      <c r="A89" s="13"/>
      <c r="B89" s="13"/>
      <c r="C89" s="13"/>
      <c r="D89" s="13"/>
      <c r="E89" s="97"/>
      <c r="F89" s="213"/>
      <c r="G89" s="213"/>
      <c r="H89" s="213"/>
      <c r="I89" s="213"/>
      <c r="J89" s="213"/>
      <c r="K89" s="213"/>
      <c r="L89" s="213"/>
      <c r="M89" s="213"/>
      <c r="N89" s="213"/>
      <c r="O89" s="213"/>
      <c r="P89" s="213"/>
      <c r="Q89" s="213"/>
      <c r="R89" s="213"/>
      <c r="S89" s="213"/>
      <c r="T89" s="213"/>
      <c r="U89" s="213"/>
      <c r="V89" s="213"/>
      <c r="W89" s="213"/>
      <c r="X89" s="213"/>
      <c r="Y89" s="213"/>
      <c r="Z89" s="213"/>
      <c r="AA89" s="213"/>
    </row>
    <row r="90" spans="1:27" x14ac:dyDescent="0.2">
      <c r="A90" s="13"/>
      <c r="B90" s="13"/>
      <c r="C90" s="13"/>
      <c r="D90" s="13"/>
      <c r="E90" s="97"/>
      <c r="F90" s="213"/>
      <c r="G90" s="213"/>
      <c r="H90" s="213"/>
      <c r="I90" s="213"/>
      <c r="J90" s="213"/>
      <c r="K90" s="213"/>
      <c r="L90" s="213"/>
      <c r="M90" s="213"/>
      <c r="N90" s="213"/>
      <c r="O90" s="213"/>
      <c r="P90" s="213"/>
      <c r="Q90" s="213"/>
      <c r="R90" s="213"/>
      <c r="S90" s="213"/>
      <c r="T90" s="213"/>
      <c r="U90" s="213"/>
      <c r="V90" s="213"/>
      <c r="W90" s="213"/>
      <c r="X90" s="213"/>
      <c r="Y90" s="213"/>
      <c r="Z90" s="213"/>
      <c r="AA90" s="213"/>
    </row>
    <row r="91" spans="1:27" x14ac:dyDescent="0.2">
      <c r="A91" s="13"/>
      <c r="B91" s="13"/>
      <c r="C91" s="13"/>
      <c r="D91" s="13"/>
      <c r="E91" s="97"/>
      <c r="F91" s="213"/>
      <c r="G91" s="213"/>
      <c r="H91" s="213"/>
      <c r="I91" s="213"/>
      <c r="J91" s="213"/>
      <c r="K91" s="213"/>
      <c r="L91" s="213"/>
      <c r="M91" s="213"/>
      <c r="N91" s="213"/>
      <c r="O91" s="213"/>
      <c r="P91" s="213"/>
      <c r="Q91" s="213"/>
      <c r="R91" s="213"/>
      <c r="S91" s="213"/>
      <c r="T91" s="213"/>
      <c r="U91" s="213"/>
      <c r="V91" s="213"/>
      <c r="W91" s="213"/>
      <c r="X91" s="213"/>
      <c r="Y91" s="213"/>
      <c r="Z91" s="213"/>
      <c r="AA91" s="213"/>
    </row>
    <row r="92" spans="1:27" x14ac:dyDescent="0.2">
      <c r="A92" s="13"/>
      <c r="B92" s="13"/>
      <c r="C92" s="13"/>
      <c r="D92" s="13"/>
      <c r="E92" s="97"/>
      <c r="F92" s="213"/>
      <c r="G92" s="213"/>
      <c r="H92" s="213"/>
      <c r="I92" s="213"/>
      <c r="J92" s="213"/>
      <c r="K92" s="213"/>
      <c r="L92" s="213"/>
      <c r="M92" s="213"/>
      <c r="N92" s="213"/>
      <c r="O92" s="213"/>
      <c r="P92" s="213"/>
      <c r="Q92" s="213"/>
      <c r="R92" s="213"/>
      <c r="S92" s="213"/>
      <c r="T92" s="213"/>
      <c r="U92" s="213"/>
      <c r="V92" s="213"/>
      <c r="W92" s="213"/>
      <c r="X92" s="213"/>
      <c r="Y92" s="213"/>
      <c r="Z92" s="213"/>
      <c r="AA92" s="213"/>
    </row>
    <row r="93" spans="1:27" x14ac:dyDescent="0.2">
      <c r="A93" s="13"/>
      <c r="B93" s="13"/>
      <c r="C93" s="13"/>
      <c r="D93" s="13"/>
      <c r="E93" s="97"/>
      <c r="F93" s="213"/>
      <c r="G93" s="213"/>
      <c r="H93" s="213"/>
      <c r="I93" s="213"/>
      <c r="J93" s="213"/>
      <c r="K93" s="213"/>
      <c r="L93" s="213"/>
      <c r="M93" s="213"/>
      <c r="N93" s="213"/>
      <c r="O93" s="213"/>
      <c r="P93" s="213"/>
      <c r="Q93" s="213"/>
      <c r="R93" s="213"/>
      <c r="S93" s="213"/>
      <c r="T93" s="213"/>
      <c r="U93" s="213"/>
      <c r="V93" s="213"/>
      <c r="W93" s="213"/>
      <c r="X93" s="213"/>
      <c r="Y93" s="213"/>
      <c r="Z93" s="213"/>
      <c r="AA93" s="213"/>
    </row>
    <row r="94" spans="1:27" x14ac:dyDescent="0.2">
      <c r="A94" s="13"/>
      <c r="B94" s="13"/>
      <c r="C94" s="13"/>
      <c r="D94" s="13"/>
      <c r="E94" s="97"/>
      <c r="F94" s="213"/>
      <c r="G94" s="213"/>
      <c r="H94" s="213"/>
      <c r="I94" s="213"/>
      <c r="J94" s="213"/>
      <c r="K94" s="213"/>
      <c r="L94" s="213"/>
      <c r="M94" s="213"/>
      <c r="N94" s="213"/>
      <c r="O94" s="213"/>
      <c r="P94" s="213"/>
      <c r="Q94" s="213"/>
      <c r="R94" s="213"/>
      <c r="S94" s="213"/>
      <c r="T94" s="213"/>
      <c r="U94" s="213"/>
      <c r="V94" s="213"/>
      <c r="W94" s="213"/>
      <c r="X94" s="213"/>
      <c r="Y94" s="213"/>
      <c r="Z94" s="213"/>
      <c r="AA94" s="213"/>
    </row>
    <row r="95" spans="1:27" x14ac:dyDescent="0.2">
      <c r="A95" s="13"/>
      <c r="B95" s="13"/>
      <c r="C95" s="13"/>
      <c r="D95" s="13"/>
      <c r="E95" s="97"/>
      <c r="F95" s="213"/>
      <c r="G95" s="213"/>
      <c r="H95" s="213"/>
      <c r="I95" s="213"/>
      <c r="J95" s="213"/>
      <c r="K95" s="213"/>
      <c r="L95" s="213"/>
      <c r="M95" s="213"/>
      <c r="N95" s="213"/>
      <c r="O95" s="213"/>
      <c r="P95" s="213"/>
      <c r="Q95" s="213"/>
      <c r="R95" s="213"/>
      <c r="S95" s="213"/>
      <c r="T95" s="213"/>
      <c r="U95" s="213"/>
      <c r="V95" s="213"/>
      <c r="W95" s="213"/>
      <c r="X95" s="213"/>
      <c r="Y95" s="213"/>
      <c r="Z95" s="213"/>
      <c r="AA95" s="213"/>
    </row>
    <row r="96" spans="1:27" x14ac:dyDescent="0.2">
      <c r="A96" s="13"/>
      <c r="B96" s="13"/>
      <c r="C96" s="13"/>
      <c r="D96" s="13"/>
      <c r="E96" s="97"/>
      <c r="F96" s="213"/>
      <c r="G96" s="213"/>
      <c r="H96" s="213"/>
      <c r="I96" s="213"/>
      <c r="J96" s="213"/>
      <c r="K96" s="213"/>
      <c r="L96" s="213"/>
      <c r="M96" s="213"/>
      <c r="N96" s="213"/>
      <c r="O96" s="213"/>
      <c r="P96" s="213"/>
      <c r="Q96" s="213"/>
      <c r="R96" s="213"/>
      <c r="S96" s="213"/>
      <c r="T96" s="213"/>
      <c r="U96" s="213"/>
      <c r="V96" s="213"/>
      <c r="W96" s="213"/>
      <c r="X96" s="213"/>
      <c r="Y96" s="213"/>
      <c r="Z96" s="213"/>
      <c r="AA96" s="213"/>
    </row>
    <row r="97" spans="1:27" x14ac:dyDescent="0.2">
      <c r="A97" s="13"/>
      <c r="B97" s="13"/>
      <c r="C97" s="13"/>
      <c r="D97" s="13"/>
      <c r="E97" s="97"/>
      <c r="F97" s="213"/>
      <c r="G97" s="213"/>
      <c r="H97" s="213"/>
      <c r="I97" s="213"/>
      <c r="J97" s="213"/>
      <c r="K97" s="213"/>
      <c r="L97" s="213"/>
      <c r="M97" s="213"/>
      <c r="N97" s="213"/>
      <c r="O97" s="213"/>
      <c r="P97" s="213"/>
      <c r="Q97" s="213"/>
      <c r="R97" s="213"/>
      <c r="S97" s="213"/>
      <c r="T97" s="213"/>
      <c r="U97" s="213"/>
      <c r="V97" s="213"/>
      <c r="W97" s="213"/>
      <c r="X97" s="213"/>
      <c r="Y97" s="213"/>
      <c r="Z97" s="213"/>
      <c r="AA97" s="213"/>
    </row>
    <row r="98" spans="1:27" x14ac:dyDescent="0.2">
      <c r="A98" s="13"/>
      <c r="B98" s="13"/>
      <c r="C98" s="13"/>
      <c r="D98" s="13"/>
      <c r="E98" s="97"/>
      <c r="F98" s="213"/>
      <c r="G98" s="213"/>
      <c r="H98" s="213"/>
      <c r="I98" s="213"/>
      <c r="J98" s="213"/>
      <c r="K98" s="213"/>
      <c r="L98" s="213"/>
      <c r="M98" s="213"/>
      <c r="N98" s="213"/>
      <c r="O98" s="213"/>
      <c r="P98" s="213"/>
      <c r="Q98" s="213"/>
      <c r="R98" s="213"/>
      <c r="S98" s="213"/>
      <c r="T98" s="213"/>
      <c r="U98" s="213"/>
      <c r="V98" s="213"/>
      <c r="W98" s="213"/>
      <c r="X98" s="213"/>
      <c r="Y98" s="213"/>
      <c r="Z98" s="213"/>
      <c r="AA98" s="213"/>
    </row>
    <row r="99" spans="1:27" x14ac:dyDescent="0.2">
      <c r="A99" s="13"/>
      <c r="B99" s="13"/>
      <c r="C99" s="13"/>
      <c r="D99" s="13"/>
      <c r="E99" s="97"/>
      <c r="F99" s="213"/>
      <c r="G99" s="213"/>
      <c r="H99" s="213"/>
      <c r="I99" s="213"/>
      <c r="J99" s="213"/>
      <c r="K99" s="213"/>
      <c r="L99" s="213"/>
      <c r="M99" s="213"/>
      <c r="N99" s="213"/>
      <c r="O99" s="213"/>
      <c r="P99" s="213"/>
      <c r="Q99" s="213"/>
      <c r="R99" s="213"/>
      <c r="S99" s="213"/>
      <c r="T99" s="213"/>
      <c r="U99" s="213"/>
      <c r="V99" s="213"/>
      <c r="W99" s="213"/>
      <c r="X99" s="213"/>
      <c r="Y99" s="213"/>
      <c r="Z99" s="213"/>
      <c r="AA99" s="213"/>
    </row>
    <row r="100" spans="1:27" x14ac:dyDescent="0.2">
      <c r="A100" s="13"/>
      <c r="B100" s="13"/>
      <c r="C100" s="13"/>
      <c r="D100" s="13"/>
      <c r="E100" s="97"/>
      <c r="F100" s="213"/>
      <c r="G100" s="213"/>
      <c r="H100" s="213"/>
      <c r="I100" s="213"/>
      <c r="J100" s="213"/>
      <c r="K100" s="213"/>
      <c r="L100" s="213"/>
      <c r="M100" s="213"/>
      <c r="N100" s="213"/>
      <c r="O100" s="213"/>
      <c r="P100" s="213"/>
      <c r="Q100" s="213"/>
      <c r="R100" s="213"/>
      <c r="S100" s="213"/>
      <c r="T100" s="213"/>
      <c r="U100" s="213"/>
      <c r="V100" s="213"/>
      <c r="W100" s="213"/>
      <c r="X100" s="213"/>
      <c r="Y100" s="213"/>
      <c r="Z100" s="213"/>
      <c r="AA100" s="213"/>
    </row>
    <row r="101" spans="1:27" x14ac:dyDescent="0.2">
      <c r="A101" s="13"/>
      <c r="B101" s="13"/>
      <c r="C101" s="13"/>
      <c r="D101" s="13"/>
      <c r="E101" s="97"/>
      <c r="F101" s="213"/>
      <c r="G101" s="213"/>
      <c r="H101" s="213"/>
      <c r="I101" s="213"/>
      <c r="J101" s="213"/>
      <c r="K101" s="213"/>
      <c r="L101" s="213"/>
      <c r="M101" s="213"/>
      <c r="N101" s="213"/>
      <c r="O101" s="213"/>
      <c r="P101" s="213"/>
      <c r="Q101" s="213"/>
      <c r="R101" s="213"/>
      <c r="S101" s="213"/>
      <c r="T101" s="213"/>
      <c r="U101" s="213"/>
      <c r="V101" s="213"/>
      <c r="W101" s="213"/>
      <c r="X101" s="213"/>
      <c r="Y101" s="213"/>
      <c r="Z101" s="213"/>
      <c r="AA101" s="213"/>
    </row>
    <row r="102" spans="1:27" x14ac:dyDescent="0.2">
      <c r="A102" s="13"/>
      <c r="B102" s="13"/>
      <c r="C102" s="13"/>
      <c r="D102" s="13"/>
      <c r="E102" s="97"/>
      <c r="F102" s="213"/>
      <c r="G102" s="213"/>
      <c r="H102" s="213"/>
      <c r="I102" s="213"/>
      <c r="J102" s="213"/>
      <c r="K102" s="213"/>
      <c r="L102" s="213"/>
      <c r="M102" s="213"/>
      <c r="N102" s="213"/>
      <c r="O102" s="213"/>
      <c r="P102" s="213"/>
      <c r="Q102" s="213"/>
      <c r="R102" s="213"/>
      <c r="S102" s="213"/>
      <c r="T102" s="213"/>
      <c r="U102" s="213"/>
      <c r="V102" s="213"/>
      <c r="W102" s="213"/>
      <c r="X102" s="213"/>
      <c r="Y102" s="213"/>
      <c r="Z102" s="213"/>
      <c r="AA102" s="213"/>
    </row>
    <row r="103" spans="1:27" x14ac:dyDescent="0.2">
      <c r="A103" s="13"/>
      <c r="B103" s="13"/>
      <c r="C103" s="13"/>
      <c r="D103" s="13"/>
      <c r="E103" s="97"/>
      <c r="F103" s="213"/>
      <c r="G103" s="213"/>
      <c r="H103" s="213"/>
      <c r="I103" s="213"/>
      <c r="J103" s="213"/>
      <c r="K103" s="213"/>
      <c r="L103" s="213"/>
      <c r="M103" s="213"/>
      <c r="N103" s="213"/>
      <c r="O103" s="213"/>
      <c r="P103" s="213"/>
      <c r="Q103" s="213"/>
      <c r="R103" s="213"/>
      <c r="S103" s="213"/>
      <c r="T103" s="213"/>
      <c r="U103" s="213"/>
      <c r="V103" s="213"/>
      <c r="W103" s="213"/>
      <c r="X103" s="213"/>
      <c r="Y103" s="213"/>
      <c r="Z103" s="213"/>
      <c r="AA103" s="213"/>
    </row>
    <row r="104" spans="1:27" x14ac:dyDescent="0.2">
      <c r="A104" s="13"/>
      <c r="B104" s="13"/>
      <c r="C104" s="13"/>
      <c r="D104" s="13"/>
      <c r="E104" s="97"/>
      <c r="F104" s="213"/>
      <c r="G104" s="213"/>
      <c r="H104" s="213"/>
      <c r="I104" s="213"/>
      <c r="J104" s="213"/>
      <c r="K104" s="213"/>
      <c r="L104" s="213"/>
      <c r="M104" s="213"/>
      <c r="N104" s="213"/>
      <c r="O104" s="213"/>
      <c r="P104" s="213"/>
      <c r="Q104" s="213"/>
      <c r="R104" s="213"/>
      <c r="S104" s="213"/>
      <c r="T104" s="213"/>
      <c r="U104" s="213"/>
      <c r="V104" s="213"/>
      <c r="W104" s="213"/>
      <c r="X104" s="213"/>
      <c r="Y104" s="213"/>
      <c r="Z104" s="213"/>
      <c r="AA104" s="213"/>
    </row>
    <row r="105" spans="1:27" x14ac:dyDescent="0.2">
      <c r="A105" s="13"/>
      <c r="B105" s="13"/>
      <c r="C105" s="13"/>
      <c r="D105" s="13"/>
      <c r="E105" s="97"/>
      <c r="F105" s="213"/>
      <c r="G105" s="213"/>
      <c r="H105" s="213"/>
      <c r="I105" s="213"/>
      <c r="J105" s="213"/>
      <c r="K105" s="213"/>
      <c r="L105" s="213"/>
      <c r="M105" s="213"/>
      <c r="N105" s="213"/>
      <c r="O105" s="213"/>
      <c r="P105" s="213"/>
      <c r="Q105" s="213"/>
      <c r="R105" s="213"/>
      <c r="S105" s="213"/>
      <c r="T105" s="213"/>
      <c r="U105" s="213"/>
      <c r="V105" s="213"/>
      <c r="W105" s="213"/>
      <c r="X105" s="213"/>
      <c r="Y105" s="213"/>
      <c r="Z105" s="213"/>
      <c r="AA105" s="213"/>
    </row>
    <row r="106" spans="1:27" x14ac:dyDescent="0.2">
      <c r="A106" s="13"/>
      <c r="B106" s="13"/>
      <c r="C106" s="13"/>
      <c r="D106" s="13"/>
      <c r="E106" s="97"/>
      <c r="F106" s="213"/>
      <c r="G106" s="213"/>
      <c r="H106" s="213"/>
      <c r="I106" s="213"/>
      <c r="J106" s="213"/>
      <c r="K106" s="213"/>
      <c r="L106" s="213"/>
      <c r="M106" s="213"/>
      <c r="N106" s="213"/>
      <c r="O106" s="213"/>
      <c r="P106" s="213"/>
      <c r="Q106" s="213"/>
      <c r="R106" s="213"/>
      <c r="S106" s="213"/>
      <c r="T106" s="213"/>
      <c r="U106" s="213"/>
      <c r="V106" s="213"/>
      <c r="W106" s="213"/>
      <c r="X106" s="213"/>
      <c r="Y106" s="213"/>
      <c r="Z106" s="213"/>
      <c r="AA106" s="213"/>
    </row>
    <row r="107" spans="1:27" x14ac:dyDescent="0.2">
      <c r="A107" s="13"/>
      <c r="B107" s="13"/>
      <c r="C107" s="13"/>
      <c r="D107" s="13"/>
      <c r="E107" s="97"/>
      <c r="F107" s="213"/>
      <c r="G107" s="213"/>
      <c r="H107" s="213"/>
      <c r="I107" s="213"/>
      <c r="J107" s="213"/>
      <c r="K107" s="213"/>
      <c r="L107" s="213"/>
      <c r="M107" s="213"/>
      <c r="N107" s="213"/>
      <c r="O107" s="213"/>
      <c r="P107" s="213"/>
      <c r="Q107" s="213"/>
      <c r="R107" s="213"/>
      <c r="S107" s="213"/>
      <c r="T107" s="213"/>
      <c r="U107" s="213"/>
      <c r="V107" s="213"/>
      <c r="W107" s="213"/>
      <c r="X107" s="213"/>
      <c r="Y107" s="213"/>
      <c r="Z107" s="213"/>
      <c r="AA107" s="213"/>
    </row>
    <row r="108" spans="1:27" x14ac:dyDescent="0.2">
      <c r="A108" s="13"/>
      <c r="B108" s="13"/>
      <c r="C108" s="13"/>
      <c r="D108" s="13"/>
      <c r="E108" s="97"/>
      <c r="F108" s="213"/>
      <c r="G108" s="213"/>
      <c r="H108" s="213"/>
      <c r="I108" s="213"/>
      <c r="J108" s="213"/>
      <c r="K108" s="213"/>
      <c r="L108" s="213"/>
      <c r="M108" s="213"/>
      <c r="N108" s="213"/>
      <c r="O108" s="213"/>
      <c r="P108" s="213"/>
      <c r="Q108" s="213"/>
      <c r="R108" s="213"/>
      <c r="S108" s="213"/>
      <c r="T108" s="213"/>
      <c r="U108" s="213"/>
      <c r="V108" s="213"/>
      <c r="W108" s="213"/>
      <c r="X108" s="213"/>
      <c r="Y108" s="213"/>
      <c r="Z108" s="213"/>
      <c r="AA108" s="213"/>
    </row>
    <row r="109" spans="1:27" x14ac:dyDescent="0.2">
      <c r="A109" s="13"/>
      <c r="B109" s="13"/>
      <c r="C109" s="13"/>
      <c r="D109" s="13"/>
      <c r="E109" s="97"/>
      <c r="F109" s="213"/>
      <c r="G109" s="213"/>
      <c r="H109" s="213"/>
      <c r="I109" s="213"/>
      <c r="J109" s="213"/>
      <c r="K109" s="213"/>
      <c r="L109" s="213"/>
      <c r="M109" s="213"/>
      <c r="N109" s="213"/>
      <c r="O109" s="213"/>
      <c r="P109" s="213"/>
      <c r="Q109" s="213"/>
      <c r="R109" s="213"/>
      <c r="S109" s="213"/>
      <c r="T109" s="213"/>
      <c r="U109" s="213"/>
      <c r="V109" s="213"/>
      <c r="W109" s="213"/>
      <c r="X109" s="213"/>
      <c r="Y109" s="213"/>
      <c r="Z109" s="213"/>
      <c r="AA109" s="213"/>
    </row>
    <row r="110" spans="1:27" x14ac:dyDescent="0.2">
      <c r="A110" s="13"/>
      <c r="B110" s="13"/>
      <c r="C110" s="13"/>
      <c r="D110" s="13"/>
      <c r="E110" s="97"/>
      <c r="F110" s="213"/>
      <c r="G110" s="213"/>
      <c r="H110" s="213"/>
      <c r="I110" s="213"/>
      <c r="J110" s="213"/>
      <c r="K110" s="213"/>
      <c r="L110" s="213"/>
      <c r="M110" s="213"/>
      <c r="N110" s="213"/>
      <c r="O110" s="213"/>
      <c r="P110" s="213"/>
      <c r="Q110" s="213"/>
      <c r="R110" s="213"/>
      <c r="S110" s="213"/>
      <c r="T110" s="213"/>
      <c r="U110" s="213"/>
      <c r="V110" s="213"/>
      <c r="W110" s="213"/>
      <c r="X110" s="213"/>
      <c r="Y110" s="213"/>
      <c r="Z110" s="213"/>
      <c r="AA110" s="213"/>
    </row>
    <row r="111" spans="1:27" x14ac:dyDescent="0.2">
      <c r="A111" s="13"/>
      <c r="B111" s="13"/>
      <c r="C111" s="13"/>
      <c r="D111" s="13"/>
      <c r="E111" s="97"/>
      <c r="F111" s="213"/>
      <c r="G111" s="213"/>
      <c r="H111" s="213"/>
      <c r="I111" s="213"/>
      <c r="J111" s="213"/>
      <c r="K111" s="213"/>
      <c r="L111" s="213"/>
      <c r="M111" s="213"/>
      <c r="N111" s="213"/>
      <c r="O111" s="213"/>
      <c r="P111" s="213"/>
      <c r="Q111" s="213"/>
      <c r="R111" s="213"/>
      <c r="S111" s="213"/>
      <c r="T111" s="213"/>
      <c r="U111" s="213"/>
      <c r="V111" s="213"/>
      <c r="W111" s="213"/>
      <c r="X111" s="213"/>
      <c r="Y111" s="213"/>
      <c r="Z111" s="213"/>
      <c r="AA111" s="213"/>
    </row>
    <row r="112" spans="1:27" x14ac:dyDescent="0.2">
      <c r="A112" s="13"/>
      <c r="B112" s="13"/>
      <c r="C112" s="13"/>
      <c r="D112" s="13"/>
      <c r="E112" s="97"/>
      <c r="F112" s="213"/>
      <c r="G112" s="213"/>
      <c r="H112" s="213"/>
      <c r="I112" s="213"/>
      <c r="J112" s="213"/>
      <c r="K112" s="213"/>
      <c r="L112" s="213"/>
      <c r="M112" s="213"/>
      <c r="N112" s="213"/>
      <c r="O112" s="213"/>
      <c r="P112" s="213"/>
      <c r="Q112" s="213"/>
      <c r="R112" s="213"/>
      <c r="S112" s="213"/>
      <c r="T112" s="213"/>
      <c r="U112" s="213"/>
      <c r="V112" s="213"/>
      <c r="W112" s="213"/>
      <c r="X112" s="213"/>
      <c r="Y112" s="213"/>
      <c r="Z112" s="213"/>
      <c r="AA112" s="213"/>
    </row>
    <row r="113" spans="1:27" x14ac:dyDescent="0.2">
      <c r="A113" s="13"/>
      <c r="B113" s="13"/>
      <c r="C113" s="13"/>
      <c r="D113" s="13"/>
      <c r="E113" s="97"/>
      <c r="F113" s="213"/>
      <c r="G113" s="213"/>
      <c r="H113" s="213"/>
      <c r="I113" s="213"/>
      <c r="J113" s="213"/>
      <c r="K113" s="213"/>
      <c r="L113" s="213"/>
      <c r="M113" s="213"/>
      <c r="N113" s="213"/>
      <c r="O113" s="213"/>
      <c r="P113" s="213"/>
      <c r="Q113" s="213"/>
      <c r="R113" s="213"/>
      <c r="S113" s="213"/>
      <c r="T113" s="213"/>
      <c r="U113" s="213"/>
      <c r="V113" s="213"/>
      <c r="W113" s="213"/>
      <c r="X113" s="213"/>
      <c r="Y113" s="213"/>
      <c r="Z113" s="213"/>
      <c r="AA113" s="213"/>
    </row>
    <row r="114" spans="1:27" x14ac:dyDescent="0.2">
      <c r="A114" s="13"/>
      <c r="B114" s="13"/>
      <c r="C114" s="13"/>
      <c r="D114" s="13"/>
      <c r="E114" s="97"/>
      <c r="F114" s="213"/>
      <c r="G114" s="213"/>
      <c r="H114" s="213"/>
      <c r="I114" s="213"/>
      <c r="J114" s="213"/>
      <c r="K114" s="213"/>
      <c r="L114" s="213"/>
      <c r="M114" s="213"/>
      <c r="N114" s="213"/>
      <c r="O114" s="213"/>
      <c r="P114" s="213"/>
      <c r="Q114" s="213"/>
      <c r="R114" s="213"/>
      <c r="S114" s="213"/>
      <c r="T114" s="213"/>
      <c r="U114" s="213"/>
      <c r="V114" s="213"/>
      <c r="W114" s="213"/>
      <c r="X114" s="213"/>
      <c r="Y114" s="213"/>
      <c r="Z114" s="213"/>
      <c r="AA114" s="213"/>
    </row>
    <row r="115" spans="1:27" x14ac:dyDescent="0.2">
      <c r="A115" s="13"/>
      <c r="B115" s="13"/>
      <c r="C115" s="13"/>
      <c r="D115" s="13"/>
      <c r="E115" s="97"/>
      <c r="F115" s="213"/>
      <c r="G115" s="213"/>
      <c r="H115" s="213"/>
      <c r="I115" s="213"/>
      <c r="J115" s="213"/>
      <c r="K115" s="213"/>
      <c r="L115" s="213"/>
      <c r="M115" s="213"/>
      <c r="N115" s="213"/>
      <c r="O115" s="213"/>
      <c r="P115" s="213"/>
      <c r="Q115" s="213"/>
      <c r="R115" s="213"/>
      <c r="S115" s="213"/>
      <c r="T115" s="213"/>
      <c r="U115" s="213"/>
      <c r="V115" s="213"/>
      <c r="W115" s="213"/>
      <c r="X115" s="213"/>
      <c r="Y115" s="213"/>
      <c r="Z115" s="213"/>
      <c r="AA115" s="213"/>
    </row>
    <row r="116" spans="1:27" x14ac:dyDescent="0.2">
      <c r="A116" s="13"/>
      <c r="B116" s="13"/>
      <c r="C116" s="13"/>
      <c r="D116" s="13"/>
      <c r="E116" s="97"/>
      <c r="F116" s="213"/>
      <c r="G116" s="213"/>
      <c r="H116" s="213"/>
      <c r="I116" s="213"/>
      <c r="J116" s="213"/>
      <c r="K116" s="213"/>
      <c r="L116" s="213"/>
      <c r="M116" s="213"/>
      <c r="N116" s="213"/>
      <c r="O116" s="213"/>
      <c r="P116" s="213"/>
      <c r="Q116" s="213"/>
      <c r="R116" s="213"/>
      <c r="S116" s="213"/>
      <c r="T116" s="213"/>
      <c r="U116" s="213"/>
      <c r="V116" s="213"/>
      <c r="W116" s="213"/>
      <c r="X116" s="213"/>
      <c r="Y116" s="213"/>
      <c r="Z116" s="213"/>
      <c r="AA116" s="213"/>
    </row>
    <row r="117" spans="1:27" x14ac:dyDescent="0.2">
      <c r="A117" s="13"/>
      <c r="B117" s="13"/>
      <c r="C117" s="13"/>
      <c r="D117" s="13"/>
      <c r="E117" s="97"/>
      <c r="F117" s="213"/>
      <c r="G117" s="213"/>
      <c r="H117" s="213"/>
      <c r="I117" s="213"/>
      <c r="J117" s="213"/>
      <c r="K117" s="213"/>
      <c r="L117" s="213"/>
      <c r="M117" s="213"/>
      <c r="N117" s="213"/>
      <c r="O117" s="213"/>
      <c r="P117" s="213"/>
      <c r="Q117" s="213"/>
      <c r="R117" s="213"/>
      <c r="S117" s="213"/>
      <c r="T117" s="213"/>
      <c r="U117" s="213"/>
      <c r="V117" s="213"/>
      <c r="W117" s="213"/>
      <c r="X117" s="213"/>
      <c r="Y117" s="213"/>
      <c r="Z117" s="213"/>
      <c r="AA117" s="213"/>
    </row>
    <row r="118" spans="1:27" x14ac:dyDescent="0.2">
      <c r="A118" s="13"/>
      <c r="B118" s="13"/>
      <c r="C118" s="13"/>
      <c r="D118" s="13"/>
      <c r="E118" s="97"/>
      <c r="F118" s="213"/>
      <c r="G118" s="213"/>
      <c r="H118" s="213"/>
      <c r="I118" s="213"/>
      <c r="J118" s="213"/>
      <c r="K118" s="213"/>
      <c r="L118" s="213"/>
      <c r="M118" s="213"/>
      <c r="N118" s="213"/>
      <c r="O118" s="213"/>
      <c r="P118" s="213"/>
      <c r="Q118" s="213"/>
      <c r="R118" s="213"/>
      <c r="S118" s="213"/>
      <c r="T118" s="213"/>
      <c r="U118" s="213"/>
      <c r="V118" s="213"/>
      <c r="W118" s="213"/>
      <c r="X118" s="213"/>
      <c r="Y118" s="213"/>
      <c r="Z118" s="213"/>
      <c r="AA118" s="213"/>
    </row>
    <row r="119" spans="1:27" x14ac:dyDescent="0.2">
      <c r="A119" s="13"/>
      <c r="B119" s="13"/>
      <c r="C119" s="13"/>
      <c r="D119" s="13"/>
      <c r="E119" s="97"/>
      <c r="F119" s="213"/>
      <c r="G119" s="213"/>
      <c r="H119" s="213"/>
      <c r="I119" s="213"/>
      <c r="J119" s="213"/>
      <c r="K119" s="213"/>
      <c r="L119" s="213"/>
      <c r="M119" s="213"/>
      <c r="N119" s="213"/>
      <c r="O119" s="213"/>
      <c r="P119" s="213"/>
      <c r="Q119" s="213"/>
      <c r="R119" s="213"/>
      <c r="S119" s="213"/>
      <c r="T119" s="213"/>
      <c r="U119" s="213"/>
      <c r="V119" s="213"/>
      <c r="W119" s="213"/>
      <c r="X119" s="213"/>
      <c r="Y119" s="213"/>
      <c r="Z119" s="213"/>
      <c r="AA119" s="213"/>
    </row>
    <row r="120" spans="1:27" x14ac:dyDescent="0.2">
      <c r="A120" s="13"/>
      <c r="B120" s="13"/>
      <c r="C120" s="13"/>
      <c r="D120" s="13"/>
      <c r="E120" s="97"/>
      <c r="F120" s="213"/>
      <c r="G120" s="213"/>
      <c r="H120" s="213"/>
      <c r="I120" s="213"/>
      <c r="J120" s="213"/>
      <c r="K120" s="213"/>
      <c r="L120" s="213"/>
      <c r="M120" s="213"/>
      <c r="N120" s="213"/>
      <c r="O120" s="213"/>
      <c r="P120" s="213"/>
      <c r="Q120" s="213"/>
      <c r="R120" s="213"/>
      <c r="S120" s="213"/>
      <c r="T120" s="213"/>
      <c r="U120" s="213"/>
      <c r="V120" s="213"/>
      <c r="W120" s="213"/>
      <c r="X120" s="213"/>
      <c r="Y120" s="213"/>
      <c r="Z120" s="213"/>
      <c r="AA120" s="213"/>
    </row>
    <row r="121" spans="1:27" x14ac:dyDescent="0.2">
      <c r="A121" s="13"/>
      <c r="B121" s="13"/>
      <c r="C121" s="13"/>
      <c r="D121" s="13"/>
      <c r="E121" s="97"/>
      <c r="F121" s="213"/>
      <c r="G121" s="213"/>
      <c r="H121" s="213"/>
      <c r="I121" s="213"/>
      <c r="J121" s="213"/>
      <c r="K121" s="213"/>
      <c r="L121" s="213"/>
      <c r="M121" s="213"/>
      <c r="N121" s="213"/>
      <c r="O121" s="213"/>
      <c r="P121" s="213"/>
      <c r="Q121" s="213"/>
      <c r="R121" s="213"/>
      <c r="S121" s="213"/>
      <c r="T121" s="213"/>
      <c r="U121" s="213"/>
      <c r="V121" s="213"/>
      <c r="W121" s="213"/>
      <c r="X121" s="213"/>
      <c r="Y121" s="213"/>
      <c r="Z121" s="213"/>
      <c r="AA121" s="213"/>
    </row>
    <row r="122" spans="1:27" x14ac:dyDescent="0.2">
      <c r="A122" s="13"/>
      <c r="B122" s="13"/>
      <c r="C122" s="13"/>
      <c r="D122" s="13"/>
      <c r="E122" s="97"/>
      <c r="F122" s="213"/>
      <c r="G122" s="213"/>
      <c r="H122" s="213"/>
      <c r="I122" s="213"/>
      <c r="J122" s="213"/>
      <c r="K122" s="213"/>
      <c r="L122" s="213"/>
      <c r="M122" s="213"/>
      <c r="N122" s="213"/>
      <c r="O122" s="213"/>
      <c r="P122" s="213"/>
      <c r="Q122" s="213"/>
      <c r="R122" s="213"/>
      <c r="S122" s="213"/>
      <c r="T122" s="213"/>
      <c r="U122" s="213"/>
      <c r="V122" s="213"/>
      <c r="W122" s="213"/>
      <c r="X122" s="213"/>
      <c r="Y122" s="213"/>
      <c r="Z122" s="213"/>
      <c r="AA122" s="213"/>
    </row>
    <row r="123" spans="1:27" x14ac:dyDescent="0.2">
      <c r="A123" s="13"/>
      <c r="B123" s="13"/>
      <c r="C123" s="13"/>
      <c r="D123" s="13"/>
      <c r="E123" s="97"/>
      <c r="F123" s="213"/>
      <c r="G123" s="213"/>
      <c r="H123" s="213"/>
      <c r="I123" s="213"/>
      <c r="J123" s="213"/>
      <c r="K123" s="213"/>
      <c r="L123" s="213"/>
      <c r="M123" s="213"/>
      <c r="N123" s="213"/>
      <c r="O123" s="213"/>
      <c r="P123" s="213"/>
      <c r="Q123" s="213"/>
      <c r="R123" s="213"/>
      <c r="S123" s="213"/>
      <c r="T123" s="213"/>
      <c r="U123" s="213"/>
      <c r="V123" s="213"/>
      <c r="W123" s="213"/>
      <c r="X123" s="213"/>
      <c r="Y123" s="213"/>
      <c r="Z123" s="213"/>
      <c r="AA123" s="213"/>
    </row>
    <row r="124" spans="1:27" x14ac:dyDescent="0.2">
      <c r="A124" s="13"/>
      <c r="B124" s="13"/>
      <c r="C124" s="13"/>
      <c r="D124" s="13"/>
      <c r="E124" s="97"/>
      <c r="F124" s="213"/>
      <c r="G124" s="213"/>
      <c r="H124" s="213"/>
      <c r="I124" s="213"/>
      <c r="J124" s="213"/>
      <c r="K124" s="213"/>
      <c r="L124" s="213"/>
      <c r="M124" s="213"/>
      <c r="N124" s="213"/>
      <c r="O124" s="213"/>
      <c r="P124" s="213"/>
      <c r="Q124" s="213"/>
      <c r="R124" s="213"/>
      <c r="S124" s="213"/>
      <c r="T124" s="213"/>
      <c r="U124" s="213"/>
      <c r="V124" s="213"/>
      <c r="W124" s="213"/>
      <c r="X124" s="213"/>
      <c r="Y124" s="213"/>
      <c r="Z124" s="213"/>
      <c r="AA124" s="213"/>
    </row>
    <row r="125" spans="1:27" x14ac:dyDescent="0.2">
      <c r="A125" s="13"/>
      <c r="B125" s="13"/>
      <c r="C125" s="13"/>
      <c r="D125" s="13"/>
      <c r="E125" s="97"/>
      <c r="F125" s="213"/>
      <c r="G125" s="213"/>
      <c r="H125" s="213"/>
      <c r="I125" s="213"/>
      <c r="J125" s="213"/>
      <c r="K125" s="213"/>
      <c r="L125" s="213"/>
      <c r="M125" s="213"/>
      <c r="N125" s="213"/>
      <c r="O125" s="213"/>
      <c r="P125" s="213"/>
      <c r="Q125" s="213"/>
      <c r="R125" s="213"/>
      <c r="S125" s="213"/>
      <c r="T125" s="213"/>
      <c r="U125" s="213"/>
      <c r="V125" s="213"/>
      <c r="W125" s="213"/>
      <c r="X125" s="213"/>
      <c r="Y125" s="213"/>
      <c r="Z125" s="213"/>
      <c r="AA125" s="213"/>
    </row>
    <row r="126" spans="1:27" x14ac:dyDescent="0.2">
      <c r="A126" s="13"/>
      <c r="B126" s="13"/>
      <c r="C126" s="13"/>
      <c r="D126" s="13"/>
      <c r="E126" s="97"/>
      <c r="F126" s="213"/>
      <c r="G126" s="213"/>
      <c r="H126" s="213"/>
      <c r="I126" s="213"/>
      <c r="J126" s="213"/>
      <c r="K126" s="213"/>
      <c r="L126" s="213"/>
      <c r="M126" s="213"/>
      <c r="N126" s="213"/>
      <c r="O126" s="213"/>
      <c r="P126" s="213"/>
      <c r="Q126" s="213"/>
      <c r="R126" s="213"/>
      <c r="S126" s="213"/>
      <c r="T126" s="213"/>
      <c r="U126" s="213"/>
      <c r="V126" s="213"/>
      <c r="W126" s="213"/>
      <c r="X126" s="213"/>
      <c r="Y126" s="213"/>
      <c r="Z126" s="213"/>
      <c r="AA126" s="213"/>
    </row>
    <row r="127" spans="1:27" x14ac:dyDescent="0.2">
      <c r="A127" s="13"/>
      <c r="B127" s="13"/>
      <c r="C127" s="13"/>
      <c r="D127" s="13"/>
      <c r="E127" s="97"/>
      <c r="F127" s="213"/>
      <c r="G127" s="213"/>
      <c r="H127" s="213"/>
      <c r="I127" s="213"/>
      <c r="J127" s="213"/>
      <c r="K127" s="213"/>
      <c r="L127" s="213"/>
      <c r="M127" s="213"/>
      <c r="N127" s="213"/>
      <c r="O127" s="213"/>
      <c r="P127" s="213"/>
      <c r="Q127" s="213"/>
      <c r="R127" s="213"/>
      <c r="S127" s="213"/>
      <c r="T127" s="213"/>
      <c r="U127" s="213"/>
      <c r="V127" s="213"/>
      <c r="W127" s="213"/>
      <c r="X127" s="213"/>
      <c r="Y127" s="213"/>
      <c r="Z127" s="213"/>
      <c r="AA127" s="213"/>
    </row>
    <row r="128" spans="1:27" x14ac:dyDescent="0.2">
      <c r="A128" s="13"/>
      <c r="B128" s="13"/>
      <c r="C128" s="13"/>
      <c r="D128" s="13"/>
      <c r="E128" s="97"/>
      <c r="F128" s="213"/>
      <c r="G128" s="213"/>
      <c r="H128" s="213"/>
      <c r="I128" s="213"/>
      <c r="J128" s="213"/>
      <c r="K128" s="213"/>
      <c r="L128" s="213"/>
      <c r="M128" s="213"/>
      <c r="N128" s="213"/>
      <c r="O128" s="213"/>
      <c r="P128" s="213"/>
      <c r="Q128" s="213"/>
      <c r="R128" s="213"/>
      <c r="S128" s="213"/>
      <c r="T128" s="213"/>
      <c r="U128" s="213"/>
      <c r="V128" s="213"/>
      <c r="W128" s="213"/>
      <c r="X128" s="213"/>
      <c r="Y128" s="213"/>
      <c r="Z128" s="213"/>
      <c r="AA128" s="213"/>
    </row>
    <row r="129" spans="1:27" x14ac:dyDescent="0.2">
      <c r="A129" s="13"/>
      <c r="B129" s="13"/>
      <c r="C129" s="13"/>
      <c r="D129" s="13"/>
      <c r="E129" s="97"/>
      <c r="F129" s="213"/>
      <c r="G129" s="213"/>
      <c r="H129" s="213"/>
      <c r="I129" s="213"/>
      <c r="J129" s="213"/>
      <c r="K129" s="213"/>
      <c r="L129" s="213"/>
      <c r="M129" s="213"/>
      <c r="N129" s="213"/>
      <c r="O129" s="213"/>
      <c r="P129" s="213"/>
      <c r="Q129" s="213"/>
      <c r="R129" s="213"/>
      <c r="S129" s="213"/>
      <c r="T129" s="213"/>
      <c r="U129" s="213"/>
      <c r="V129" s="213"/>
      <c r="W129" s="213"/>
      <c r="X129" s="213"/>
      <c r="Y129" s="213"/>
      <c r="Z129" s="213"/>
      <c r="AA129" s="213"/>
    </row>
    <row r="130" spans="1:27" x14ac:dyDescent="0.2">
      <c r="A130" s="13"/>
      <c r="B130" s="13"/>
      <c r="C130" s="13"/>
      <c r="D130" s="13"/>
      <c r="E130" s="97"/>
      <c r="F130" s="213"/>
      <c r="G130" s="213"/>
      <c r="H130" s="213"/>
      <c r="I130" s="213"/>
      <c r="J130" s="213"/>
      <c r="K130" s="213"/>
      <c r="L130" s="213"/>
      <c r="M130" s="213"/>
      <c r="N130" s="213"/>
      <c r="O130" s="213"/>
      <c r="P130" s="213"/>
      <c r="Q130" s="213"/>
      <c r="R130" s="213"/>
      <c r="S130" s="213"/>
      <c r="T130" s="213"/>
      <c r="U130" s="213"/>
      <c r="V130" s="213"/>
      <c r="W130" s="213"/>
      <c r="X130" s="213"/>
      <c r="Y130" s="213"/>
      <c r="Z130" s="213"/>
      <c r="AA130" s="213"/>
    </row>
    <row r="131" spans="1:27" x14ac:dyDescent="0.2">
      <c r="A131" s="13"/>
      <c r="B131" s="13"/>
      <c r="C131" s="13"/>
      <c r="D131" s="13"/>
      <c r="E131" s="97"/>
      <c r="F131" s="213"/>
      <c r="G131" s="213"/>
      <c r="H131" s="213"/>
      <c r="I131" s="213"/>
      <c r="J131" s="213"/>
      <c r="K131" s="213"/>
      <c r="L131" s="213"/>
      <c r="M131" s="213"/>
      <c r="N131" s="213"/>
      <c r="O131" s="213"/>
      <c r="P131" s="213"/>
      <c r="Q131" s="213"/>
      <c r="R131" s="213"/>
      <c r="S131" s="213"/>
      <c r="T131" s="213"/>
      <c r="U131" s="213"/>
      <c r="V131" s="213"/>
      <c r="W131" s="213"/>
      <c r="X131" s="213"/>
      <c r="Y131" s="213"/>
      <c r="Z131" s="213"/>
      <c r="AA131" s="213"/>
    </row>
    <row r="132" spans="1:27" x14ac:dyDescent="0.2">
      <c r="A132" s="13"/>
      <c r="B132" s="13"/>
      <c r="C132" s="13"/>
      <c r="D132" s="13"/>
      <c r="E132" s="97"/>
      <c r="F132" s="213"/>
      <c r="G132" s="213"/>
      <c r="H132" s="213"/>
      <c r="I132" s="213"/>
      <c r="J132" s="213"/>
      <c r="K132" s="213"/>
      <c r="L132" s="213"/>
      <c r="M132" s="213"/>
      <c r="N132" s="213"/>
      <c r="O132" s="213"/>
      <c r="P132" s="213"/>
      <c r="Q132" s="213"/>
      <c r="R132" s="213"/>
      <c r="S132" s="213"/>
      <c r="T132" s="213"/>
      <c r="U132" s="213"/>
      <c r="V132" s="213"/>
      <c r="W132" s="213"/>
      <c r="X132" s="213"/>
      <c r="Y132" s="213"/>
      <c r="Z132" s="213"/>
      <c r="AA132" s="213"/>
    </row>
    <row r="133" spans="1:27" x14ac:dyDescent="0.2">
      <c r="A133" s="13"/>
      <c r="B133" s="13"/>
      <c r="C133" s="13"/>
      <c r="D133" s="13"/>
      <c r="E133" s="97"/>
      <c r="F133" s="213"/>
      <c r="G133" s="213"/>
      <c r="H133" s="213"/>
      <c r="I133" s="213"/>
      <c r="J133" s="213"/>
      <c r="K133" s="213"/>
      <c r="L133" s="213"/>
      <c r="M133" s="213"/>
      <c r="N133" s="213"/>
      <c r="O133" s="213"/>
      <c r="P133" s="213"/>
      <c r="Q133" s="213"/>
      <c r="R133" s="213"/>
      <c r="S133" s="213"/>
      <c r="T133" s="213"/>
      <c r="U133" s="213"/>
      <c r="V133" s="213"/>
      <c r="W133" s="213"/>
      <c r="X133" s="213"/>
      <c r="Y133" s="213"/>
      <c r="Z133" s="213"/>
      <c r="AA133" s="213"/>
    </row>
    <row r="134" spans="1:27" x14ac:dyDescent="0.2">
      <c r="A134" s="13"/>
      <c r="B134" s="13"/>
      <c r="C134" s="13"/>
      <c r="D134" s="13"/>
      <c r="E134" s="97"/>
      <c r="F134" s="213"/>
      <c r="G134" s="213"/>
      <c r="H134" s="213"/>
      <c r="I134" s="213"/>
      <c r="J134" s="213"/>
      <c r="K134" s="213"/>
      <c r="L134" s="213"/>
      <c r="M134" s="213"/>
      <c r="N134" s="213"/>
      <c r="O134" s="213"/>
      <c r="P134" s="213"/>
      <c r="Q134" s="213"/>
      <c r="R134" s="213"/>
      <c r="S134" s="213"/>
      <c r="T134" s="213"/>
      <c r="U134" s="213"/>
      <c r="V134" s="213"/>
      <c r="W134" s="213"/>
      <c r="X134" s="213"/>
      <c r="Y134" s="213"/>
      <c r="Z134" s="213"/>
      <c r="AA134" s="213"/>
    </row>
    <row r="135" spans="1:27" x14ac:dyDescent="0.2">
      <c r="A135" s="13"/>
      <c r="B135" s="13"/>
      <c r="C135" s="13"/>
      <c r="D135" s="13"/>
      <c r="E135" s="97"/>
      <c r="F135" s="213"/>
      <c r="G135" s="213"/>
      <c r="H135" s="213"/>
      <c r="I135" s="213"/>
      <c r="J135" s="213"/>
      <c r="K135" s="213"/>
      <c r="L135" s="213"/>
      <c r="M135" s="213"/>
      <c r="N135" s="213"/>
      <c r="O135" s="213"/>
      <c r="P135" s="213"/>
      <c r="Q135" s="213"/>
      <c r="R135" s="213"/>
      <c r="S135" s="213"/>
      <c r="T135" s="213"/>
      <c r="U135" s="213"/>
      <c r="V135" s="213"/>
      <c r="W135" s="213"/>
      <c r="X135" s="213"/>
      <c r="Y135" s="213"/>
      <c r="Z135" s="213"/>
      <c r="AA135" s="213"/>
    </row>
    <row r="136" spans="1:27" x14ac:dyDescent="0.2">
      <c r="A136" s="13"/>
      <c r="B136" s="13"/>
      <c r="C136" s="13"/>
      <c r="D136" s="13"/>
      <c r="E136" s="97"/>
      <c r="F136" s="213"/>
      <c r="G136" s="213"/>
      <c r="H136" s="213"/>
      <c r="I136" s="213"/>
      <c r="J136" s="213"/>
      <c r="K136" s="213"/>
      <c r="L136" s="213"/>
      <c r="M136" s="213"/>
      <c r="N136" s="213"/>
      <c r="O136" s="213"/>
      <c r="P136" s="213"/>
      <c r="Q136" s="213"/>
      <c r="R136" s="213"/>
      <c r="S136" s="213"/>
      <c r="T136" s="213"/>
      <c r="U136" s="213"/>
      <c r="V136" s="213"/>
      <c r="W136" s="213"/>
      <c r="X136" s="213"/>
      <c r="Y136" s="213"/>
      <c r="Z136" s="213"/>
      <c r="AA136" s="213"/>
    </row>
    <row r="137" spans="1:27" x14ac:dyDescent="0.2">
      <c r="A137" s="13"/>
      <c r="B137" s="13"/>
      <c r="C137" s="13"/>
      <c r="D137" s="13"/>
      <c r="E137" s="97"/>
      <c r="F137" s="213"/>
      <c r="G137" s="213"/>
      <c r="H137" s="213"/>
      <c r="I137" s="213"/>
      <c r="J137" s="213"/>
      <c r="K137" s="213"/>
      <c r="L137" s="213"/>
      <c r="M137" s="213"/>
      <c r="N137" s="213"/>
      <c r="O137" s="213"/>
      <c r="P137" s="213"/>
      <c r="Q137" s="213"/>
      <c r="R137" s="213"/>
      <c r="S137" s="213"/>
      <c r="T137" s="213"/>
      <c r="U137" s="213"/>
      <c r="V137" s="213"/>
      <c r="W137" s="213"/>
      <c r="X137" s="213"/>
      <c r="Y137" s="213"/>
      <c r="Z137" s="213"/>
      <c r="AA137" s="213"/>
    </row>
    <row r="138" spans="1:27" x14ac:dyDescent="0.2">
      <c r="A138" s="13"/>
      <c r="B138" s="13"/>
      <c r="C138" s="13"/>
      <c r="D138" s="13"/>
      <c r="E138" s="97"/>
      <c r="F138" s="213"/>
      <c r="G138" s="213"/>
      <c r="H138" s="213"/>
      <c r="I138" s="213"/>
      <c r="J138" s="213"/>
      <c r="K138" s="213"/>
      <c r="L138" s="213"/>
      <c r="M138" s="213"/>
      <c r="N138" s="213"/>
      <c r="O138" s="213"/>
      <c r="P138" s="213"/>
      <c r="Q138" s="213"/>
      <c r="R138" s="213"/>
      <c r="S138" s="213"/>
      <c r="T138" s="213"/>
      <c r="U138" s="213"/>
      <c r="V138" s="213"/>
      <c r="W138" s="213"/>
      <c r="X138" s="213"/>
      <c r="Y138" s="213"/>
      <c r="Z138" s="213"/>
      <c r="AA138" s="213"/>
    </row>
    <row r="139" spans="1:27" x14ac:dyDescent="0.2">
      <c r="A139" s="13"/>
      <c r="B139" s="13"/>
      <c r="C139" s="13"/>
      <c r="D139" s="13"/>
      <c r="E139" s="97"/>
      <c r="F139" s="213"/>
      <c r="G139" s="213"/>
      <c r="H139" s="213"/>
      <c r="I139" s="213"/>
      <c r="J139" s="213"/>
      <c r="K139" s="213"/>
      <c r="L139" s="213"/>
      <c r="M139" s="213"/>
      <c r="N139" s="213"/>
      <c r="O139" s="213"/>
      <c r="P139" s="213"/>
      <c r="Q139" s="213"/>
      <c r="R139" s="213"/>
      <c r="S139" s="213"/>
      <c r="T139" s="213"/>
      <c r="U139" s="213"/>
      <c r="V139" s="213"/>
      <c r="W139" s="213"/>
      <c r="X139" s="213"/>
      <c r="Y139" s="213"/>
      <c r="Z139" s="213"/>
      <c r="AA139" s="213"/>
    </row>
    <row r="140" spans="1:27" x14ac:dyDescent="0.2">
      <c r="A140" s="13"/>
      <c r="B140" s="13"/>
      <c r="C140" s="13"/>
      <c r="D140" s="13"/>
      <c r="E140" s="97"/>
      <c r="F140" s="213"/>
      <c r="G140" s="213"/>
      <c r="H140" s="213"/>
      <c r="I140" s="213"/>
      <c r="J140" s="213"/>
      <c r="K140" s="213"/>
      <c r="L140" s="213"/>
      <c r="M140" s="213"/>
      <c r="N140" s="213"/>
      <c r="O140" s="213"/>
      <c r="P140" s="213"/>
      <c r="Q140" s="213"/>
      <c r="R140" s="213"/>
      <c r="S140" s="213"/>
      <c r="T140" s="213"/>
      <c r="U140" s="213"/>
      <c r="V140" s="213"/>
      <c r="W140" s="213"/>
      <c r="X140" s="213"/>
      <c r="Y140" s="213"/>
      <c r="Z140" s="213"/>
      <c r="AA140" s="213"/>
    </row>
    <row r="141" spans="1:27" x14ac:dyDescent="0.2">
      <c r="A141" s="13"/>
      <c r="B141" s="13"/>
      <c r="C141" s="13"/>
      <c r="D141" s="13"/>
      <c r="E141" s="97"/>
      <c r="F141" s="213"/>
      <c r="G141" s="213"/>
      <c r="H141" s="213"/>
      <c r="I141" s="213"/>
      <c r="J141" s="213"/>
      <c r="K141" s="213"/>
      <c r="L141" s="213"/>
      <c r="M141" s="213"/>
      <c r="N141" s="213"/>
      <c r="O141" s="213"/>
      <c r="P141" s="213"/>
      <c r="Q141" s="213"/>
      <c r="R141" s="213"/>
      <c r="S141" s="213"/>
      <c r="T141" s="213"/>
      <c r="U141" s="213"/>
      <c r="V141" s="213"/>
      <c r="W141" s="213"/>
      <c r="X141" s="213"/>
      <c r="Y141" s="213"/>
      <c r="Z141" s="213"/>
      <c r="AA141" s="213"/>
    </row>
    <row r="142" spans="1:27" x14ac:dyDescent="0.2">
      <c r="A142" s="13"/>
      <c r="B142" s="13"/>
      <c r="C142" s="13"/>
      <c r="D142" s="13"/>
      <c r="E142" s="97"/>
      <c r="F142" s="213"/>
      <c r="G142" s="213"/>
      <c r="H142" s="213"/>
      <c r="I142" s="213"/>
      <c r="J142" s="213"/>
      <c r="K142" s="213"/>
      <c r="L142" s="213"/>
      <c r="M142" s="213"/>
      <c r="N142" s="213"/>
      <c r="O142" s="213"/>
      <c r="P142" s="213"/>
      <c r="Q142" s="213"/>
      <c r="R142" s="213"/>
      <c r="S142" s="213"/>
      <c r="T142" s="213"/>
      <c r="U142" s="213"/>
      <c r="V142" s="213"/>
      <c r="W142" s="213"/>
      <c r="X142" s="213"/>
      <c r="Y142" s="213"/>
      <c r="Z142" s="213"/>
      <c r="AA142" s="213"/>
    </row>
    <row r="143" spans="1:27" x14ac:dyDescent="0.2">
      <c r="A143" s="13"/>
      <c r="B143" s="13"/>
      <c r="C143" s="13"/>
      <c r="D143" s="13"/>
      <c r="E143" s="97"/>
      <c r="F143" s="213"/>
      <c r="G143" s="213"/>
      <c r="H143" s="213"/>
      <c r="I143" s="213"/>
      <c r="J143" s="213"/>
      <c r="K143" s="213"/>
      <c r="L143" s="213"/>
      <c r="M143" s="213"/>
      <c r="N143" s="213"/>
      <c r="O143" s="213"/>
      <c r="P143" s="213"/>
      <c r="Q143" s="213"/>
      <c r="R143" s="213"/>
      <c r="S143" s="213"/>
      <c r="T143" s="213"/>
      <c r="U143" s="213"/>
      <c r="V143" s="213"/>
      <c r="W143" s="213"/>
      <c r="X143" s="213"/>
      <c r="Y143" s="213"/>
      <c r="Z143" s="213"/>
      <c r="AA143" s="213"/>
    </row>
    <row r="144" spans="1:27" x14ac:dyDescent="0.2">
      <c r="A144" s="13"/>
      <c r="B144" s="13"/>
      <c r="C144" s="13"/>
      <c r="D144" s="13"/>
      <c r="E144" s="97"/>
      <c r="F144" s="213"/>
      <c r="G144" s="213"/>
      <c r="H144" s="213"/>
      <c r="I144" s="213"/>
      <c r="J144" s="213"/>
      <c r="K144" s="213"/>
      <c r="L144" s="213"/>
      <c r="M144" s="213"/>
      <c r="N144" s="213"/>
      <c r="O144" s="213"/>
      <c r="P144" s="213"/>
      <c r="Q144" s="213"/>
      <c r="R144" s="213"/>
      <c r="S144" s="213"/>
      <c r="T144" s="213"/>
      <c r="U144" s="213"/>
      <c r="V144" s="213"/>
      <c r="W144" s="213"/>
      <c r="X144" s="213"/>
      <c r="Y144" s="213"/>
      <c r="Z144" s="213"/>
      <c r="AA144" s="213"/>
    </row>
    <row r="145" spans="1:27" x14ac:dyDescent="0.2">
      <c r="A145" s="13"/>
      <c r="B145" s="13"/>
      <c r="C145" s="13"/>
      <c r="D145" s="13"/>
      <c r="E145" s="97"/>
      <c r="F145" s="213"/>
      <c r="G145" s="213"/>
      <c r="H145" s="213"/>
      <c r="I145" s="213"/>
      <c r="J145" s="213"/>
      <c r="K145" s="213"/>
      <c r="L145" s="213"/>
      <c r="M145" s="213"/>
      <c r="N145" s="213"/>
      <c r="O145" s="213"/>
      <c r="P145" s="213"/>
      <c r="Q145" s="213"/>
      <c r="R145" s="213"/>
      <c r="S145" s="213"/>
      <c r="T145" s="213"/>
      <c r="U145" s="213"/>
      <c r="V145" s="213"/>
      <c r="W145" s="213"/>
      <c r="X145" s="213"/>
      <c r="Y145" s="213"/>
      <c r="Z145" s="213"/>
      <c r="AA145" s="213"/>
    </row>
    <row r="146" spans="1:27" x14ac:dyDescent="0.2">
      <c r="A146" s="13"/>
      <c r="B146" s="13"/>
      <c r="C146" s="13"/>
      <c r="D146" s="13"/>
      <c r="E146" s="97"/>
      <c r="F146" s="213"/>
      <c r="G146" s="213"/>
      <c r="H146" s="213"/>
      <c r="I146" s="213"/>
      <c r="J146" s="213"/>
      <c r="K146" s="213"/>
      <c r="L146" s="213"/>
      <c r="M146" s="213"/>
      <c r="N146" s="213"/>
      <c r="O146" s="213"/>
      <c r="P146" s="213"/>
      <c r="Q146" s="213"/>
      <c r="R146" s="213"/>
      <c r="S146" s="213"/>
      <c r="T146" s="213"/>
      <c r="U146" s="213"/>
      <c r="V146" s="213"/>
      <c r="W146" s="213"/>
      <c r="X146" s="213"/>
      <c r="Y146" s="213"/>
      <c r="Z146" s="213"/>
      <c r="AA146" s="213"/>
    </row>
    <row r="147" spans="1:27" x14ac:dyDescent="0.2">
      <c r="A147" s="13"/>
      <c r="B147" s="13"/>
      <c r="C147" s="13"/>
      <c r="D147" s="13"/>
      <c r="E147" s="97"/>
      <c r="F147" s="213"/>
      <c r="G147" s="213"/>
      <c r="H147" s="213"/>
      <c r="I147" s="213"/>
      <c r="J147" s="213"/>
      <c r="K147" s="213"/>
      <c r="L147" s="213"/>
      <c r="M147" s="213"/>
      <c r="N147" s="213"/>
      <c r="O147" s="213"/>
      <c r="P147" s="213"/>
      <c r="Q147" s="213"/>
      <c r="R147" s="213"/>
      <c r="S147" s="213"/>
      <c r="T147" s="213"/>
      <c r="U147" s="213"/>
      <c r="V147" s="213"/>
      <c r="W147" s="213"/>
      <c r="X147" s="213"/>
      <c r="Y147" s="213"/>
      <c r="Z147" s="213"/>
      <c r="AA147" s="213"/>
    </row>
    <row r="148" spans="1:27" x14ac:dyDescent="0.2">
      <c r="A148" s="13"/>
      <c r="B148" s="13"/>
      <c r="C148" s="13"/>
      <c r="D148" s="13"/>
      <c r="E148" s="97"/>
      <c r="F148" s="213"/>
      <c r="G148" s="213"/>
      <c r="H148" s="213"/>
      <c r="I148" s="213"/>
      <c r="J148" s="213"/>
      <c r="K148" s="213"/>
      <c r="L148" s="213"/>
      <c r="M148" s="213"/>
      <c r="N148" s="213"/>
      <c r="O148" s="213"/>
      <c r="P148" s="213"/>
      <c r="Q148" s="213"/>
      <c r="R148" s="213"/>
      <c r="S148" s="213"/>
      <c r="T148" s="213"/>
      <c r="U148" s="213"/>
      <c r="V148" s="213"/>
      <c r="W148" s="213"/>
      <c r="X148" s="213"/>
      <c r="Y148" s="213"/>
      <c r="Z148" s="213"/>
      <c r="AA148" s="213"/>
    </row>
    <row r="149" spans="1:27" x14ac:dyDescent="0.2">
      <c r="A149" s="13"/>
      <c r="B149" s="13"/>
      <c r="C149" s="13"/>
      <c r="D149" s="13"/>
      <c r="E149" s="97"/>
      <c r="F149" s="213"/>
      <c r="G149" s="213"/>
      <c r="H149" s="213"/>
      <c r="I149" s="213"/>
      <c r="J149" s="213"/>
      <c r="K149" s="213"/>
      <c r="L149" s="213"/>
      <c r="M149" s="213"/>
      <c r="N149" s="213"/>
      <c r="O149" s="213"/>
      <c r="P149" s="213"/>
      <c r="Q149" s="213"/>
      <c r="R149" s="213"/>
      <c r="S149" s="213"/>
      <c r="T149" s="213"/>
      <c r="U149" s="213"/>
      <c r="V149" s="213"/>
      <c r="W149" s="213"/>
      <c r="X149" s="213"/>
      <c r="Y149" s="213"/>
      <c r="Z149" s="213"/>
      <c r="AA149" s="213"/>
    </row>
    <row r="150" spans="1:27" x14ac:dyDescent="0.2">
      <c r="A150" s="13"/>
      <c r="B150" s="13"/>
      <c r="C150" s="13"/>
      <c r="D150" s="13"/>
      <c r="E150" s="97"/>
      <c r="F150" s="213"/>
      <c r="G150" s="213"/>
      <c r="H150" s="213"/>
      <c r="I150" s="213"/>
      <c r="J150" s="213"/>
      <c r="K150" s="213"/>
      <c r="L150" s="213"/>
      <c r="M150" s="213"/>
      <c r="N150" s="213"/>
      <c r="O150" s="213"/>
      <c r="P150" s="213"/>
      <c r="Q150" s="213"/>
      <c r="R150" s="213"/>
      <c r="S150" s="213"/>
      <c r="T150" s="213"/>
      <c r="U150" s="213"/>
      <c r="V150" s="213"/>
      <c r="W150" s="213"/>
      <c r="X150" s="213"/>
      <c r="Y150" s="213"/>
      <c r="Z150" s="213"/>
      <c r="AA150" s="213"/>
    </row>
    <row r="151" spans="1:27" x14ac:dyDescent="0.2">
      <c r="A151" s="13"/>
      <c r="B151" s="13"/>
      <c r="C151" s="13"/>
      <c r="D151" s="13"/>
      <c r="E151" s="97"/>
      <c r="F151" s="213"/>
      <c r="G151" s="213"/>
      <c r="H151" s="213"/>
      <c r="I151" s="213"/>
      <c r="J151" s="213"/>
      <c r="K151" s="213"/>
      <c r="L151" s="213"/>
      <c r="M151" s="213"/>
      <c r="N151" s="213"/>
      <c r="O151" s="213"/>
      <c r="P151" s="213"/>
      <c r="Q151" s="213"/>
      <c r="R151" s="213"/>
      <c r="S151" s="213"/>
      <c r="T151" s="213"/>
      <c r="U151" s="213"/>
      <c r="V151" s="213"/>
      <c r="W151" s="213"/>
      <c r="X151" s="213"/>
      <c r="Y151" s="213"/>
      <c r="Z151" s="213"/>
      <c r="AA151" s="213"/>
    </row>
    <row r="152" spans="1:27" x14ac:dyDescent="0.2">
      <c r="A152" s="13"/>
      <c r="B152" s="13"/>
      <c r="C152" s="13"/>
      <c r="D152" s="13"/>
      <c r="E152" s="97"/>
      <c r="F152" s="213"/>
      <c r="G152" s="213"/>
      <c r="H152" s="213"/>
      <c r="I152" s="213"/>
      <c r="J152" s="213"/>
      <c r="K152" s="213"/>
      <c r="L152" s="213"/>
      <c r="M152" s="213"/>
      <c r="N152" s="213"/>
      <c r="O152" s="213"/>
      <c r="P152" s="213"/>
      <c r="Q152" s="213"/>
      <c r="R152" s="213"/>
      <c r="S152" s="213"/>
      <c r="T152" s="213"/>
      <c r="U152" s="213"/>
      <c r="V152" s="213"/>
      <c r="W152" s="213"/>
      <c r="X152" s="213"/>
      <c r="Y152" s="213"/>
      <c r="Z152" s="213"/>
      <c r="AA152" s="213"/>
    </row>
    <row r="153" spans="1:27" x14ac:dyDescent="0.2">
      <c r="A153" s="13"/>
      <c r="B153" s="13"/>
      <c r="C153" s="13"/>
      <c r="D153" s="13"/>
      <c r="E153" s="97"/>
      <c r="F153" s="213"/>
      <c r="G153" s="213"/>
      <c r="H153" s="213"/>
      <c r="I153" s="213"/>
      <c r="J153" s="213"/>
      <c r="K153" s="213"/>
      <c r="L153" s="213"/>
      <c r="M153" s="213"/>
      <c r="N153" s="213"/>
      <c r="O153" s="213"/>
      <c r="P153" s="213"/>
      <c r="Q153" s="213"/>
      <c r="R153" s="213"/>
      <c r="S153" s="213"/>
      <c r="T153" s="213"/>
      <c r="U153" s="213"/>
      <c r="V153" s="213"/>
      <c r="W153" s="213"/>
      <c r="X153" s="213"/>
      <c r="Y153" s="213"/>
      <c r="Z153" s="213"/>
      <c r="AA153" s="213"/>
    </row>
    <row r="154" spans="1:27" x14ac:dyDescent="0.2">
      <c r="A154" s="13"/>
      <c r="B154" s="13"/>
      <c r="C154" s="13"/>
      <c r="D154" s="13"/>
      <c r="E154" s="97"/>
      <c r="F154" s="213"/>
      <c r="G154" s="213"/>
      <c r="H154" s="213"/>
      <c r="I154" s="213"/>
      <c r="J154" s="213"/>
      <c r="K154" s="213"/>
      <c r="L154" s="213"/>
      <c r="M154" s="213"/>
      <c r="N154" s="213"/>
      <c r="O154" s="213"/>
      <c r="P154" s="213"/>
      <c r="Q154" s="213"/>
      <c r="R154" s="213"/>
      <c r="S154" s="213"/>
      <c r="T154" s="213"/>
      <c r="U154" s="213"/>
      <c r="V154" s="213"/>
      <c r="W154" s="213"/>
      <c r="X154" s="213"/>
      <c r="Y154" s="213"/>
      <c r="Z154" s="213"/>
      <c r="AA154" s="213"/>
    </row>
    <row r="155" spans="1:27" x14ac:dyDescent="0.2">
      <c r="A155" s="13"/>
      <c r="B155" s="13"/>
      <c r="C155" s="13"/>
      <c r="D155" s="13"/>
      <c r="E155" s="97"/>
      <c r="F155" s="213"/>
      <c r="G155" s="213"/>
      <c r="H155" s="213"/>
      <c r="I155" s="213"/>
      <c r="J155" s="213"/>
      <c r="K155" s="213"/>
      <c r="L155" s="213"/>
      <c r="M155" s="213"/>
      <c r="N155" s="213"/>
      <c r="O155" s="213"/>
      <c r="P155" s="213"/>
      <c r="Q155" s="213"/>
      <c r="R155" s="213"/>
      <c r="S155" s="213"/>
      <c r="T155" s="213"/>
      <c r="U155" s="213"/>
      <c r="V155" s="213"/>
      <c r="W155" s="213"/>
      <c r="X155" s="213"/>
      <c r="Y155" s="213"/>
      <c r="Z155" s="213"/>
      <c r="AA155" s="213"/>
    </row>
    <row r="156" spans="1:27" x14ac:dyDescent="0.2">
      <c r="A156" s="13"/>
      <c r="B156" s="13"/>
      <c r="C156" s="13"/>
      <c r="D156" s="13"/>
      <c r="E156" s="97"/>
      <c r="F156" s="213"/>
      <c r="G156" s="213"/>
      <c r="H156" s="213"/>
      <c r="I156" s="213"/>
      <c r="J156" s="213"/>
      <c r="K156" s="213"/>
      <c r="L156" s="213"/>
      <c r="M156" s="213"/>
      <c r="N156" s="213"/>
      <c r="O156" s="213"/>
      <c r="P156" s="213"/>
      <c r="Q156" s="213"/>
      <c r="R156" s="213"/>
      <c r="S156" s="213"/>
      <c r="T156" s="213"/>
      <c r="U156" s="213"/>
      <c r="V156" s="213"/>
      <c r="W156" s="213"/>
      <c r="X156" s="213"/>
      <c r="Y156" s="213"/>
      <c r="Z156" s="213"/>
      <c r="AA156" s="213"/>
    </row>
    <row r="157" spans="1:27" x14ac:dyDescent="0.2">
      <c r="A157" s="13"/>
      <c r="B157" s="13"/>
      <c r="C157" s="13"/>
      <c r="D157" s="13"/>
      <c r="E157" s="97"/>
      <c r="F157" s="213"/>
      <c r="G157" s="213"/>
      <c r="H157" s="213"/>
      <c r="I157" s="213"/>
      <c r="J157" s="213"/>
      <c r="K157" s="213"/>
      <c r="L157" s="213"/>
      <c r="M157" s="213"/>
      <c r="N157" s="213"/>
      <c r="O157" s="213"/>
      <c r="P157" s="213"/>
      <c r="Q157" s="213"/>
      <c r="R157" s="213"/>
      <c r="S157" s="213"/>
      <c r="T157" s="213"/>
      <c r="U157" s="213"/>
      <c r="V157" s="213"/>
      <c r="W157" s="213"/>
      <c r="X157" s="213"/>
      <c r="Y157" s="213"/>
      <c r="Z157" s="213"/>
      <c r="AA157" s="213"/>
    </row>
    <row r="158" spans="1:27" x14ac:dyDescent="0.2">
      <c r="A158" s="13"/>
      <c r="B158" s="13"/>
      <c r="C158" s="13"/>
      <c r="D158" s="13"/>
      <c r="E158" s="97"/>
      <c r="F158" s="213"/>
      <c r="G158" s="213"/>
      <c r="H158" s="213"/>
      <c r="I158" s="213"/>
      <c r="J158" s="213"/>
      <c r="K158" s="213"/>
      <c r="L158" s="213"/>
      <c r="M158" s="213"/>
      <c r="N158" s="213"/>
      <c r="O158" s="213"/>
      <c r="P158" s="213"/>
      <c r="Q158" s="213"/>
      <c r="R158" s="213"/>
      <c r="S158" s="213"/>
      <c r="T158" s="213"/>
      <c r="U158" s="213"/>
      <c r="V158" s="213"/>
      <c r="W158" s="213"/>
      <c r="X158" s="213"/>
      <c r="Y158" s="213"/>
      <c r="Z158" s="213"/>
      <c r="AA158" s="213"/>
    </row>
    <row r="159" spans="1:27" x14ac:dyDescent="0.2">
      <c r="A159" s="13"/>
      <c r="B159" s="13"/>
      <c r="C159" s="13"/>
      <c r="D159" s="13"/>
      <c r="E159" s="97"/>
      <c r="F159" s="213"/>
      <c r="G159" s="213"/>
      <c r="H159" s="213"/>
      <c r="I159" s="213"/>
      <c r="J159" s="213"/>
      <c r="K159" s="213"/>
      <c r="L159" s="213"/>
      <c r="M159" s="213"/>
      <c r="N159" s="213"/>
      <c r="O159" s="213"/>
      <c r="P159" s="213"/>
      <c r="Q159" s="213"/>
      <c r="R159" s="213"/>
      <c r="S159" s="213"/>
      <c r="T159" s="213"/>
      <c r="U159" s="213"/>
      <c r="V159" s="213"/>
      <c r="W159" s="213"/>
      <c r="X159" s="213"/>
      <c r="Y159" s="213"/>
      <c r="Z159" s="213"/>
      <c r="AA159" s="213"/>
    </row>
    <row r="160" spans="1:27" x14ac:dyDescent="0.2">
      <c r="A160" s="13"/>
      <c r="B160" s="13"/>
      <c r="C160" s="13"/>
      <c r="D160" s="13"/>
      <c r="E160" s="97"/>
      <c r="F160" s="213"/>
      <c r="G160" s="213"/>
      <c r="H160" s="213"/>
      <c r="I160" s="213"/>
      <c r="J160" s="213"/>
      <c r="K160" s="213"/>
      <c r="L160" s="213"/>
      <c r="M160" s="213"/>
      <c r="N160" s="213"/>
      <c r="O160" s="213"/>
      <c r="P160" s="213"/>
      <c r="Q160" s="213"/>
      <c r="R160" s="213"/>
      <c r="S160" s="213"/>
      <c r="T160" s="213"/>
      <c r="U160" s="213"/>
      <c r="V160" s="213"/>
      <c r="W160" s="213"/>
      <c r="X160" s="213"/>
      <c r="Y160" s="213"/>
      <c r="Z160" s="213"/>
      <c r="AA160" s="213"/>
    </row>
    <row r="161" spans="1:27" x14ac:dyDescent="0.2">
      <c r="A161" s="13"/>
      <c r="B161" s="13"/>
      <c r="C161" s="13"/>
      <c r="D161" s="13"/>
      <c r="E161" s="97"/>
      <c r="F161" s="213"/>
      <c r="G161" s="213"/>
      <c r="H161" s="213"/>
      <c r="I161" s="213"/>
      <c r="J161" s="213"/>
      <c r="K161" s="213"/>
      <c r="L161" s="213"/>
      <c r="M161" s="213"/>
      <c r="N161" s="213"/>
      <c r="O161" s="213"/>
      <c r="P161" s="213"/>
      <c r="Q161" s="213"/>
      <c r="R161" s="213"/>
      <c r="S161" s="213"/>
      <c r="T161" s="213"/>
      <c r="U161" s="213"/>
      <c r="V161" s="213"/>
      <c r="W161" s="213"/>
      <c r="X161" s="213"/>
      <c r="Y161" s="213"/>
      <c r="Z161" s="213"/>
      <c r="AA161" s="213"/>
    </row>
    <row r="162" spans="1:27" x14ac:dyDescent="0.2">
      <c r="A162" s="13"/>
      <c r="B162" s="13"/>
      <c r="C162" s="13"/>
      <c r="D162" s="13"/>
      <c r="E162" s="97"/>
      <c r="F162" s="213"/>
      <c r="G162" s="213"/>
      <c r="H162" s="213"/>
      <c r="I162" s="213"/>
      <c r="J162" s="213"/>
      <c r="K162" s="213"/>
      <c r="L162" s="213"/>
      <c r="M162" s="213"/>
      <c r="N162" s="213"/>
      <c r="O162" s="213"/>
      <c r="P162" s="213"/>
      <c r="Q162" s="213"/>
      <c r="R162" s="213"/>
      <c r="S162" s="213"/>
      <c r="T162" s="213"/>
      <c r="U162" s="213"/>
      <c r="V162" s="213"/>
      <c r="W162" s="213"/>
      <c r="X162" s="213"/>
      <c r="Y162" s="213"/>
      <c r="Z162" s="213"/>
      <c r="AA162" s="213"/>
    </row>
    <row r="163" spans="1:27" x14ac:dyDescent="0.2">
      <c r="A163" s="13"/>
      <c r="B163" s="13"/>
      <c r="C163" s="13"/>
      <c r="D163" s="13"/>
      <c r="E163" s="97"/>
      <c r="F163" s="213"/>
      <c r="G163" s="213"/>
      <c r="H163" s="213"/>
      <c r="I163" s="213"/>
      <c r="J163" s="213"/>
      <c r="K163" s="213"/>
      <c r="L163" s="213"/>
      <c r="M163" s="213"/>
      <c r="N163" s="213"/>
      <c r="O163" s="213"/>
      <c r="P163" s="213"/>
      <c r="Q163" s="213"/>
      <c r="R163" s="213"/>
      <c r="S163" s="213"/>
      <c r="T163" s="213"/>
      <c r="U163" s="213"/>
      <c r="V163" s="213"/>
      <c r="W163" s="213"/>
      <c r="X163" s="213"/>
      <c r="Y163" s="213"/>
      <c r="Z163" s="213"/>
      <c r="AA163" s="213"/>
    </row>
    <row r="164" spans="1:27" x14ac:dyDescent="0.2">
      <c r="A164" s="13"/>
      <c r="B164" s="13"/>
      <c r="C164" s="13"/>
      <c r="D164" s="13"/>
      <c r="E164" s="97"/>
      <c r="F164" s="213"/>
      <c r="G164" s="213"/>
      <c r="H164" s="213"/>
      <c r="I164" s="213"/>
      <c r="J164" s="213"/>
      <c r="K164" s="213"/>
      <c r="L164" s="213"/>
      <c r="M164" s="213"/>
      <c r="N164" s="213"/>
      <c r="O164" s="213"/>
      <c r="P164" s="213"/>
      <c r="Q164" s="213"/>
      <c r="R164" s="213"/>
      <c r="S164" s="213"/>
      <c r="T164" s="213"/>
      <c r="U164" s="213"/>
      <c r="V164" s="213"/>
      <c r="W164" s="213"/>
      <c r="X164" s="213"/>
      <c r="Y164" s="213"/>
      <c r="Z164" s="213"/>
      <c r="AA164" s="213"/>
    </row>
    <row r="165" spans="1:27" x14ac:dyDescent="0.2">
      <c r="A165" s="13"/>
      <c r="B165" s="13"/>
      <c r="C165" s="13"/>
      <c r="D165" s="13"/>
      <c r="E165" s="97"/>
      <c r="F165" s="213"/>
      <c r="G165" s="213"/>
      <c r="H165" s="213"/>
      <c r="I165" s="213"/>
      <c r="J165" s="213"/>
      <c r="K165" s="213"/>
      <c r="L165" s="213"/>
      <c r="M165" s="213"/>
      <c r="N165" s="213"/>
      <c r="O165" s="213"/>
      <c r="P165" s="213"/>
      <c r="Q165" s="213"/>
      <c r="R165" s="213"/>
      <c r="S165" s="213"/>
      <c r="T165" s="213"/>
      <c r="U165" s="213"/>
      <c r="V165" s="213"/>
      <c r="W165" s="213"/>
      <c r="X165" s="213"/>
      <c r="Y165" s="213"/>
      <c r="Z165" s="213"/>
      <c r="AA165" s="213"/>
    </row>
    <row r="166" spans="1:27" x14ac:dyDescent="0.2">
      <c r="A166" s="13"/>
      <c r="B166" s="13"/>
      <c r="C166" s="13"/>
      <c r="D166" s="13"/>
      <c r="E166" s="97"/>
      <c r="F166" s="213"/>
      <c r="G166" s="213"/>
      <c r="H166" s="213"/>
      <c r="I166" s="213"/>
      <c r="J166" s="213"/>
      <c r="K166" s="213"/>
      <c r="L166" s="213"/>
      <c r="M166" s="213"/>
      <c r="N166" s="213"/>
      <c r="O166" s="213"/>
      <c r="P166" s="213"/>
      <c r="Q166" s="213"/>
      <c r="R166" s="213"/>
      <c r="S166" s="213"/>
      <c r="T166" s="213"/>
      <c r="U166" s="213"/>
      <c r="V166" s="213"/>
      <c r="W166" s="213"/>
      <c r="X166" s="213"/>
      <c r="Y166" s="213"/>
      <c r="Z166" s="213"/>
      <c r="AA166" s="213"/>
    </row>
    <row r="167" spans="1:27" x14ac:dyDescent="0.2">
      <c r="A167" s="13"/>
      <c r="B167" s="13"/>
      <c r="C167" s="13"/>
      <c r="D167" s="13"/>
      <c r="E167" s="97"/>
      <c r="F167" s="213"/>
      <c r="G167" s="213"/>
      <c r="H167" s="213"/>
      <c r="I167" s="213"/>
      <c r="J167" s="213"/>
      <c r="K167" s="213"/>
      <c r="L167" s="213"/>
      <c r="M167" s="213"/>
      <c r="N167" s="213"/>
      <c r="O167" s="213"/>
      <c r="P167" s="213"/>
      <c r="Q167" s="213"/>
      <c r="R167" s="213"/>
      <c r="S167" s="213"/>
      <c r="T167" s="213"/>
      <c r="U167" s="213"/>
      <c r="V167" s="213"/>
      <c r="W167" s="213"/>
      <c r="X167" s="213"/>
      <c r="Y167" s="213"/>
      <c r="Z167" s="213"/>
      <c r="AA167" s="213"/>
    </row>
    <row r="168" spans="1:27" x14ac:dyDescent="0.2">
      <c r="A168" s="13"/>
      <c r="B168" s="13"/>
      <c r="C168" s="13"/>
      <c r="D168" s="13"/>
      <c r="E168" s="97"/>
      <c r="F168" s="213"/>
      <c r="G168" s="213"/>
      <c r="H168" s="213"/>
      <c r="I168" s="213"/>
      <c r="J168" s="213"/>
      <c r="K168" s="213"/>
      <c r="L168" s="213"/>
      <c r="M168" s="213"/>
      <c r="N168" s="213"/>
      <c r="O168" s="213"/>
      <c r="P168" s="213"/>
      <c r="Q168" s="213"/>
      <c r="R168" s="213"/>
      <c r="S168" s="213"/>
      <c r="T168" s="213"/>
      <c r="U168" s="213"/>
      <c r="V168" s="213"/>
      <c r="W168" s="213"/>
      <c r="X168" s="213"/>
      <c r="Y168" s="213"/>
      <c r="Z168" s="213"/>
      <c r="AA168" s="213"/>
    </row>
    <row r="169" spans="1:27" x14ac:dyDescent="0.2">
      <c r="A169" s="13"/>
      <c r="B169" s="13"/>
      <c r="C169" s="13"/>
      <c r="D169" s="13"/>
      <c r="E169" s="97"/>
      <c r="F169" s="213"/>
      <c r="G169" s="213"/>
      <c r="H169" s="213"/>
      <c r="I169" s="213"/>
      <c r="J169" s="213"/>
      <c r="K169" s="213"/>
      <c r="L169" s="213"/>
      <c r="M169" s="213"/>
      <c r="N169" s="213"/>
      <c r="O169" s="213"/>
      <c r="P169" s="213"/>
      <c r="Q169" s="213"/>
      <c r="R169" s="213"/>
      <c r="S169" s="213"/>
      <c r="T169" s="213"/>
      <c r="U169" s="213"/>
      <c r="V169" s="213"/>
      <c r="W169" s="213"/>
      <c r="X169" s="213"/>
      <c r="Y169" s="213"/>
      <c r="Z169" s="213"/>
      <c r="AA169" s="213"/>
    </row>
    <row r="170" spans="1:27" x14ac:dyDescent="0.2">
      <c r="A170" s="13"/>
      <c r="B170" s="13"/>
      <c r="C170" s="13"/>
      <c r="D170" s="13"/>
      <c r="E170" s="97"/>
      <c r="F170" s="213"/>
      <c r="G170" s="213"/>
      <c r="H170" s="213"/>
      <c r="I170" s="213"/>
      <c r="J170" s="213"/>
      <c r="K170" s="213"/>
      <c r="L170" s="213"/>
      <c r="M170" s="213"/>
      <c r="N170" s="213"/>
      <c r="O170" s="213"/>
      <c r="P170" s="213"/>
      <c r="Q170" s="213"/>
      <c r="R170" s="213"/>
      <c r="S170" s="213"/>
      <c r="T170" s="213"/>
      <c r="U170" s="213"/>
      <c r="V170" s="213"/>
      <c r="W170" s="213"/>
      <c r="X170" s="213"/>
      <c r="Y170" s="213"/>
      <c r="Z170" s="213"/>
      <c r="AA170" s="213"/>
    </row>
    <row r="171" spans="1:27" x14ac:dyDescent="0.2">
      <c r="A171" s="13"/>
      <c r="B171" s="13"/>
      <c r="C171" s="13"/>
      <c r="D171" s="13"/>
      <c r="E171" s="97"/>
      <c r="F171" s="213"/>
      <c r="G171" s="213"/>
      <c r="H171" s="213"/>
      <c r="I171" s="213"/>
      <c r="J171" s="213"/>
      <c r="K171" s="213"/>
      <c r="L171" s="213"/>
      <c r="M171" s="213"/>
      <c r="N171" s="213"/>
      <c r="O171" s="213"/>
      <c r="P171" s="213"/>
      <c r="Q171" s="213"/>
      <c r="R171" s="213"/>
      <c r="S171" s="213"/>
      <c r="T171" s="213"/>
      <c r="U171" s="213"/>
      <c r="V171" s="213"/>
      <c r="W171" s="213"/>
      <c r="X171" s="213"/>
      <c r="Y171" s="213"/>
      <c r="Z171" s="213"/>
      <c r="AA171" s="213"/>
    </row>
    <row r="172" spans="1:27" x14ac:dyDescent="0.2">
      <c r="A172" s="13"/>
      <c r="B172" s="13"/>
      <c r="C172" s="13"/>
      <c r="D172" s="13"/>
      <c r="E172" s="97"/>
      <c r="F172" s="213"/>
      <c r="G172" s="213"/>
      <c r="H172" s="213"/>
      <c r="I172" s="213"/>
      <c r="J172" s="213"/>
      <c r="K172" s="213"/>
      <c r="L172" s="213"/>
      <c r="M172" s="213"/>
      <c r="N172" s="213"/>
      <c r="O172" s="213"/>
      <c r="P172" s="213"/>
      <c r="Q172" s="213"/>
      <c r="R172" s="213"/>
      <c r="S172" s="213"/>
      <c r="T172" s="213"/>
      <c r="U172" s="213"/>
      <c r="V172" s="213"/>
      <c r="W172" s="213"/>
      <c r="X172" s="213"/>
      <c r="Y172" s="213"/>
      <c r="Z172" s="213"/>
      <c r="AA172" s="213"/>
    </row>
    <row r="173" spans="1:27" x14ac:dyDescent="0.2">
      <c r="A173" s="13"/>
      <c r="B173" s="13"/>
      <c r="C173" s="13"/>
      <c r="D173" s="13"/>
      <c r="E173" s="97"/>
      <c r="F173" s="213"/>
      <c r="G173" s="213"/>
      <c r="H173" s="213"/>
      <c r="I173" s="213"/>
      <c r="J173" s="213"/>
      <c r="K173" s="213"/>
      <c r="L173" s="213"/>
      <c r="M173" s="213"/>
      <c r="N173" s="213"/>
      <c r="O173" s="213"/>
      <c r="P173" s="213"/>
      <c r="Q173" s="213"/>
      <c r="R173" s="213"/>
      <c r="S173" s="213"/>
      <c r="T173" s="213"/>
      <c r="U173" s="213"/>
      <c r="V173" s="213"/>
      <c r="W173" s="213"/>
      <c r="X173" s="213"/>
      <c r="Y173" s="213"/>
      <c r="Z173" s="213"/>
      <c r="AA173" s="213"/>
    </row>
    <row r="174" spans="1:27" x14ac:dyDescent="0.2">
      <c r="A174" s="13"/>
      <c r="B174" s="13"/>
      <c r="C174" s="13"/>
      <c r="D174" s="13"/>
      <c r="E174" s="97"/>
      <c r="F174" s="213"/>
      <c r="G174" s="213"/>
      <c r="H174" s="213"/>
      <c r="I174" s="213"/>
      <c r="J174" s="213"/>
      <c r="K174" s="213"/>
      <c r="L174" s="213"/>
      <c r="M174" s="213"/>
      <c r="N174" s="213"/>
      <c r="O174" s="213"/>
      <c r="P174" s="213"/>
      <c r="Q174" s="213"/>
      <c r="R174" s="213"/>
      <c r="S174" s="213"/>
      <c r="T174" s="213"/>
      <c r="U174" s="213"/>
      <c r="V174" s="213"/>
      <c r="W174" s="213"/>
      <c r="X174" s="213"/>
      <c r="Y174" s="213"/>
      <c r="Z174" s="213"/>
      <c r="AA174" s="213"/>
    </row>
    <row r="175" spans="1:27" x14ac:dyDescent="0.2">
      <c r="A175" s="13"/>
      <c r="B175" s="13"/>
      <c r="C175" s="13"/>
      <c r="D175" s="13"/>
      <c r="E175" s="97"/>
      <c r="F175" s="213"/>
      <c r="G175" s="213"/>
      <c r="H175" s="213"/>
      <c r="I175" s="213"/>
      <c r="J175" s="213"/>
      <c r="K175" s="213"/>
      <c r="L175" s="213"/>
      <c r="M175" s="213"/>
      <c r="N175" s="213"/>
      <c r="O175" s="213"/>
      <c r="P175" s="213"/>
      <c r="Q175" s="213"/>
      <c r="R175" s="213"/>
      <c r="S175" s="213"/>
      <c r="T175" s="213"/>
      <c r="U175" s="213"/>
      <c r="V175" s="213"/>
      <c r="W175" s="213"/>
      <c r="X175" s="213"/>
      <c r="Y175" s="213"/>
      <c r="Z175" s="213"/>
      <c r="AA175" s="213"/>
    </row>
    <row r="176" spans="1:27" x14ac:dyDescent="0.2">
      <c r="A176" s="13"/>
      <c r="B176" s="13"/>
      <c r="C176" s="13"/>
      <c r="D176" s="13"/>
      <c r="E176" s="97"/>
      <c r="F176" s="213"/>
      <c r="G176" s="213"/>
      <c r="H176" s="213"/>
      <c r="I176" s="213"/>
      <c r="J176" s="213"/>
      <c r="K176" s="213"/>
      <c r="L176" s="213"/>
      <c r="M176" s="213"/>
      <c r="N176" s="213"/>
      <c r="O176" s="213"/>
      <c r="P176" s="213"/>
      <c r="Q176" s="213"/>
      <c r="R176" s="213"/>
      <c r="S176" s="213"/>
      <c r="T176" s="213"/>
      <c r="U176" s="213"/>
      <c r="V176" s="213"/>
      <c r="W176" s="213"/>
      <c r="X176" s="213"/>
      <c r="Y176" s="213"/>
      <c r="Z176" s="213"/>
      <c r="AA176" s="213"/>
    </row>
    <row r="177" spans="1:27" x14ac:dyDescent="0.2">
      <c r="A177" s="13"/>
      <c r="B177" s="13"/>
      <c r="C177" s="13"/>
      <c r="D177" s="13"/>
      <c r="E177" s="97"/>
      <c r="F177" s="213"/>
      <c r="G177" s="213"/>
      <c r="H177" s="213"/>
      <c r="I177" s="213"/>
      <c r="J177" s="213"/>
      <c r="K177" s="213"/>
      <c r="L177" s="213"/>
      <c r="M177" s="213"/>
      <c r="N177" s="213"/>
      <c r="O177" s="213"/>
      <c r="P177" s="213"/>
      <c r="Q177" s="213"/>
      <c r="R177" s="213"/>
      <c r="S177" s="213"/>
      <c r="T177" s="213"/>
      <c r="U177" s="213"/>
      <c r="V177" s="213"/>
      <c r="W177" s="213"/>
      <c r="X177" s="213"/>
      <c r="Y177" s="213"/>
      <c r="Z177" s="213"/>
      <c r="AA177" s="213"/>
    </row>
    <row r="178" spans="1:27" x14ac:dyDescent="0.2">
      <c r="A178" s="13"/>
      <c r="B178" s="13"/>
      <c r="C178" s="13"/>
      <c r="D178" s="13"/>
      <c r="E178" s="97"/>
      <c r="F178" s="213"/>
      <c r="G178" s="213"/>
      <c r="H178" s="213"/>
      <c r="I178" s="213"/>
      <c r="J178" s="213"/>
      <c r="K178" s="213"/>
      <c r="L178" s="213"/>
      <c r="M178" s="213"/>
      <c r="N178" s="213"/>
      <c r="O178" s="213"/>
      <c r="P178" s="213"/>
      <c r="Q178" s="213"/>
      <c r="R178" s="213"/>
      <c r="S178" s="213"/>
      <c r="T178" s="213"/>
      <c r="U178" s="213"/>
      <c r="V178" s="213"/>
      <c r="W178" s="213"/>
      <c r="X178" s="213"/>
      <c r="Y178" s="213"/>
      <c r="Z178" s="213"/>
      <c r="AA178" s="213"/>
    </row>
    <row r="179" spans="1:27" x14ac:dyDescent="0.2">
      <c r="A179" s="13"/>
      <c r="B179" s="13"/>
      <c r="C179" s="13"/>
      <c r="D179" s="13"/>
      <c r="E179" s="97"/>
      <c r="F179" s="213"/>
      <c r="G179" s="213"/>
      <c r="H179" s="213"/>
      <c r="I179" s="213"/>
      <c r="J179" s="213"/>
      <c r="K179" s="213"/>
      <c r="L179" s="213"/>
      <c r="M179" s="213"/>
      <c r="N179" s="213"/>
      <c r="O179" s="213"/>
      <c r="P179" s="213"/>
      <c r="Q179" s="213"/>
      <c r="R179" s="213"/>
      <c r="S179" s="213"/>
      <c r="T179" s="213"/>
      <c r="U179" s="213"/>
      <c r="V179" s="213"/>
      <c r="W179" s="213"/>
      <c r="X179" s="213"/>
      <c r="Y179" s="213"/>
      <c r="Z179" s="213"/>
      <c r="AA179" s="213"/>
    </row>
    <row r="180" spans="1:27" x14ac:dyDescent="0.2">
      <c r="A180" s="13"/>
      <c r="B180" s="13"/>
      <c r="C180" s="13"/>
      <c r="D180" s="13"/>
      <c r="E180" s="97"/>
      <c r="F180" s="213"/>
      <c r="G180" s="213"/>
      <c r="H180" s="213"/>
      <c r="I180" s="213"/>
      <c r="J180" s="213"/>
      <c r="K180" s="213"/>
      <c r="L180" s="213"/>
      <c r="M180" s="213"/>
      <c r="N180" s="213"/>
      <c r="O180" s="213"/>
      <c r="P180" s="213"/>
      <c r="Q180" s="213"/>
      <c r="R180" s="213"/>
      <c r="S180" s="213"/>
      <c r="T180" s="213"/>
      <c r="U180" s="213"/>
      <c r="V180" s="213"/>
      <c r="W180" s="213"/>
      <c r="X180" s="213"/>
      <c r="Y180" s="213"/>
      <c r="Z180" s="213"/>
      <c r="AA180" s="213"/>
    </row>
    <row r="181" spans="1:27" x14ac:dyDescent="0.2">
      <c r="A181" s="13"/>
      <c r="B181" s="13"/>
      <c r="C181" s="13"/>
      <c r="D181" s="13"/>
      <c r="E181" s="97"/>
      <c r="F181" s="213"/>
      <c r="G181" s="213"/>
      <c r="H181" s="213"/>
      <c r="I181" s="213"/>
      <c r="J181" s="213"/>
      <c r="K181" s="213"/>
      <c r="L181" s="213"/>
      <c r="M181" s="213"/>
      <c r="N181" s="213"/>
      <c r="O181" s="213"/>
      <c r="P181" s="213"/>
      <c r="Q181" s="213"/>
      <c r="R181" s="213"/>
      <c r="S181" s="213"/>
      <c r="T181" s="213"/>
      <c r="U181" s="213"/>
      <c r="V181" s="213"/>
      <c r="W181" s="213"/>
      <c r="X181" s="213"/>
      <c r="Y181" s="213"/>
      <c r="Z181" s="213"/>
      <c r="AA181" s="213"/>
    </row>
    <row r="182" spans="1:27" x14ac:dyDescent="0.2">
      <c r="A182" s="13"/>
      <c r="B182" s="13"/>
      <c r="C182" s="13"/>
      <c r="D182" s="13"/>
      <c r="E182" s="97"/>
      <c r="F182" s="213"/>
      <c r="G182" s="213"/>
      <c r="H182" s="213"/>
      <c r="I182" s="213"/>
      <c r="J182" s="213"/>
      <c r="K182" s="213"/>
      <c r="L182" s="213"/>
      <c r="M182" s="213"/>
      <c r="N182" s="213"/>
      <c r="O182" s="213"/>
      <c r="P182" s="213"/>
      <c r="Q182" s="213"/>
      <c r="R182" s="213"/>
      <c r="S182" s="213"/>
      <c r="T182" s="213"/>
      <c r="U182" s="213"/>
      <c r="V182" s="213"/>
      <c r="W182" s="213"/>
      <c r="X182" s="213"/>
      <c r="Y182" s="213"/>
      <c r="Z182" s="213"/>
      <c r="AA182" s="213"/>
    </row>
    <row r="183" spans="1:27" x14ac:dyDescent="0.2">
      <c r="A183" s="13"/>
      <c r="B183" s="13"/>
      <c r="C183" s="13"/>
      <c r="D183" s="13"/>
      <c r="E183" s="97"/>
      <c r="F183" s="213"/>
      <c r="G183" s="213"/>
      <c r="H183" s="213"/>
      <c r="I183" s="213"/>
      <c r="J183" s="213"/>
      <c r="K183" s="213"/>
      <c r="L183" s="213"/>
      <c r="M183" s="213"/>
      <c r="N183" s="213"/>
      <c r="O183" s="213"/>
      <c r="P183" s="213"/>
      <c r="Q183" s="213"/>
      <c r="R183" s="213"/>
      <c r="S183" s="213"/>
      <c r="T183" s="213"/>
      <c r="U183" s="213"/>
      <c r="V183" s="213"/>
      <c r="W183" s="213"/>
      <c r="X183" s="213"/>
      <c r="Y183" s="213"/>
      <c r="Z183" s="213"/>
      <c r="AA183" s="213"/>
    </row>
    <row r="184" spans="1:27" x14ac:dyDescent="0.2">
      <c r="A184" s="13"/>
      <c r="B184" s="13"/>
      <c r="C184" s="13"/>
      <c r="D184" s="13"/>
      <c r="E184" s="97"/>
      <c r="F184" s="213"/>
      <c r="G184" s="213"/>
      <c r="H184" s="213"/>
      <c r="I184" s="213"/>
      <c r="J184" s="213"/>
      <c r="K184" s="213"/>
      <c r="L184" s="213"/>
      <c r="M184" s="213"/>
      <c r="N184" s="213"/>
      <c r="O184" s="213"/>
      <c r="P184" s="213"/>
      <c r="Q184" s="213"/>
      <c r="R184" s="213"/>
      <c r="S184" s="213"/>
      <c r="T184" s="213"/>
      <c r="U184" s="213"/>
      <c r="V184" s="213"/>
      <c r="W184" s="213"/>
      <c r="X184" s="213"/>
      <c r="Y184" s="213"/>
      <c r="Z184" s="213"/>
      <c r="AA184" s="213"/>
    </row>
    <row r="185" spans="1:27" x14ac:dyDescent="0.2">
      <c r="A185" s="13"/>
      <c r="B185" s="13"/>
      <c r="C185" s="13"/>
      <c r="D185" s="13"/>
      <c r="E185" s="97"/>
      <c r="F185" s="213"/>
      <c r="G185" s="213"/>
      <c r="H185" s="213"/>
      <c r="I185" s="213"/>
      <c r="J185" s="213"/>
      <c r="K185" s="213"/>
      <c r="L185" s="213"/>
      <c r="M185" s="213"/>
      <c r="N185" s="213"/>
      <c r="O185" s="213"/>
      <c r="P185" s="213"/>
      <c r="Q185" s="213"/>
      <c r="R185" s="213"/>
      <c r="S185" s="213"/>
      <c r="T185" s="213"/>
      <c r="U185" s="213"/>
      <c r="V185" s="213"/>
      <c r="W185" s="213"/>
      <c r="X185" s="213"/>
      <c r="Y185" s="213"/>
      <c r="Z185" s="213"/>
      <c r="AA185" s="213"/>
    </row>
    <row r="186" spans="1:27" x14ac:dyDescent="0.2">
      <c r="A186" s="13"/>
      <c r="B186" s="13"/>
      <c r="C186" s="13"/>
      <c r="D186" s="13"/>
      <c r="E186" s="97"/>
      <c r="F186" s="213"/>
      <c r="G186" s="213"/>
      <c r="H186" s="213"/>
      <c r="I186" s="213"/>
      <c r="J186" s="213"/>
      <c r="K186" s="213"/>
      <c r="L186" s="213"/>
      <c r="M186" s="213"/>
      <c r="N186" s="213"/>
      <c r="O186" s="213"/>
      <c r="P186" s="213"/>
      <c r="Q186" s="213"/>
      <c r="R186" s="213"/>
      <c r="S186" s="213"/>
      <c r="T186" s="213"/>
      <c r="U186" s="213"/>
      <c r="V186" s="213"/>
      <c r="W186" s="213"/>
      <c r="X186" s="213"/>
      <c r="Y186" s="213"/>
      <c r="Z186" s="213"/>
      <c r="AA186" s="213"/>
    </row>
    <row r="187" spans="1:27" x14ac:dyDescent="0.2">
      <c r="A187" s="13"/>
      <c r="B187" s="13"/>
      <c r="C187" s="13"/>
      <c r="D187" s="13"/>
      <c r="E187" s="97"/>
      <c r="F187" s="213"/>
      <c r="G187" s="213"/>
      <c r="H187" s="213"/>
      <c r="I187" s="213"/>
      <c r="J187" s="213"/>
      <c r="K187" s="213"/>
      <c r="L187" s="213"/>
      <c r="M187" s="213"/>
      <c r="N187" s="213"/>
      <c r="O187" s="213"/>
      <c r="P187" s="213"/>
      <c r="Q187" s="213"/>
      <c r="R187" s="213"/>
      <c r="S187" s="213"/>
      <c r="T187" s="213"/>
      <c r="U187" s="213"/>
      <c r="V187" s="213"/>
      <c r="W187" s="213"/>
      <c r="X187" s="213"/>
      <c r="Y187" s="213"/>
      <c r="Z187" s="213"/>
      <c r="AA187" s="213"/>
    </row>
    <row r="188" spans="1:27" x14ac:dyDescent="0.2">
      <c r="A188" s="13"/>
      <c r="B188" s="13"/>
      <c r="C188" s="13"/>
      <c r="D188" s="13"/>
      <c r="E188" s="97"/>
      <c r="F188" s="213"/>
      <c r="G188" s="213"/>
      <c r="H188" s="213"/>
      <c r="I188" s="213"/>
      <c r="J188" s="213"/>
      <c r="K188" s="213"/>
      <c r="L188" s="213"/>
      <c r="M188" s="213"/>
      <c r="N188" s="213"/>
      <c r="O188" s="213"/>
      <c r="P188" s="213"/>
      <c r="Q188" s="213"/>
      <c r="R188" s="213"/>
      <c r="S188" s="213"/>
      <c r="T188" s="213"/>
      <c r="U188" s="213"/>
      <c r="V188" s="213"/>
      <c r="W188" s="213"/>
      <c r="X188" s="213"/>
      <c r="Y188" s="213"/>
      <c r="Z188" s="213"/>
      <c r="AA188" s="213"/>
    </row>
    <row r="189" spans="1:27" x14ac:dyDescent="0.2">
      <c r="A189" s="13"/>
      <c r="B189" s="13"/>
      <c r="C189" s="13"/>
      <c r="D189" s="13"/>
      <c r="E189" s="97"/>
      <c r="F189" s="213"/>
      <c r="G189" s="213"/>
      <c r="H189" s="213"/>
      <c r="I189" s="213"/>
      <c r="J189" s="213"/>
      <c r="K189" s="213"/>
      <c r="L189" s="213"/>
      <c r="M189" s="213"/>
      <c r="N189" s="213"/>
      <c r="O189" s="213"/>
      <c r="P189" s="213"/>
      <c r="Q189" s="213"/>
      <c r="R189" s="213"/>
      <c r="S189" s="213"/>
      <c r="T189" s="213"/>
      <c r="U189" s="213"/>
      <c r="V189" s="213"/>
      <c r="W189" s="213"/>
      <c r="X189" s="213"/>
      <c r="Y189" s="213"/>
      <c r="Z189" s="213"/>
      <c r="AA189" s="213"/>
    </row>
    <row r="190" spans="1:27" x14ac:dyDescent="0.2">
      <c r="A190" s="13"/>
      <c r="B190" s="13"/>
      <c r="C190" s="13"/>
      <c r="D190" s="13"/>
      <c r="E190" s="97"/>
      <c r="F190" s="213"/>
      <c r="G190" s="213"/>
      <c r="H190" s="213"/>
      <c r="I190" s="213"/>
      <c r="J190" s="213"/>
      <c r="K190" s="213"/>
      <c r="L190" s="213"/>
      <c r="M190" s="213"/>
      <c r="N190" s="213"/>
      <c r="O190" s="213"/>
      <c r="P190" s="213"/>
      <c r="Q190" s="213"/>
      <c r="R190" s="213"/>
      <c r="S190" s="213"/>
      <c r="T190" s="213"/>
      <c r="U190" s="213"/>
      <c r="V190" s="213"/>
      <c r="W190" s="213"/>
      <c r="X190" s="213"/>
      <c r="Y190" s="213"/>
      <c r="Z190" s="213"/>
      <c r="AA190" s="213"/>
    </row>
    <row r="191" spans="1:27" x14ac:dyDescent="0.2">
      <c r="A191" s="13"/>
      <c r="B191" s="13"/>
      <c r="C191" s="13"/>
      <c r="D191" s="13"/>
      <c r="E191" s="97"/>
      <c r="F191" s="213"/>
      <c r="G191" s="213"/>
      <c r="H191" s="213"/>
      <c r="I191" s="213"/>
      <c r="J191" s="213"/>
      <c r="K191" s="213"/>
      <c r="L191" s="213"/>
      <c r="M191" s="213"/>
      <c r="N191" s="213"/>
      <c r="O191" s="213"/>
      <c r="P191" s="213"/>
      <c r="Q191" s="213"/>
      <c r="R191" s="213"/>
      <c r="S191" s="213"/>
      <c r="T191" s="213"/>
      <c r="U191" s="213"/>
      <c r="V191" s="213"/>
      <c r="W191" s="213"/>
      <c r="X191" s="213"/>
      <c r="Y191" s="213"/>
      <c r="Z191" s="213"/>
      <c r="AA191" s="213"/>
    </row>
    <row r="192" spans="1:27" x14ac:dyDescent="0.2">
      <c r="A192" s="13"/>
      <c r="B192" s="13"/>
      <c r="C192" s="13"/>
      <c r="D192" s="13"/>
      <c r="E192" s="97"/>
      <c r="F192" s="213"/>
      <c r="G192" s="213"/>
      <c r="H192" s="213"/>
      <c r="I192" s="213"/>
      <c r="J192" s="213"/>
      <c r="K192" s="213"/>
      <c r="L192" s="213"/>
      <c r="M192" s="213"/>
      <c r="N192" s="213"/>
      <c r="O192" s="213"/>
      <c r="P192" s="213"/>
      <c r="Q192" s="213"/>
      <c r="R192" s="213"/>
      <c r="S192" s="213"/>
      <c r="T192" s="213"/>
      <c r="U192" s="213"/>
      <c r="V192" s="213"/>
      <c r="W192" s="213"/>
      <c r="X192" s="213"/>
      <c r="Y192" s="213"/>
      <c r="Z192" s="213"/>
      <c r="AA192" s="213"/>
    </row>
    <row r="193" spans="1:27" x14ac:dyDescent="0.2">
      <c r="A193" s="13"/>
      <c r="B193" s="13"/>
      <c r="C193" s="13"/>
      <c r="D193" s="13"/>
      <c r="E193" s="97"/>
      <c r="F193" s="213"/>
      <c r="G193" s="213"/>
      <c r="H193" s="213"/>
      <c r="I193" s="213"/>
      <c r="J193" s="213"/>
      <c r="K193" s="213"/>
      <c r="L193" s="213"/>
      <c r="M193" s="213"/>
      <c r="N193" s="213"/>
      <c r="O193" s="213"/>
      <c r="P193" s="213"/>
      <c r="Q193" s="213"/>
      <c r="R193" s="213"/>
      <c r="S193" s="213"/>
      <c r="T193" s="213"/>
      <c r="U193" s="213"/>
      <c r="V193" s="213"/>
      <c r="W193" s="213"/>
      <c r="X193" s="213"/>
      <c r="Y193" s="213"/>
      <c r="Z193" s="213"/>
      <c r="AA193" s="213"/>
    </row>
    <row r="194" spans="1:27" x14ac:dyDescent="0.2">
      <c r="A194" s="13"/>
      <c r="B194" s="13"/>
      <c r="C194" s="13"/>
      <c r="D194" s="13"/>
      <c r="E194" s="97"/>
      <c r="F194" s="213"/>
      <c r="G194" s="213"/>
      <c r="H194" s="213"/>
      <c r="I194" s="213"/>
      <c r="J194" s="213"/>
      <c r="K194" s="213"/>
      <c r="L194" s="213"/>
      <c r="M194" s="213"/>
      <c r="N194" s="213"/>
      <c r="O194" s="213"/>
      <c r="P194" s="213"/>
      <c r="Q194" s="213"/>
      <c r="R194" s="213"/>
      <c r="S194" s="213"/>
      <c r="T194" s="213"/>
      <c r="U194" s="213"/>
      <c r="V194" s="213"/>
      <c r="W194" s="213"/>
      <c r="X194" s="213"/>
      <c r="Y194" s="213"/>
      <c r="Z194" s="213"/>
      <c r="AA194" s="213"/>
    </row>
    <row r="195" spans="1:27" x14ac:dyDescent="0.2">
      <c r="A195" s="13"/>
      <c r="B195" s="13"/>
      <c r="C195" s="13"/>
      <c r="D195" s="13"/>
      <c r="E195" s="97"/>
      <c r="F195" s="213"/>
      <c r="G195" s="213"/>
      <c r="H195" s="213"/>
      <c r="I195" s="213"/>
      <c r="J195" s="213"/>
      <c r="K195" s="213"/>
      <c r="L195" s="213"/>
      <c r="M195" s="213"/>
      <c r="N195" s="213"/>
      <c r="O195" s="213"/>
      <c r="P195" s="213"/>
      <c r="Q195" s="213"/>
      <c r="R195" s="213"/>
      <c r="S195" s="213"/>
      <c r="T195" s="213"/>
      <c r="U195" s="213"/>
      <c r="V195" s="213"/>
      <c r="W195" s="213"/>
      <c r="X195" s="213"/>
      <c r="Y195" s="213"/>
      <c r="Z195" s="213"/>
      <c r="AA195" s="213"/>
    </row>
    <row r="196" spans="1:27" x14ac:dyDescent="0.2">
      <c r="A196" s="13"/>
      <c r="B196" s="13"/>
      <c r="C196" s="13"/>
      <c r="D196" s="13"/>
      <c r="E196" s="97"/>
      <c r="F196" s="213"/>
      <c r="G196" s="213"/>
      <c r="H196" s="213"/>
      <c r="I196" s="213"/>
      <c r="J196" s="213"/>
      <c r="K196" s="213"/>
      <c r="L196" s="213"/>
      <c r="M196" s="213"/>
      <c r="N196" s="213"/>
      <c r="O196" s="213"/>
      <c r="P196" s="213"/>
      <c r="Q196" s="213"/>
      <c r="R196" s="213"/>
      <c r="S196" s="213"/>
      <c r="T196" s="213"/>
      <c r="U196" s="213"/>
      <c r="V196" s="213"/>
      <c r="W196" s="213"/>
      <c r="X196" s="213"/>
      <c r="Y196" s="213"/>
      <c r="Z196" s="213"/>
      <c r="AA196" s="213"/>
    </row>
    <row r="197" spans="1:27" x14ac:dyDescent="0.2">
      <c r="A197" s="13"/>
      <c r="B197" s="13"/>
      <c r="C197" s="13"/>
      <c r="D197" s="13"/>
      <c r="E197" s="97"/>
      <c r="F197" s="213"/>
      <c r="G197" s="213"/>
      <c r="H197" s="213"/>
      <c r="I197" s="213"/>
      <c r="J197" s="213"/>
      <c r="K197" s="213"/>
      <c r="L197" s="213"/>
      <c r="M197" s="213"/>
      <c r="N197" s="213"/>
      <c r="O197" s="213"/>
      <c r="P197" s="213"/>
      <c r="Q197" s="213"/>
      <c r="R197" s="213"/>
      <c r="S197" s="213"/>
      <c r="T197" s="213"/>
      <c r="U197" s="213"/>
      <c r="V197" s="213"/>
      <c r="W197" s="213"/>
      <c r="X197" s="213"/>
      <c r="Y197" s="213"/>
      <c r="Z197" s="213"/>
      <c r="AA197" s="213"/>
    </row>
    <row r="198" spans="1:27" x14ac:dyDescent="0.2">
      <c r="A198" s="13"/>
      <c r="B198" s="13"/>
      <c r="C198" s="13"/>
      <c r="D198" s="13"/>
      <c r="E198" s="97"/>
      <c r="F198" s="213"/>
      <c r="G198" s="213"/>
      <c r="H198" s="213"/>
      <c r="I198" s="213"/>
      <c r="J198" s="213"/>
      <c r="K198" s="213"/>
      <c r="L198" s="213"/>
      <c r="M198" s="213"/>
      <c r="N198" s="213"/>
      <c r="O198" s="213"/>
      <c r="P198" s="213"/>
      <c r="Q198" s="213"/>
      <c r="R198" s="213"/>
      <c r="S198" s="213"/>
      <c r="T198" s="213"/>
      <c r="U198" s="213"/>
      <c r="V198" s="213"/>
      <c r="W198" s="213"/>
      <c r="X198" s="213"/>
      <c r="Y198" s="213"/>
      <c r="Z198" s="213"/>
      <c r="AA198" s="213"/>
    </row>
    <row r="199" spans="1:27" x14ac:dyDescent="0.2">
      <c r="A199" s="13"/>
      <c r="B199" s="13"/>
      <c r="C199" s="13"/>
      <c r="D199" s="13"/>
      <c r="E199" s="97"/>
      <c r="F199" s="213"/>
      <c r="G199" s="213"/>
      <c r="H199" s="213"/>
      <c r="I199" s="213"/>
      <c r="J199" s="213"/>
      <c r="K199" s="213"/>
      <c r="L199" s="213"/>
      <c r="M199" s="213"/>
      <c r="N199" s="213"/>
      <c r="O199" s="213"/>
      <c r="P199" s="213"/>
      <c r="Q199" s="213"/>
      <c r="R199" s="213"/>
      <c r="S199" s="213"/>
      <c r="T199" s="213"/>
      <c r="U199" s="213"/>
      <c r="V199" s="213"/>
      <c r="W199" s="213"/>
      <c r="X199" s="213"/>
      <c r="Y199" s="213"/>
      <c r="Z199" s="213"/>
      <c r="AA199" s="213"/>
    </row>
    <row r="200" spans="1:27" x14ac:dyDescent="0.2">
      <c r="A200" s="13"/>
      <c r="B200" s="13"/>
      <c r="C200" s="13"/>
      <c r="D200" s="13"/>
      <c r="E200" s="97"/>
      <c r="F200" s="213"/>
      <c r="G200" s="213"/>
      <c r="H200" s="213"/>
      <c r="I200" s="213"/>
      <c r="J200" s="213"/>
      <c r="K200" s="213"/>
      <c r="L200" s="213"/>
      <c r="M200" s="213"/>
      <c r="N200" s="213"/>
      <c r="O200" s="213"/>
      <c r="P200" s="213"/>
      <c r="Q200" s="213"/>
      <c r="R200" s="213"/>
      <c r="S200" s="213"/>
      <c r="T200" s="213"/>
      <c r="U200" s="213"/>
      <c r="V200" s="213"/>
      <c r="W200" s="213"/>
      <c r="X200" s="213"/>
      <c r="Y200" s="213"/>
      <c r="Z200" s="213"/>
      <c r="AA200" s="213"/>
    </row>
    <row r="201" spans="1:27" x14ac:dyDescent="0.2">
      <c r="A201" s="13"/>
      <c r="B201" s="13"/>
      <c r="C201" s="13"/>
      <c r="D201" s="13"/>
      <c r="E201" s="97"/>
      <c r="F201" s="213"/>
      <c r="G201" s="213"/>
      <c r="H201" s="213"/>
      <c r="I201" s="213"/>
      <c r="J201" s="213"/>
      <c r="K201" s="213"/>
      <c r="L201" s="213"/>
      <c r="M201" s="213"/>
      <c r="N201" s="213"/>
      <c r="O201" s="213"/>
      <c r="P201" s="213"/>
      <c r="Q201" s="213"/>
      <c r="R201" s="213"/>
      <c r="S201" s="213"/>
      <c r="T201" s="213"/>
      <c r="U201" s="213"/>
      <c r="V201" s="213"/>
      <c r="W201" s="213"/>
      <c r="X201" s="213"/>
      <c r="Y201" s="213"/>
      <c r="Z201" s="213"/>
      <c r="AA201" s="213"/>
    </row>
    <row r="202" spans="1:27" x14ac:dyDescent="0.2">
      <c r="A202" s="13"/>
      <c r="B202" s="13"/>
      <c r="C202" s="13"/>
      <c r="D202" s="13"/>
      <c r="E202" s="97"/>
      <c r="F202" s="213"/>
      <c r="G202" s="213"/>
      <c r="H202" s="213"/>
      <c r="I202" s="213"/>
      <c r="J202" s="213"/>
      <c r="K202" s="213"/>
      <c r="L202" s="213"/>
      <c r="M202" s="213"/>
      <c r="N202" s="213"/>
      <c r="O202" s="213"/>
      <c r="P202" s="213"/>
      <c r="Q202" s="213"/>
      <c r="R202" s="213"/>
      <c r="S202" s="213"/>
      <c r="T202" s="213"/>
      <c r="U202" s="213"/>
      <c r="V202" s="213"/>
      <c r="W202" s="213"/>
      <c r="X202" s="213"/>
      <c r="Y202" s="213"/>
      <c r="Z202" s="213"/>
      <c r="AA202" s="213"/>
    </row>
    <row r="203" spans="1:27" x14ac:dyDescent="0.2">
      <c r="A203" s="13"/>
      <c r="B203" s="13"/>
      <c r="C203" s="13"/>
      <c r="D203" s="13"/>
      <c r="E203" s="97"/>
      <c r="F203" s="213"/>
      <c r="G203" s="213"/>
      <c r="H203" s="213"/>
      <c r="I203" s="213"/>
      <c r="J203" s="213"/>
      <c r="K203" s="213"/>
      <c r="L203" s="213"/>
      <c r="M203" s="213"/>
      <c r="N203" s="213"/>
      <c r="O203" s="213"/>
      <c r="P203" s="213"/>
      <c r="Q203" s="213"/>
      <c r="R203" s="213"/>
      <c r="S203" s="213"/>
      <c r="T203" s="213"/>
      <c r="U203" s="213"/>
      <c r="V203" s="213"/>
      <c r="W203" s="213"/>
      <c r="X203" s="213"/>
      <c r="Y203" s="213"/>
      <c r="Z203" s="213"/>
      <c r="AA203" s="213"/>
    </row>
    <row r="204" spans="1:27" x14ac:dyDescent="0.2">
      <c r="A204" s="13"/>
      <c r="B204" s="13"/>
      <c r="C204" s="13"/>
      <c r="D204" s="13"/>
      <c r="E204" s="97"/>
      <c r="F204" s="213"/>
      <c r="G204" s="213"/>
      <c r="H204" s="213"/>
      <c r="I204" s="213"/>
      <c r="J204" s="213"/>
      <c r="K204" s="213"/>
      <c r="L204" s="213"/>
      <c r="M204" s="213"/>
      <c r="N204" s="213"/>
      <c r="O204" s="213"/>
      <c r="P204" s="213"/>
      <c r="Q204" s="213"/>
      <c r="R204" s="213"/>
      <c r="S204" s="213"/>
      <c r="T204" s="213"/>
      <c r="U204" s="213"/>
      <c r="V204" s="213"/>
      <c r="W204" s="213"/>
      <c r="X204" s="213"/>
      <c r="Y204" s="213"/>
      <c r="Z204" s="213"/>
      <c r="AA204" s="213"/>
    </row>
    <row r="205" spans="1:27" x14ac:dyDescent="0.2">
      <c r="A205" s="13"/>
      <c r="B205" s="13"/>
      <c r="C205" s="13"/>
      <c r="D205" s="13"/>
      <c r="E205" s="97"/>
      <c r="F205" s="213"/>
      <c r="G205" s="213"/>
      <c r="H205" s="213"/>
      <c r="I205" s="213"/>
      <c r="J205" s="213"/>
      <c r="K205" s="213"/>
      <c r="L205" s="213"/>
      <c r="M205" s="213"/>
      <c r="N205" s="213"/>
      <c r="O205" s="213"/>
      <c r="P205" s="213"/>
      <c r="Q205" s="213"/>
      <c r="R205" s="213"/>
      <c r="S205" s="213"/>
      <c r="T205" s="213"/>
      <c r="U205" s="213"/>
      <c r="V205" s="213"/>
      <c r="W205" s="213"/>
      <c r="X205" s="213"/>
      <c r="Y205" s="213"/>
      <c r="Z205" s="213"/>
      <c r="AA205" s="213"/>
    </row>
    <row r="206" spans="1:27" x14ac:dyDescent="0.2">
      <c r="A206" s="13"/>
      <c r="B206" s="13"/>
      <c r="C206" s="13"/>
      <c r="D206" s="13"/>
      <c r="E206" s="97"/>
      <c r="F206" s="213"/>
      <c r="G206" s="213"/>
      <c r="H206" s="213"/>
      <c r="I206" s="213"/>
      <c r="J206" s="213"/>
      <c r="K206" s="213"/>
      <c r="L206" s="213"/>
      <c r="M206" s="213"/>
      <c r="N206" s="213"/>
      <c r="O206" s="213"/>
      <c r="P206" s="213"/>
      <c r="Q206" s="213"/>
      <c r="R206" s="213"/>
      <c r="S206" s="213"/>
      <c r="T206" s="213"/>
      <c r="U206" s="213"/>
      <c r="V206" s="213"/>
      <c r="W206" s="213"/>
      <c r="X206" s="213"/>
      <c r="Y206" s="213"/>
      <c r="Z206" s="213"/>
      <c r="AA206" s="213"/>
    </row>
    <row r="207" spans="1:27" x14ac:dyDescent="0.2">
      <c r="A207" s="13"/>
      <c r="B207" s="13"/>
      <c r="C207" s="13"/>
      <c r="D207" s="13"/>
      <c r="E207" s="97"/>
      <c r="F207" s="213"/>
      <c r="G207" s="213"/>
      <c r="H207" s="213"/>
      <c r="I207" s="213"/>
      <c r="J207" s="213"/>
      <c r="K207" s="213"/>
      <c r="L207" s="213"/>
      <c r="M207" s="213"/>
      <c r="N207" s="213"/>
      <c r="O207" s="213"/>
      <c r="P207" s="213"/>
      <c r="Q207" s="213"/>
      <c r="R207" s="213"/>
      <c r="S207" s="213"/>
      <c r="T207" s="213"/>
      <c r="U207" s="213"/>
      <c r="V207" s="213"/>
      <c r="W207" s="213"/>
      <c r="X207" s="213"/>
      <c r="Y207" s="213"/>
      <c r="Z207" s="213"/>
      <c r="AA207" s="213"/>
    </row>
    <row r="208" spans="1:27" x14ac:dyDescent="0.2">
      <c r="A208" s="13"/>
      <c r="B208" s="13"/>
      <c r="C208" s="13"/>
      <c r="D208" s="13"/>
      <c r="E208" s="97"/>
      <c r="F208" s="213"/>
      <c r="G208" s="213"/>
      <c r="H208" s="213"/>
      <c r="I208" s="213"/>
      <c r="J208" s="213"/>
      <c r="K208" s="213"/>
      <c r="L208" s="213"/>
      <c r="M208" s="213"/>
      <c r="N208" s="213"/>
      <c r="O208" s="213"/>
      <c r="P208" s="213"/>
      <c r="Q208" s="213"/>
      <c r="R208" s="213"/>
      <c r="S208" s="213"/>
      <c r="T208" s="213"/>
      <c r="U208" s="213"/>
      <c r="V208" s="213"/>
      <c r="W208" s="213"/>
      <c r="X208" s="213"/>
      <c r="Y208" s="213"/>
      <c r="Z208" s="213"/>
      <c r="AA208" s="213"/>
    </row>
    <row r="209" spans="1:27" x14ac:dyDescent="0.2">
      <c r="A209" s="13"/>
      <c r="B209" s="13"/>
      <c r="C209" s="13"/>
      <c r="D209" s="13"/>
      <c r="E209" s="97"/>
      <c r="F209" s="213"/>
      <c r="G209" s="213"/>
      <c r="H209" s="213"/>
      <c r="I209" s="213"/>
      <c r="J209" s="213"/>
      <c r="K209" s="213"/>
      <c r="L209" s="213"/>
      <c r="M209" s="213"/>
      <c r="N209" s="213"/>
      <c r="O209" s="213"/>
      <c r="P209" s="213"/>
      <c r="Q209" s="213"/>
      <c r="R209" s="213"/>
      <c r="S209" s="213"/>
      <c r="T209" s="213"/>
      <c r="U209" s="213"/>
      <c r="V209" s="213"/>
      <c r="W209" s="213"/>
      <c r="X209" s="213"/>
      <c r="Y209" s="213"/>
      <c r="Z209" s="213"/>
      <c r="AA209" s="213"/>
    </row>
    <row r="210" spans="1:27" x14ac:dyDescent="0.2">
      <c r="A210" s="13"/>
      <c r="B210" s="13"/>
      <c r="C210" s="13"/>
      <c r="D210" s="13"/>
      <c r="E210" s="97"/>
    </row>
    <row r="211" spans="1:27" x14ac:dyDescent="0.2">
      <c r="A211" s="13"/>
      <c r="B211" s="13"/>
      <c r="C211" s="13"/>
      <c r="D211" s="13"/>
      <c r="E211" s="97"/>
    </row>
    <row r="212" spans="1:27" x14ac:dyDescent="0.2">
      <c r="A212" s="13"/>
      <c r="B212" s="13"/>
      <c r="C212" s="13"/>
      <c r="D212" s="13"/>
      <c r="E212" s="97"/>
    </row>
    <row r="213" spans="1:27" x14ac:dyDescent="0.2">
      <c r="A213" s="13"/>
      <c r="B213" s="13"/>
      <c r="C213" s="13"/>
      <c r="D213" s="13"/>
      <c r="E213" s="97"/>
    </row>
  </sheetData>
  <mergeCells count="10">
    <mergeCell ref="A7:AA7"/>
    <mergeCell ref="F8:AA8"/>
    <mergeCell ref="A8:E8"/>
    <mergeCell ref="A1:E1"/>
    <mergeCell ref="A2:E2"/>
    <mergeCell ref="F4:J4"/>
    <mergeCell ref="A4:E4"/>
    <mergeCell ref="A5:C5"/>
    <mergeCell ref="D5:E5"/>
    <mergeCell ref="M2:R2"/>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Sheet9.reqBondContractDetails">
                <anchor moveWithCells="1">
                  <from>
                    <xdr:col>0</xdr:col>
                    <xdr:colOff>200025</xdr:colOff>
                    <xdr:row>1</xdr:row>
                    <xdr:rowOff>66675</xdr:rowOff>
                  </from>
                  <to>
                    <xdr:col>2</xdr:col>
                    <xdr:colOff>742950</xdr:colOff>
                    <xdr:row>1</xdr:row>
                    <xdr:rowOff>266700</xdr:rowOff>
                  </to>
                </anchor>
              </controlPr>
            </control>
          </mc:Choice>
        </mc:AlternateContent>
        <mc:AlternateContent xmlns:mc="http://schemas.openxmlformats.org/markup-compatibility/2006">
          <mc:Choice Requires="x14">
            <control shapeId="16386" r:id="rId5" name="Button 2">
              <controlPr defaultSize="0" print="0" autoFill="0" autoPict="0" macro="[0]!Sheet9.onShowError">
                <anchor moveWithCells="1">
                  <from>
                    <xdr:col>3</xdr:col>
                    <xdr:colOff>152400</xdr:colOff>
                    <xdr:row>1</xdr:row>
                    <xdr:rowOff>66675</xdr:rowOff>
                  </from>
                  <to>
                    <xdr:col>4</xdr:col>
                    <xdr:colOff>266700</xdr:colOff>
                    <xdr:row>1</xdr:row>
                    <xdr:rowOff>266700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10"/>
  <sheetViews>
    <sheetView zoomScale="80" zoomScaleNormal="80" workbookViewId="0">
      <pane ySplit="10" topLeftCell="A11" activePane="bottomLeft" state="frozenSplit"/>
      <selection pane="bottomLeft" activeCell="D5" sqref="D5:E5"/>
    </sheetView>
  </sheetViews>
  <sheetFormatPr defaultRowHeight="12.75" x14ac:dyDescent="0.2"/>
  <cols>
    <col min="3" max="3" width="15" customWidth="1"/>
    <col min="7" max="7" width="13.28515625" customWidth="1"/>
    <col min="8" max="8" width="10.5703125" customWidth="1"/>
    <col min="9" max="9" width="11" customWidth="1"/>
    <col min="10" max="10" width="12.140625" customWidth="1"/>
    <col min="11" max="11" width="11.42578125" customWidth="1"/>
    <col min="12" max="12" width="9.42578125" customWidth="1"/>
    <col min="13" max="13" width="11.140625" customWidth="1"/>
    <col min="14" max="14" width="12.140625" customWidth="1"/>
    <col min="15" max="15" width="1.28515625" customWidth="1"/>
    <col min="16" max="16" width="11" bestFit="1" customWidth="1"/>
    <col min="17" max="17" width="12.140625" customWidth="1"/>
    <col min="18" max="18" width="9" customWidth="1"/>
    <col min="19" max="19" width="10.7109375" customWidth="1"/>
    <col min="20" max="20" width="13.140625" customWidth="1"/>
    <col min="21" max="21" width="6.5703125" customWidth="1"/>
    <col min="22" max="22" width="0.42578125" style="30" customWidth="1"/>
    <col min="23" max="23" width="14.5703125" hidden="1" customWidth="1"/>
  </cols>
  <sheetData>
    <row r="1" spans="1:23" x14ac:dyDescent="0.2">
      <c r="A1" s="342" t="s">
        <v>47</v>
      </c>
      <c r="B1" s="276"/>
      <c r="C1" s="276"/>
      <c r="D1" s="276"/>
      <c r="E1" s="276"/>
      <c r="F1" s="276"/>
      <c r="G1" s="276"/>
      <c r="H1" s="276"/>
      <c r="I1" s="276"/>
      <c r="J1" s="276"/>
      <c r="K1" s="277"/>
      <c r="L1" s="20"/>
      <c r="M1" s="20"/>
      <c r="P1" s="26"/>
      <c r="Q1" s="28"/>
      <c r="R1" s="28"/>
      <c r="S1" s="26"/>
      <c r="U1" s="30"/>
    </row>
    <row r="2" spans="1:23" ht="28.5" customHeight="1" x14ac:dyDescent="0.2">
      <c r="A2" s="448"/>
      <c r="B2" s="468"/>
      <c r="C2" s="468"/>
      <c r="D2" s="468"/>
      <c r="E2" s="468"/>
      <c r="F2" s="468"/>
      <c r="G2" s="468"/>
      <c r="H2" s="468"/>
      <c r="I2" s="468"/>
      <c r="J2" s="468"/>
      <c r="K2" s="469"/>
      <c r="L2" s="20"/>
      <c r="M2" s="20"/>
      <c r="V2"/>
    </row>
    <row r="3" spans="1:23" x14ac:dyDescent="0.2">
      <c r="J3" s="20"/>
      <c r="K3" s="20"/>
      <c r="L3" s="20"/>
      <c r="M3" s="20"/>
      <c r="V3"/>
    </row>
    <row r="4" spans="1:23" x14ac:dyDescent="0.2">
      <c r="A4" s="342" t="s">
        <v>51</v>
      </c>
      <c r="B4" s="466"/>
      <c r="C4" s="466"/>
      <c r="D4" s="466"/>
      <c r="E4" s="466"/>
      <c r="F4" s="466"/>
      <c r="G4" s="466"/>
      <c r="H4" s="466"/>
      <c r="I4" s="276"/>
      <c r="J4" s="276"/>
      <c r="K4" s="277"/>
      <c r="L4" s="20"/>
      <c r="M4" s="20"/>
      <c r="V4"/>
    </row>
    <row r="5" spans="1:23" x14ac:dyDescent="0.2">
      <c r="A5" s="452" t="s">
        <v>58</v>
      </c>
      <c r="B5" s="436"/>
      <c r="C5" s="279"/>
      <c r="D5" s="341" t="s">
        <v>498</v>
      </c>
      <c r="E5" s="453"/>
      <c r="F5" s="33"/>
      <c r="G5" s="33"/>
      <c r="H5" s="467"/>
      <c r="I5" s="279"/>
      <c r="J5" s="33" t="s">
        <v>113</v>
      </c>
      <c r="K5">
        <v>500</v>
      </c>
      <c r="L5" s="241"/>
      <c r="M5" s="20"/>
      <c r="V5"/>
    </row>
    <row r="6" spans="1:23" x14ac:dyDescent="0.2">
      <c r="J6" s="20"/>
      <c r="L6" s="20"/>
      <c r="M6" s="20"/>
      <c r="V6"/>
    </row>
    <row r="7" spans="1:23" x14ac:dyDescent="0.2">
      <c r="A7" s="458" t="s">
        <v>103</v>
      </c>
      <c r="B7" s="279"/>
      <c r="C7" s="279"/>
      <c r="D7" s="279"/>
      <c r="E7" s="279"/>
      <c r="F7" s="279"/>
      <c r="G7" s="279"/>
      <c r="H7" s="279"/>
      <c r="I7" s="279"/>
      <c r="J7" s="279"/>
      <c r="K7" s="279"/>
      <c r="L7" s="279"/>
      <c r="M7" s="279"/>
      <c r="N7" s="279"/>
      <c r="O7" s="279"/>
      <c r="P7" s="279"/>
      <c r="Q7" s="279"/>
      <c r="R7" s="279"/>
      <c r="S7" s="279"/>
      <c r="T7" s="279"/>
      <c r="U7" s="280"/>
      <c r="V7" s="31"/>
      <c r="W7" s="31"/>
    </row>
    <row r="8" spans="1:23" x14ac:dyDescent="0.2">
      <c r="A8" s="462" t="s">
        <v>93</v>
      </c>
      <c r="B8" s="464"/>
      <c r="C8" s="464"/>
      <c r="D8" s="464"/>
      <c r="E8" s="464"/>
      <c r="F8" s="464"/>
      <c r="G8" s="464"/>
      <c r="H8" s="464"/>
      <c r="I8" s="465"/>
      <c r="J8" s="462" t="s">
        <v>104</v>
      </c>
      <c r="K8" s="276"/>
      <c r="L8" s="276"/>
      <c r="M8" s="276"/>
      <c r="N8" s="276"/>
      <c r="O8" s="276"/>
      <c r="P8" s="276"/>
      <c r="Q8" s="276"/>
      <c r="R8" s="276"/>
      <c r="S8" s="276"/>
      <c r="T8" s="276"/>
      <c r="U8" s="277"/>
      <c r="V8" s="31"/>
      <c r="W8" s="31"/>
    </row>
    <row r="9" spans="1:23" x14ac:dyDescent="0.2">
      <c r="A9" s="258" t="s">
        <v>256</v>
      </c>
      <c r="B9" s="256"/>
      <c r="C9" s="256"/>
      <c r="D9" s="256"/>
      <c r="E9" s="256"/>
      <c r="F9" s="256"/>
      <c r="G9" s="256"/>
      <c r="H9" s="256"/>
      <c r="I9" s="265"/>
      <c r="J9" s="463" t="s">
        <v>107</v>
      </c>
      <c r="K9" s="268"/>
      <c r="L9" s="268"/>
      <c r="M9" s="268"/>
      <c r="N9" s="268"/>
      <c r="O9" s="268"/>
      <c r="P9" s="261" t="s">
        <v>108</v>
      </c>
      <c r="Q9" s="279"/>
      <c r="R9" s="279"/>
      <c r="S9" s="279"/>
      <c r="T9" s="279"/>
      <c r="U9" s="280"/>
      <c r="V9" s="31"/>
      <c r="W9" s="31"/>
    </row>
    <row r="10" spans="1:23" x14ac:dyDescent="0.2">
      <c r="A10" s="9" t="s">
        <v>9</v>
      </c>
      <c r="B10" s="9" t="s">
        <v>21</v>
      </c>
      <c r="C10" s="9" t="s">
        <v>497</v>
      </c>
      <c r="D10" s="9" t="s">
        <v>10</v>
      </c>
      <c r="E10" s="9" t="s">
        <v>23</v>
      </c>
      <c r="F10" s="9" t="s">
        <v>86</v>
      </c>
      <c r="G10" s="9" t="s">
        <v>85</v>
      </c>
      <c r="H10" s="9" t="s">
        <v>12</v>
      </c>
      <c r="I10" s="98" t="s">
        <v>40</v>
      </c>
      <c r="J10" s="98" t="s">
        <v>105</v>
      </c>
      <c r="K10" s="223" t="s">
        <v>34</v>
      </c>
      <c r="L10" s="223" t="s">
        <v>106</v>
      </c>
      <c r="M10" s="221" t="s">
        <v>109</v>
      </c>
      <c r="N10" s="221" t="s">
        <v>110</v>
      </c>
      <c r="O10" s="152"/>
      <c r="P10" s="152" t="s">
        <v>105</v>
      </c>
      <c r="Q10" s="152" t="s">
        <v>34</v>
      </c>
      <c r="R10" s="226" t="s">
        <v>106</v>
      </c>
      <c r="S10" s="226" t="s">
        <v>111</v>
      </c>
      <c r="T10" s="152" t="s">
        <v>110</v>
      </c>
      <c r="U10" s="220" t="s">
        <v>22</v>
      </c>
      <c r="W10" s="30"/>
    </row>
    <row r="11" spans="1:23" x14ac:dyDescent="0.2">
      <c r="A11" s="153" t="s">
        <v>41</v>
      </c>
      <c r="B11" s="153" t="s">
        <v>42</v>
      </c>
      <c r="H11" s="153" t="s">
        <v>468</v>
      </c>
      <c r="I11" t="s">
        <v>43</v>
      </c>
      <c r="J11" s="213"/>
      <c r="K11" s="213"/>
      <c r="L11" s="213"/>
      <c r="M11" s="213"/>
      <c r="N11" s="213"/>
      <c r="O11" s="225"/>
      <c r="P11" s="213"/>
      <c r="Q11" s="213"/>
      <c r="R11" s="213"/>
      <c r="S11" s="213"/>
      <c r="T11" s="213"/>
      <c r="U11" s="213"/>
      <c r="V11">
        <f t="shared" ref="V11:V20" si="0">(K11*L11)</f>
        <v>0</v>
      </c>
      <c r="W11">
        <f t="shared" ref="W11:W20" si="1">(Q11*R11)</f>
        <v>0</v>
      </c>
    </row>
    <row r="12" spans="1:23" x14ac:dyDescent="0.2">
      <c r="A12" s="32"/>
      <c r="J12" s="213"/>
      <c r="K12" s="213"/>
      <c r="L12" s="213"/>
      <c r="M12" s="213"/>
      <c r="N12" s="213"/>
      <c r="O12" s="225"/>
      <c r="P12" s="213"/>
      <c r="Q12" s="213"/>
      <c r="R12" s="213"/>
      <c r="S12" s="213"/>
      <c r="T12" s="213"/>
      <c r="U12" s="213"/>
      <c r="V12">
        <f t="shared" si="0"/>
        <v>0</v>
      </c>
      <c r="W12">
        <f t="shared" si="1"/>
        <v>0</v>
      </c>
    </row>
    <row r="13" spans="1:23" x14ac:dyDescent="0.2">
      <c r="J13" s="213"/>
      <c r="K13" s="213"/>
      <c r="L13" s="213"/>
      <c r="M13" s="213"/>
      <c r="N13" s="213"/>
      <c r="O13" s="225"/>
      <c r="P13" s="213"/>
      <c r="Q13" s="213"/>
      <c r="R13" s="213"/>
      <c r="S13" s="213"/>
      <c r="T13" s="213"/>
      <c r="U13" s="213"/>
      <c r="V13">
        <f t="shared" si="0"/>
        <v>0</v>
      </c>
      <c r="W13">
        <f t="shared" si="1"/>
        <v>0</v>
      </c>
    </row>
    <row r="14" spans="1:23" x14ac:dyDescent="0.2">
      <c r="J14" s="213"/>
      <c r="K14" s="213"/>
      <c r="L14" s="213"/>
      <c r="M14" s="213"/>
      <c r="N14" s="213"/>
      <c r="O14" s="225"/>
      <c r="P14" s="213"/>
      <c r="Q14" s="213"/>
      <c r="R14" s="213"/>
      <c r="S14" s="213"/>
      <c r="T14" s="213"/>
      <c r="U14" s="213"/>
      <c r="V14">
        <f t="shared" si="0"/>
        <v>0</v>
      </c>
      <c r="W14">
        <f t="shared" si="1"/>
        <v>0</v>
      </c>
    </row>
    <row r="15" spans="1:23" x14ac:dyDescent="0.2">
      <c r="J15" s="213"/>
      <c r="K15" s="213"/>
      <c r="L15" s="213"/>
      <c r="M15" s="213"/>
      <c r="N15" s="213"/>
      <c r="O15" s="225"/>
      <c r="P15" s="213"/>
      <c r="Q15" s="213"/>
      <c r="R15" s="213"/>
      <c r="S15" s="213"/>
      <c r="T15" s="213"/>
      <c r="U15" s="213"/>
      <c r="V15">
        <f t="shared" si="0"/>
        <v>0</v>
      </c>
      <c r="W15">
        <f t="shared" si="1"/>
        <v>0</v>
      </c>
    </row>
    <row r="16" spans="1:23" x14ac:dyDescent="0.2">
      <c r="J16" s="213"/>
      <c r="K16" s="213"/>
      <c r="L16" s="213"/>
      <c r="M16" s="213"/>
      <c r="N16" s="213"/>
      <c r="O16" s="225"/>
      <c r="P16" s="213"/>
      <c r="Q16" s="213"/>
      <c r="R16" s="213"/>
      <c r="S16" s="213"/>
      <c r="T16" s="213"/>
      <c r="U16" s="213"/>
      <c r="V16">
        <f t="shared" si="0"/>
        <v>0</v>
      </c>
      <c r="W16">
        <f t="shared" si="1"/>
        <v>0</v>
      </c>
    </row>
    <row r="17" spans="1:23" x14ac:dyDescent="0.2">
      <c r="J17" s="213"/>
      <c r="K17" s="213"/>
      <c r="L17" s="213"/>
      <c r="M17" s="213"/>
      <c r="N17" s="213"/>
      <c r="O17" s="225"/>
      <c r="P17" s="213"/>
      <c r="Q17" s="213"/>
      <c r="R17" s="213"/>
      <c r="S17" s="213"/>
      <c r="T17" s="213"/>
      <c r="U17" s="213"/>
      <c r="V17">
        <f t="shared" si="0"/>
        <v>0</v>
      </c>
      <c r="W17">
        <f t="shared" si="1"/>
        <v>0</v>
      </c>
    </row>
    <row r="18" spans="1:23" x14ac:dyDescent="0.2">
      <c r="J18" s="213"/>
      <c r="K18" s="213"/>
      <c r="L18" s="213"/>
      <c r="M18" s="213"/>
      <c r="N18" s="213"/>
      <c r="O18" s="225"/>
      <c r="P18" s="213"/>
      <c r="Q18" s="213"/>
      <c r="R18" s="213"/>
      <c r="S18" s="213"/>
      <c r="T18" s="213"/>
      <c r="U18" s="213"/>
      <c r="V18">
        <f t="shared" si="0"/>
        <v>0</v>
      </c>
      <c r="W18">
        <f t="shared" si="1"/>
        <v>0</v>
      </c>
    </row>
    <row r="19" spans="1:23" x14ac:dyDescent="0.2">
      <c r="J19" s="213"/>
      <c r="K19" s="213"/>
      <c r="L19" s="213"/>
      <c r="M19" s="213"/>
      <c r="N19" s="213"/>
      <c r="O19" s="225"/>
      <c r="P19" s="213"/>
      <c r="Q19" s="213"/>
      <c r="R19" s="213"/>
      <c r="S19" s="213"/>
      <c r="T19" s="213"/>
      <c r="U19" s="213"/>
      <c r="V19">
        <f t="shared" si="0"/>
        <v>0</v>
      </c>
      <c r="W19">
        <f t="shared" si="1"/>
        <v>0</v>
      </c>
    </row>
    <row r="20" spans="1:23" x14ac:dyDescent="0.2">
      <c r="J20" s="213"/>
      <c r="K20" s="213"/>
      <c r="L20" s="213"/>
      <c r="M20" s="213"/>
      <c r="N20" s="213"/>
      <c r="O20" s="225"/>
      <c r="P20" s="213"/>
      <c r="Q20" s="213"/>
      <c r="R20" s="213"/>
      <c r="S20" s="213"/>
      <c r="T20" s="213"/>
      <c r="U20" s="213"/>
      <c r="V20">
        <f t="shared" si="0"/>
        <v>0</v>
      </c>
      <c r="W20">
        <f t="shared" si="1"/>
        <v>0</v>
      </c>
    </row>
    <row r="21" spans="1:23" x14ac:dyDescent="0.2">
      <c r="A21" s="153"/>
      <c r="H21" s="153"/>
      <c r="J21" s="213"/>
      <c r="K21" s="213"/>
      <c r="L21" s="213"/>
      <c r="M21" s="213"/>
      <c r="N21" s="213"/>
      <c r="O21" s="225"/>
      <c r="P21" s="213"/>
      <c r="Q21" s="213"/>
      <c r="R21" s="213"/>
      <c r="S21" s="213"/>
      <c r="T21" s="213"/>
      <c r="U21" s="213"/>
      <c r="V21"/>
    </row>
    <row r="22" spans="1:23" x14ac:dyDescent="0.2">
      <c r="J22" s="213"/>
      <c r="K22" s="213"/>
      <c r="L22" s="213"/>
      <c r="M22" s="213"/>
      <c r="N22" s="213"/>
      <c r="O22" s="225"/>
      <c r="P22" s="213"/>
      <c r="Q22" s="213"/>
      <c r="R22" s="213"/>
      <c r="S22" s="213"/>
      <c r="T22" s="213"/>
      <c r="U22" s="213"/>
      <c r="V22"/>
    </row>
    <row r="23" spans="1:23" x14ac:dyDescent="0.2">
      <c r="J23" s="213"/>
      <c r="K23" s="213"/>
      <c r="L23" s="213"/>
      <c r="M23" s="213"/>
      <c r="N23" s="213"/>
      <c r="O23" s="225"/>
      <c r="P23" s="213"/>
      <c r="Q23" s="213"/>
      <c r="R23" s="213"/>
      <c r="S23" s="213"/>
      <c r="T23" s="213"/>
      <c r="U23" s="213"/>
      <c r="V23"/>
    </row>
    <row r="24" spans="1:23" x14ac:dyDescent="0.2">
      <c r="J24" s="213"/>
      <c r="K24" s="213"/>
      <c r="L24" s="213"/>
      <c r="M24" s="213"/>
      <c r="N24" s="213"/>
      <c r="O24" s="225"/>
      <c r="P24" s="213"/>
      <c r="Q24" s="213"/>
      <c r="R24" s="213"/>
      <c r="S24" s="213"/>
      <c r="T24" s="213"/>
      <c r="U24" s="213"/>
      <c r="V24"/>
    </row>
    <row r="25" spans="1:23" x14ac:dyDescent="0.2">
      <c r="J25" s="213"/>
      <c r="K25" s="213"/>
      <c r="L25" s="213"/>
      <c r="M25" s="213"/>
      <c r="N25" s="213"/>
      <c r="O25" s="225"/>
      <c r="P25" s="213"/>
      <c r="Q25" s="213"/>
      <c r="R25" s="213"/>
      <c r="S25" s="213"/>
      <c r="T25" s="213"/>
      <c r="U25" s="213"/>
      <c r="V25"/>
    </row>
    <row r="26" spans="1:23" x14ac:dyDescent="0.2">
      <c r="J26" s="213"/>
      <c r="K26" s="213"/>
      <c r="L26" s="213"/>
      <c r="M26" s="213"/>
      <c r="N26" s="213"/>
      <c r="O26" s="225"/>
      <c r="P26" s="213"/>
      <c r="Q26" s="213"/>
      <c r="R26" s="213"/>
      <c r="S26" s="213"/>
      <c r="T26" s="213"/>
      <c r="U26" s="213"/>
      <c r="V26"/>
    </row>
    <row r="27" spans="1:23" x14ac:dyDescent="0.2">
      <c r="A27" s="5" t="s">
        <v>630</v>
      </c>
      <c r="B27" s="5" t="s">
        <v>11</v>
      </c>
      <c r="C27" s="5"/>
      <c r="D27" s="5"/>
      <c r="E27" s="60"/>
      <c r="F27" s="5"/>
      <c r="G27" s="5"/>
      <c r="H27" s="35" t="s">
        <v>67</v>
      </c>
      <c r="I27" s="224" t="s">
        <v>41</v>
      </c>
      <c r="J27" s="213"/>
      <c r="K27" s="213"/>
      <c r="L27" s="213"/>
      <c r="M27" s="213"/>
      <c r="N27" s="213"/>
      <c r="O27" s="225"/>
      <c r="P27" s="213"/>
      <c r="Q27" s="213"/>
      <c r="R27" s="213"/>
      <c r="S27" s="213"/>
      <c r="T27" s="213"/>
      <c r="U27" s="213"/>
      <c r="V27">
        <f t="shared" ref="V27:V36" si="2">(K27*L27)</f>
        <v>0</v>
      </c>
      <c r="W27">
        <f t="shared" ref="W27:W36" si="3">(Q27*R27)</f>
        <v>0</v>
      </c>
    </row>
    <row r="28" spans="1:23" x14ac:dyDescent="0.2">
      <c r="J28" s="213"/>
      <c r="K28" s="213"/>
      <c r="L28" s="213"/>
      <c r="M28" s="213"/>
      <c r="N28" s="213"/>
      <c r="O28" s="225"/>
      <c r="P28" s="213"/>
      <c r="Q28" s="213"/>
      <c r="R28" s="213"/>
      <c r="S28" s="213"/>
      <c r="T28" s="213"/>
      <c r="U28" s="213"/>
      <c r="V28">
        <f t="shared" si="2"/>
        <v>0</v>
      </c>
      <c r="W28">
        <f t="shared" si="3"/>
        <v>0</v>
      </c>
    </row>
    <row r="29" spans="1:23" x14ac:dyDescent="0.2">
      <c r="J29" s="213"/>
      <c r="K29" s="213"/>
      <c r="L29" s="213"/>
      <c r="M29" s="213"/>
      <c r="N29" s="213"/>
      <c r="O29" s="225"/>
      <c r="P29" s="213"/>
      <c r="Q29" s="213"/>
      <c r="R29" s="213"/>
      <c r="S29" s="213"/>
      <c r="T29" s="213"/>
      <c r="U29" s="213"/>
      <c r="V29">
        <f t="shared" si="2"/>
        <v>0</v>
      </c>
      <c r="W29">
        <f t="shared" si="3"/>
        <v>0</v>
      </c>
    </row>
    <row r="30" spans="1:23" x14ac:dyDescent="0.2">
      <c r="J30" s="213"/>
      <c r="K30" s="213"/>
      <c r="L30" s="213"/>
      <c r="M30" s="213"/>
      <c r="N30" s="213"/>
      <c r="O30" s="225"/>
      <c r="P30" s="213"/>
      <c r="Q30" s="213"/>
      <c r="R30" s="213"/>
      <c r="S30" s="213"/>
      <c r="T30" s="213"/>
      <c r="U30" s="213"/>
      <c r="V30">
        <f t="shared" si="2"/>
        <v>0</v>
      </c>
      <c r="W30">
        <f t="shared" si="3"/>
        <v>0</v>
      </c>
    </row>
    <row r="31" spans="1:23" x14ac:dyDescent="0.2">
      <c r="J31" s="213"/>
      <c r="K31" s="213"/>
      <c r="L31" s="213"/>
      <c r="M31" s="213"/>
      <c r="N31" s="213"/>
      <c r="O31" s="225"/>
      <c r="P31" s="213"/>
      <c r="Q31" s="213"/>
      <c r="R31" s="213"/>
      <c r="S31" s="213"/>
      <c r="T31" s="213"/>
      <c r="U31" s="213"/>
      <c r="V31">
        <f t="shared" si="2"/>
        <v>0</v>
      </c>
      <c r="W31">
        <f t="shared" si="3"/>
        <v>0</v>
      </c>
    </row>
    <row r="32" spans="1:23" x14ac:dyDescent="0.2">
      <c r="J32" s="213"/>
      <c r="K32" s="213"/>
      <c r="L32" s="213"/>
      <c r="M32" s="213"/>
      <c r="N32" s="213"/>
      <c r="O32" s="225"/>
      <c r="P32" s="213"/>
      <c r="Q32" s="213"/>
      <c r="R32" s="213"/>
      <c r="S32" s="213"/>
      <c r="T32" s="213"/>
      <c r="U32" s="213"/>
      <c r="V32">
        <f t="shared" si="2"/>
        <v>0</v>
      </c>
      <c r="W32">
        <f t="shared" si="3"/>
        <v>0</v>
      </c>
    </row>
    <row r="33" spans="1:23" x14ac:dyDescent="0.2">
      <c r="J33" s="213"/>
      <c r="K33" s="213"/>
      <c r="L33" s="213"/>
      <c r="M33" s="213"/>
      <c r="N33" s="213"/>
      <c r="O33" s="225"/>
      <c r="P33" s="213"/>
      <c r="Q33" s="213"/>
      <c r="R33" s="213"/>
      <c r="S33" s="213"/>
      <c r="T33" s="213"/>
      <c r="U33" s="213"/>
      <c r="V33">
        <f t="shared" si="2"/>
        <v>0</v>
      </c>
      <c r="W33">
        <f t="shared" si="3"/>
        <v>0</v>
      </c>
    </row>
    <row r="34" spans="1:23" x14ac:dyDescent="0.2">
      <c r="J34" s="213"/>
      <c r="K34" s="213"/>
      <c r="L34" s="213"/>
      <c r="M34" s="213"/>
      <c r="N34" s="213"/>
      <c r="O34" s="225"/>
      <c r="P34" s="213"/>
      <c r="Q34" s="213"/>
      <c r="R34" s="213"/>
      <c r="S34" s="213"/>
      <c r="T34" s="213"/>
      <c r="U34" s="213"/>
      <c r="V34">
        <f t="shared" si="2"/>
        <v>0</v>
      </c>
      <c r="W34">
        <f t="shared" si="3"/>
        <v>0</v>
      </c>
    </row>
    <row r="35" spans="1:23" x14ac:dyDescent="0.2">
      <c r="J35" s="213"/>
      <c r="K35" s="213"/>
      <c r="L35" s="213"/>
      <c r="M35" s="213"/>
      <c r="N35" s="213"/>
      <c r="O35" s="225"/>
      <c r="P35" s="213"/>
      <c r="Q35" s="213"/>
      <c r="R35" s="213"/>
      <c r="S35" s="213"/>
      <c r="T35" s="213"/>
      <c r="U35" s="213"/>
      <c r="V35">
        <f t="shared" si="2"/>
        <v>0</v>
      </c>
      <c r="W35">
        <f t="shared" si="3"/>
        <v>0</v>
      </c>
    </row>
    <row r="36" spans="1:23" x14ac:dyDescent="0.2">
      <c r="J36" s="213"/>
      <c r="K36" s="213"/>
      <c r="L36" s="213"/>
      <c r="M36" s="213"/>
      <c r="N36" s="213"/>
      <c r="O36" s="225"/>
      <c r="P36" s="213"/>
      <c r="Q36" s="213"/>
      <c r="R36" s="213"/>
      <c r="S36" s="213"/>
      <c r="T36" s="213"/>
      <c r="U36" s="213"/>
      <c r="V36">
        <f t="shared" si="2"/>
        <v>0</v>
      </c>
      <c r="W36">
        <f t="shared" si="3"/>
        <v>0</v>
      </c>
    </row>
    <row r="37" spans="1:23" x14ac:dyDescent="0.2">
      <c r="J37" s="213"/>
      <c r="K37" s="213"/>
      <c r="L37" s="213"/>
      <c r="M37" s="213"/>
      <c r="N37" s="213"/>
      <c r="O37" s="225"/>
      <c r="P37" s="213"/>
      <c r="Q37" s="213"/>
      <c r="R37" s="213"/>
      <c r="S37" s="213"/>
      <c r="T37" s="213"/>
      <c r="U37" s="213"/>
      <c r="V37"/>
    </row>
    <row r="38" spans="1:23" x14ac:dyDescent="0.2">
      <c r="J38" s="213"/>
      <c r="K38" s="213"/>
      <c r="L38" s="213"/>
      <c r="M38" s="213"/>
      <c r="N38" s="213"/>
      <c r="O38" s="225"/>
      <c r="P38" s="213"/>
      <c r="Q38" s="213"/>
      <c r="R38" s="213"/>
      <c r="S38" s="213"/>
      <c r="T38" s="213"/>
      <c r="U38" s="213"/>
      <c r="V38"/>
    </row>
    <row r="39" spans="1:23" x14ac:dyDescent="0.2">
      <c r="J39" s="213"/>
      <c r="K39" s="213"/>
      <c r="L39" s="213"/>
      <c r="M39" s="213"/>
      <c r="N39" s="213"/>
      <c r="O39" s="225"/>
      <c r="P39" s="213"/>
      <c r="Q39" s="213"/>
      <c r="R39" s="213"/>
      <c r="S39" s="213"/>
      <c r="T39" s="213"/>
      <c r="U39" s="213"/>
      <c r="V39"/>
    </row>
    <row r="40" spans="1:23" x14ac:dyDescent="0.2">
      <c r="J40" s="213"/>
      <c r="K40" s="213"/>
      <c r="L40" s="213"/>
      <c r="M40" s="213"/>
      <c r="N40" s="213"/>
      <c r="O40" s="225"/>
      <c r="P40" s="213"/>
      <c r="Q40" s="213"/>
      <c r="R40" s="213"/>
      <c r="S40" s="213"/>
      <c r="T40" s="213"/>
      <c r="U40" s="213"/>
      <c r="V40"/>
    </row>
    <row r="41" spans="1:23" x14ac:dyDescent="0.2">
      <c r="J41" s="213"/>
      <c r="K41" s="213"/>
      <c r="L41" s="213"/>
      <c r="M41" s="213"/>
      <c r="N41" s="213"/>
      <c r="O41" s="225"/>
      <c r="P41" s="213"/>
      <c r="Q41" s="213"/>
      <c r="R41" s="213"/>
      <c r="S41" s="213"/>
      <c r="T41" s="213"/>
      <c r="U41" s="213"/>
      <c r="V41"/>
    </row>
    <row r="42" spans="1:23" x14ac:dyDescent="0.2">
      <c r="A42" s="13"/>
      <c r="B42" s="13"/>
      <c r="C42" s="13"/>
      <c r="D42" s="13"/>
      <c r="E42" s="59"/>
      <c r="F42" s="13"/>
      <c r="G42" s="14"/>
      <c r="H42" s="97"/>
      <c r="J42" s="213"/>
      <c r="K42" s="213"/>
      <c r="L42" s="213"/>
      <c r="M42" s="213"/>
      <c r="N42" s="213"/>
      <c r="O42" s="225"/>
      <c r="P42" s="213"/>
      <c r="Q42" s="213"/>
      <c r="R42" s="213"/>
      <c r="S42" s="213"/>
      <c r="T42" s="213"/>
      <c r="U42" s="213"/>
      <c r="V42">
        <f t="shared" ref="V42:V51" si="4">(K42*L42)</f>
        <v>0</v>
      </c>
      <c r="W42">
        <f t="shared" ref="W42:W51" si="5">(Q42*R42)</f>
        <v>0</v>
      </c>
    </row>
    <row r="43" spans="1:23" x14ac:dyDescent="0.2">
      <c r="J43" s="213"/>
      <c r="K43" s="213"/>
      <c r="L43" s="213"/>
      <c r="M43" s="213"/>
      <c r="N43" s="213"/>
      <c r="O43" s="225"/>
      <c r="P43" s="213"/>
      <c r="Q43" s="213"/>
      <c r="R43" s="213"/>
      <c r="S43" s="213"/>
      <c r="T43" s="213"/>
      <c r="U43" s="213"/>
      <c r="V43">
        <f t="shared" si="4"/>
        <v>0</v>
      </c>
      <c r="W43">
        <f t="shared" si="5"/>
        <v>0</v>
      </c>
    </row>
    <row r="44" spans="1:23" x14ac:dyDescent="0.2">
      <c r="J44" s="213"/>
      <c r="K44" s="213"/>
      <c r="L44" s="213"/>
      <c r="M44" s="213"/>
      <c r="N44" s="213"/>
      <c r="O44" s="225"/>
      <c r="P44" s="213"/>
      <c r="Q44" s="213"/>
      <c r="R44" s="213"/>
      <c r="S44" s="213"/>
      <c r="T44" s="213"/>
      <c r="U44" s="213"/>
      <c r="V44">
        <f t="shared" si="4"/>
        <v>0</v>
      </c>
      <c r="W44">
        <f t="shared" si="5"/>
        <v>0</v>
      </c>
    </row>
    <row r="45" spans="1:23" x14ac:dyDescent="0.2">
      <c r="J45" s="213"/>
      <c r="K45" s="213"/>
      <c r="L45" s="213"/>
      <c r="M45" s="213"/>
      <c r="N45" s="213"/>
      <c r="O45" s="225"/>
      <c r="P45" s="213"/>
      <c r="Q45" s="213"/>
      <c r="R45" s="213"/>
      <c r="S45" s="213"/>
      <c r="T45" s="213"/>
      <c r="U45" s="213"/>
      <c r="V45">
        <f t="shared" si="4"/>
        <v>0</v>
      </c>
      <c r="W45">
        <f t="shared" si="5"/>
        <v>0</v>
      </c>
    </row>
    <row r="46" spans="1:23" x14ac:dyDescent="0.2">
      <c r="J46" s="213"/>
      <c r="K46" s="213"/>
      <c r="L46" s="213"/>
      <c r="M46" s="213"/>
      <c r="N46" s="213"/>
      <c r="O46" s="225"/>
      <c r="P46" s="213"/>
      <c r="Q46" s="213"/>
      <c r="R46" s="213"/>
      <c r="S46" s="213"/>
      <c r="T46" s="213"/>
      <c r="U46" s="213"/>
      <c r="V46">
        <f t="shared" si="4"/>
        <v>0</v>
      </c>
      <c r="W46">
        <f t="shared" si="5"/>
        <v>0</v>
      </c>
    </row>
    <row r="47" spans="1:23" x14ac:dyDescent="0.2">
      <c r="J47" s="213"/>
      <c r="K47" s="213"/>
      <c r="L47" s="213"/>
      <c r="M47" s="213"/>
      <c r="N47" s="213"/>
      <c r="O47" s="225"/>
      <c r="P47" s="213"/>
      <c r="Q47" s="213"/>
      <c r="R47" s="213"/>
      <c r="S47" s="213"/>
      <c r="T47" s="213"/>
      <c r="U47" s="213"/>
      <c r="V47">
        <f t="shared" si="4"/>
        <v>0</v>
      </c>
      <c r="W47">
        <f t="shared" si="5"/>
        <v>0</v>
      </c>
    </row>
    <row r="48" spans="1:23" x14ac:dyDescent="0.2">
      <c r="J48" s="213"/>
      <c r="K48" s="213"/>
      <c r="L48" s="213"/>
      <c r="M48" s="213"/>
      <c r="N48" s="213"/>
      <c r="O48" s="225"/>
      <c r="P48" s="213"/>
      <c r="Q48" s="213"/>
      <c r="R48" s="213"/>
      <c r="S48" s="213"/>
      <c r="T48" s="213"/>
      <c r="U48" s="213"/>
      <c r="V48">
        <f t="shared" si="4"/>
        <v>0</v>
      </c>
      <c r="W48">
        <f t="shared" si="5"/>
        <v>0</v>
      </c>
    </row>
    <row r="49" spans="10:23" x14ac:dyDescent="0.2">
      <c r="J49" s="213"/>
      <c r="K49" s="213"/>
      <c r="L49" s="213"/>
      <c r="M49" s="213"/>
      <c r="N49" s="213"/>
      <c r="O49" s="225"/>
      <c r="P49" s="213"/>
      <c r="Q49" s="213"/>
      <c r="R49" s="213"/>
      <c r="S49" s="213"/>
      <c r="T49" s="213"/>
      <c r="U49" s="213"/>
      <c r="V49">
        <f t="shared" si="4"/>
        <v>0</v>
      </c>
      <c r="W49">
        <f t="shared" si="5"/>
        <v>0</v>
      </c>
    </row>
    <row r="50" spans="10:23" x14ac:dyDescent="0.2">
      <c r="J50" s="213"/>
      <c r="K50" s="213"/>
      <c r="L50" s="213"/>
      <c r="M50" s="213"/>
      <c r="N50" s="213"/>
      <c r="O50" s="225"/>
      <c r="P50" s="213"/>
      <c r="Q50" s="213"/>
      <c r="R50" s="213"/>
      <c r="S50" s="213"/>
      <c r="T50" s="213"/>
      <c r="U50" s="213"/>
      <c r="V50">
        <f t="shared" si="4"/>
        <v>0</v>
      </c>
      <c r="W50">
        <f t="shared" si="5"/>
        <v>0</v>
      </c>
    </row>
    <row r="51" spans="10:23" x14ac:dyDescent="0.2">
      <c r="J51" s="213"/>
      <c r="K51" s="213"/>
      <c r="L51" s="213"/>
      <c r="M51" s="213"/>
      <c r="N51" s="213"/>
      <c r="O51" s="225"/>
      <c r="P51" s="213"/>
      <c r="Q51" s="213"/>
      <c r="R51" s="213"/>
      <c r="S51" s="213"/>
      <c r="T51" s="213"/>
      <c r="U51" s="213"/>
      <c r="V51">
        <f t="shared" si="4"/>
        <v>0</v>
      </c>
      <c r="W51">
        <f t="shared" si="5"/>
        <v>0</v>
      </c>
    </row>
    <row r="52" spans="10:23" x14ac:dyDescent="0.2">
      <c r="J52" s="213"/>
      <c r="K52" s="213"/>
      <c r="L52" s="213"/>
      <c r="M52" s="213"/>
      <c r="N52" s="213"/>
      <c r="O52" s="225"/>
      <c r="P52" s="213"/>
      <c r="Q52" s="213"/>
      <c r="R52" s="213"/>
      <c r="S52" s="213"/>
      <c r="T52" s="213"/>
      <c r="U52" s="213"/>
      <c r="V52"/>
    </row>
    <row r="53" spans="10:23" x14ac:dyDescent="0.2">
      <c r="J53" s="213"/>
      <c r="K53" s="213"/>
      <c r="L53" s="213"/>
      <c r="M53" s="213"/>
      <c r="N53" s="213"/>
      <c r="O53" s="225"/>
      <c r="P53" s="213"/>
      <c r="Q53" s="213"/>
      <c r="R53" s="213"/>
      <c r="S53" s="213"/>
      <c r="T53" s="213"/>
      <c r="U53" s="213"/>
      <c r="V53"/>
    </row>
    <row r="54" spans="10:23" x14ac:dyDescent="0.2">
      <c r="J54" s="213"/>
      <c r="K54" s="213"/>
      <c r="L54" s="213"/>
      <c r="M54" s="213"/>
      <c r="N54" s="213"/>
      <c r="O54" s="225"/>
      <c r="P54" s="213"/>
      <c r="Q54" s="213"/>
      <c r="R54" s="213"/>
      <c r="S54" s="213"/>
      <c r="T54" s="213"/>
      <c r="U54" s="213"/>
      <c r="V54"/>
    </row>
    <row r="55" spans="10:23" x14ac:dyDescent="0.2">
      <c r="J55" s="213"/>
      <c r="K55" s="213"/>
      <c r="L55" s="213"/>
      <c r="M55" s="213"/>
      <c r="N55" s="213"/>
      <c r="O55" s="225"/>
      <c r="P55" s="213"/>
      <c r="Q55" s="213"/>
      <c r="R55" s="213"/>
      <c r="S55" s="213"/>
      <c r="T55" s="213"/>
      <c r="U55" s="213"/>
      <c r="V55"/>
    </row>
    <row r="56" spans="10:23" x14ac:dyDescent="0.2">
      <c r="J56" s="213"/>
      <c r="K56" s="213"/>
      <c r="L56" s="213"/>
      <c r="M56" s="213"/>
      <c r="N56" s="213"/>
      <c r="O56" s="225"/>
      <c r="P56" s="213"/>
      <c r="Q56" s="213"/>
      <c r="R56" s="213"/>
      <c r="S56" s="213"/>
      <c r="T56" s="213"/>
      <c r="U56" s="213"/>
      <c r="V56"/>
    </row>
    <row r="57" spans="10:23" x14ac:dyDescent="0.2">
      <c r="J57" s="213"/>
      <c r="K57" s="213"/>
      <c r="L57" s="213"/>
      <c r="M57" s="213"/>
      <c r="N57" s="213"/>
      <c r="O57" s="225"/>
      <c r="P57" s="213"/>
      <c r="Q57" s="213"/>
      <c r="R57" s="213"/>
      <c r="S57" s="213"/>
      <c r="T57" s="213"/>
      <c r="U57" s="213"/>
      <c r="V57"/>
    </row>
    <row r="58" spans="10:23" x14ac:dyDescent="0.2">
      <c r="J58" s="213"/>
      <c r="K58" s="213"/>
      <c r="L58" s="213"/>
      <c r="M58" s="213"/>
      <c r="N58" s="213"/>
      <c r="O58" s="225"/>
      <c r="P58" s="213"/>
      <c r="Q58" s="213"/>
      <c r="R58" s="213"/>
      <c r="S58" s="213"/>
      <c r="T58" s="213"/>
      <c r="U58" s="213"/>
      <c r="V58"/>
    </row>
    <row r="59" spans="10:23" x14ac:dyDescent="0.2">
      <c r="J59" s="213"/>
      <c r="K59" s="213"/>
      <c r="L59" s="213"/>
      <c r="M59" s="213"/>
      <c r="N59" s="213"/>
      <c r="O59" s="225"/>
      <c r="P59" s="213"/>
      <c r="Q59" s="213"/>
      <c r="R59" s="213"/>
      <c r="S59" s="213"/>
      <c r="T59" s="213"/>
      <c r="U59" s="213"/>
      <c r="V59"/>
    </row>
    <row r="60" spans="10:23" x14ac:dyDescent="0.2">
      <c r="J60" s="213"/>
      <c r="K60" s="213"/>
      <c r="L60" s="213"/>
      <c r="M60" s="213"/>
      <c r="N60" s="213"/>
      <c r="O60" s="225"/>
      <c r="P60" s="213"/>
      <c r="Q60" s="213"/>
      <c r="R60" s="213"/>
      <c r="S60" s="213"/>
      <c r="T60" s="213"/>
      <c r="U60" s="213"/>
      <c r="V60"/>
    </row>
    <row r="61" spans="10:23" x14ac:dyDescent="0.2">
      <c r="J61" s="213"/>
      <c r="K61" s="213"/>
      <c r="L61" s="213"/>
      <c r="M61" s="213"/>
      <c r="N61" s="213"/>
      <c r="O61" s="225"/>
      <c r="P61" s="213"/>
      <c r="Q61" s="213"/>
      <c r="R61" s="213"/>
      <c r="S61" s="213"/>
      <c r="T61" s="213"/>
      <c r="U61" s="213"/>
      <c r="V61"/>
    </row>
    <row r="62" spans="10:23" x14ac:dyDescent="0.2">
      <c r="J62" s="213"/>
      <c r="K62" s="213"/>
      <c r="L62" s="213"/>
      <c r="M62" s="213"/>
      <c r="N62" s="213"/>
      <c r="O62" s="225"/>
      <c r="P62" s="213"/>
      <c r="Q62" s="213"/>
      <c r="R62" s="213"/>
      <c r="S62" s="213"/>
      <c r="T62" s="213"/>
      <c r="U62" s="213"/>
      <c r="V62"/>
    </row>
    <row r="63" spans="10:23" x14ac:dyDescent="0.2">
      <c r="J63" s="213"/>
      <c r="K63" s="213"/>
      <c r="L63" s="213"/>
      <c r="M63" s="213"/>
      <c r="N63" s="213"/>
      <c r="O63" s="225"/>
      <c r="P63" s="213"/>
      <c r="Q63" s="213"/>
      <c r="R63" s="213"/>
      <c r="S63" s="213"/>
      <c r="T63" s="213"/>
      <c r="U63" s="213"/>
      <c r="V63"/>
    </row>
    <row r="64" spans="10:23" x14ac:dyDescent="0.2">
      <c r="J64" s="213"/>
      <c r="K64" s="213"/>
      <c r="L64" s="213"/>
      <c r="M64" s="213"/>
      <c r="N64" s="213"/>
      <c r="O64" s="225"/>
      <c r="P64" s="213"/>
      <c r="Q64" s="213"/>
      <c r="R64" s="213"/>
      <c r="S64" s="213"/>
      <c r="T64" s="213"/>
      <c r="U64" s="213"/>
      <c r="V64"/>
    </row>
    <row r="65" spans="10:22" x14ac:dyDescent="0.2">
      <c r="J65" s="213"/>
      <c r="K65" s="213"/>
      <c r="L65" s="213"/>
      <c r="M65" s="213"/>
      <c r="N65" s="213"/>
      <c r="O65" s="225"/>
      <c r="P65" s="213"/>
      <c r="Q65" s="213"/>
      <c r="R65" s="213"/>
      <c r="S65" s="213"/>
      <c r="T65" s="213"/>
      <c r="U65" s="213"/>
      <c r="V65"/>
    </row>
    <row r="66" spans="10:22" x14ac:dyDescent="0.2">
      <c r="J66" s="213"/>
      <c r="K66" s="213"/>
      <c r="L66" s="213"/>
      <c r="M66" s="213"/>
      <c r="N66" s="213"/>
      <c r="O66" s="225"/>
      <c r="P66" s="213"/>
      <c r="Q66" s="213"/>
      <c r="R66" s="213"/>
      <c r="S66" s="213"/>
      <c r="T66" s="213"/>
      <c r="U66" s="213"/>
      <c r="V66"/>
    </row>
    <row r="67" spans="10:22" x14ac:dyDescent="0.2">
      <c r="J67" s="213"/>
      <c r="K67" s="213"/>
      <c r="L67" s="213"/>
      <c r="M67" s="213"/>
      <c r="N67" s="213"/>
      <c r="O67" s="225"/>
      <c r="P67" s="213"/>
      <c r="Q67" s="213"/>
      <c r="R67" s="213"/>
      <c r="S67" s="213"/>
      <c r="T67" s="213"/>
      <c r="U67" s="213"/>
      <c r="V67"/>
    </row>
    <row r="68" spans="10:22" x14ac:dyDescent="0.2">
      <c r="J68" s="213"/>
      <c r="K68" s="213"/>
      <c r="L68" s="213"/>
      <c r="M68" s="213"/>
      <c r="N68" s="213"/>
      <c r="O68" s="225"/>
      <c r="P68" s="213"/>
      <c r="Q68" s="213"/>
      <c r="R68" s="213"/>
      <c r="S68" s="213"/>
      <c r="T68" s="213"/>
      <c r="U68" s="213"/>
      <c r="V68"/>
    </row>
    <row r="69" spans="10:22" x14ac:dyDescent="0.2">
      <c r="J69" s="213"/>
      <c r="K69" s="213"/>
      <c r="L69" s="213"/>
      <c r="M69" s="213"/>
      <c r="N69" s="213"/>
      <c r="O69" s="225"/>
      <c r="P69" s="213"/>
      <c r="Q69" s="213"/>
      <c r="R69" s="213"/>
      <c r="S69" s="213"/>
      <c r="T69" s="213"/>
      <c r="U69" s="213"/>
      <c r="V69"/>
    </row>
    <row r="70" spans="10:22" x14ac:dyDescent="0.2">
      <c r="J70" s="213"/>
      <c r="K70" s="213"/>
      <c r="L70" s="213"/>
      <c r="M70" s="213"/>
      <c r="N70" s="213"/>
      <c r="O70" s="225"/>
      <c r="P70" s="213"/>
      <c r="Q70" s="213"/>
      <c r="R70" s="213"/>
      <c r="S70" s="213"/>
      <c r="T70" s="213"/>
      <c r="U70" s="213"/>
      <c r="V70"/>
    </row>
    <row r="71" spans="10:22" x14ac:dyDescent="0.2">
      <c r="J71" s="213"/>
      <c r="K71" s="213"/>
      <c r="L71" s="213"/>
      <c r="M71" s="213"/>
      <c r="N71" s="213"/>
      <c r="O71" s="225"/>
      <c r="P71" s="213"/>
      <c r="Q71" s="213"/>
      <c r="R71" s="213"/>
      <c r="S71" s="213"/>
      <c r="T71" s="213"/>
      <c r="U71" s="213"/>
      <c r="V71"/>
    </row>
    <row r="72" spans="10:22" x14ac:dyDescent="0.2">
      <c r="J72" s="213"/>
      <c r="K72" s="213"/>
      <c r="L72" s="213"/>
      <c r="M72" s="213"/>
      <c r="N72" s="213"/>
      <c r="O72" s="225"/>
      <c r="P72" s="213"/>
      <c r="Q72" s="213"/>
      <c r="R72" s="213"/>
      <c r="S72" s="213"/>
      <c r="T72" s="213"/>
      <c r="U72" s="213"/>
      <c r="V72"/>
    </row>
    <row r="73" spans="10:22" x14ac:dyDescent="0.2">
      <c r="J73" s="213"/>
      <c r="K73" s="213"/>
      <c r="L73" s="213"/>
      <c r="M73" s="213"/>
      <c r="N73" s="213"/>
      <c r="O73" s="225"/>
      <c r="P73" s="213"/>
      <c r="Q73" s="213"/>
      <c r="R73" s="213"/>
      <c r="S73" s="213"/>
      <c r="T73" s="213"/>
      <c r="U73" s="213"/>
      <c r="V73"/>
    </row>
    <row r="74" spans="10:22" x14ac:dyDescent="0.2">
      <c r="J74" s="213"/>
      <c r="K74" s="213"/>
      <c r="L74" s="213"/>
      <c r="M74" s="213"/>
      <c r="N74" s="213"/>
      <c r="O74" s="225"/>
      <c r="P74" s="213"/>
      <c r="Q74" s="213"/>
      <c r="R74" s="213"/>
      <c r="S74" s="213"/>
      <c r="T74" s="213"/>
      <c r="U74" s="213"/>
      <c r="V74"/>
    </row>
    <row r="75" spans="10:22" x14ac:dyDescent="0.2">
      <c r="J75" s="213"/>
      <c r="K75" s="213"/>
      <c r="L75" s="213"/>
      <c r="M75" s="213"/>
      <c r="N75" s="213"/>
      <c r="O75" s="225"/>
      <c r="P75" s="213"/>
      <c r="Q75" s="213"/>
      <c r="R75" s="213"/>
      <c r="S75" s="213"/>
      <c r="T75" s="213"/>
      <c r="U75" s="213"/>
      <c r="V75"/>
    </row>
    <row r="76" spans="10:22" x14ac:dyDescent="0.2">
      <c r="J76" s="213"/>
      <c r="K76" s="213"/>
      <c r="L76" s="213"/>
      <c r="M76" s="213"/>
      <c r="N76" s="213"/>
      <c r="O76" s="225"/>
      <c r="P76" s="213"/>
      <c r="Q76" s="213"/>
      <c r="R76" s="213"/>
      <c r="S76" s="213"/>
      <c r="T76" s="213"/>
      <c r="U76" s="213"/>
      <c r="V76"/>
    </row>
    <row r="77" spans="10:22" x14ac:dyDescent="0.2">
      <c r="J77" s="213"/>
      <c r="K77" s="213"/>
      <c r="L77" s="213"/>
      <c r="M77" s="213"/>
      <c r="N77" s="213"/>
      <c r="O77" s="225"/>
      <c r="P77" s="213"/>
      <c r="Q77" s="213"/>
      <c r="R77" s="213"/>
      <c r="S77" s="213"/>
      <c r="T77" s="213"/>
      <c r="U77" s="213"/>
      <c r="V77"/>
    </row>
    <row r="78" spans="10:22" x14ac:dyDescent="0.2">
      <c r="J78" s="213"/>
      <c r="K78" s="213"/>
      <c r="L78" s="213"/>
      <c r="M78" s="213"/>
      <c r="N78" s="213"/>
      <c r="O78" s="225"/>
      <c r="P78" s="213"/>
      <c r="Q78" s="213"/>
      <c r="R78" s="213"/>
      <c r="S78" s="213"/>
      <c r="T78" s="213"/>
      <c r="U78" s="213"/>
      <c r="V78"/>
    </row>
    <row r="79" spans="10:22" x14ac:dyDescent="0.2">
      <c r="J79" s="213"/>
      <c r="K79" s="213"/>
      <c r="L79" s="213"/>
      <c r="M79" s="213"/>
      <c r="N79" s="213"/>
      <c r="O79" s="225"/>
      <c r="P79" s="213"/>
      <c r="Q79" s="213"/>
      <c r="R79" s="213"/>
      <c r="S79" s="213"/>
      <c r="T79" s="213"/>
      <c r="U79" s="213"/>
      <c r="V79"/>
    </row>
    <row r="80" spans="10:22" x14ac:dyDescent="0.2">
      <c r="J80" s="213"/>
      <c r="K80" s="213"/>
      <c r="L80" s="213"/>
      <c r="M80" s="213"/>
      <c r="N80" s="213"/>
      <c r="O80" s="225"/>
      <c r="P80" s="213"/>
      <c r="Q80" s="213"/>
      <c r="R80" s="213"/>
      <c r="S80" s="213"/>
      <c r="T80" s="213"/>
      <c r="U80" s="213"/>
      <c r="V80"/>
    </row>
    <row r="81" spans="10:23" x14ac:dyDescent="0.2">
      <c r="J81" s="213"/>
      <c r="K81" s="213"/>
      <c r="L81" s="213"/>
      <c r="M81" s="213"/>
      <c r="N81" s="213"/>
      <c r="O81" s="225"/>
      <c r="P81" s="213"/>
      <c r="Q81" s="213"/>
      <c r="R81" s="213"/>
      <c r="S81" s="213"/>
      <c r="T81" s="213"/>
      <c r="U81" s="213"/>
      <c r="V81"/>
    </row>
    <row r="82" spans="10:23" x14ac:dyDescent="0.2">
      <c r="J82" s="213"/>
      <c r="K82" s="213"/>
      <c r="L82" s="213"/>
      <c r="M82" s="213"/>
      <c r="N82" s="213"/>
      <c r="O82" s="225"/>
      <c r="P82" s="213"/>
      <c r="Q82" s="213"/>
      <c r="R82" s="213"/>
      <c r="S82" s="213"/>
      <c r="T82" s="213"/>
      <c r="U82" s="213"/>
      <c r="V82"/>
    </row>
    <row r="83" spans="10:23" x14ac:dyDescent="0.2">
      <c r="J83" s="213"/>
      <c r="K83" s="213"/>
      <c r="L83" s="213"/>
      <c r="M83" s="213"/>
      <c r="N83" s="213"/>
      <c r="O83" s="225"/>
      <c r="P83" s="213"/>
      <c r="Q83" s="213"/>
      <c r="R83" s="213"/>
      <c r="S83" s="213"/>
      <c r="T83" s="213"/>
      <c r="U83" s="213"/>
      <c r="V83"/>
    </row>
    <row r="84" spans="10:23" x14ac:dyDescent="0.2">
      <c r="J84" s="213"/>
      <c r="K84" s="213"/>
      <c r="L84" s="213"/>
      <c r="M84" s="213"/>
      <c r="N84" s="213"/>
      <c r="O84" s="225"/>
      <c r="P84" s="213"/>
      <c r="Q84" s="213"/>
      <c r="R84" s="213"/>
      <c r="S84" s="213"/>
      <c r="T84" s="213"/>
      <c r="U84" s="213"/>
      <c r="V84"/>
    </row>
    <row r="85" spans="10:23" x14ac:dyDescent="0.2">
      <c r="J85" s="213"/>
      <c r="K85" s="213"/>
      <c r="L85" s="213"/>
      <c r="M85" s="213"/>
      <c r="N85" s="213"/>
      <c r="O85" s="225"/>
      <c r="P85" s="213"/>
      <c r="Q85" s="213"/>
      <c r="R85" s="213"/>
      <c r="S85" s="213"/>
      <c r="T85" s="213"/>
      <c r="U85" s="213"/>
      <c r="V85"/>
    </row>
    <row r="86" spans="10:23" x14ac:dyDescent="0.2">
      <c r="J86" s="213"/>
      <c r="K86" s="213"/>
      <c r="L86" s="213"/>
      <c r="M86" s="213"/>
      <c r="N86" s="213"/>
      <c r="O86" s="225"/>
      <c r="P86" s="213"/>
      <c r="Q86" s="213"/>
      <c r="R86" s="213"/>
      <c r="S86" s="213"/>
      <c r="T86" s="213"/>
      <c r="U86" s="213"/>
      <c r="V86"/>
    </row>
    <row r="87" spans="10:23" x14ac:dyDescent="0.2">
      <c r="J87" s="213"/>
      <c r="K87" s="213"/>
      <c r="L87" s="213"/>
      <c r="M87" s="213"/>
      <c r="N87" s="213"/>
      <c r="O87" s="225"/>
      <c r="P87" s="213"/>
      <c r="Q87" s="213"/>
      <c r="R87" s="213"/>
      <c r="S87" s="213"/>
      <c r="T87" s="213"/>
      <c r="U87" s="213"/>
      <c r="V87"/>
    </row>
    <row r="88" spans="10:23" x14ac:dyDescent="0.2">
      <c r="J88" s="213"/>
      <c r="K88" s="213"/>
      <c r="L88" s="213"/>
      <c r="M88" s="213"/>
      <c r="N88" s="213"/>
      <c r="O88" s="225"/>
      <c r="P88" s="213"/>
      <c r="Q88" s="213"/>
      <c r="R88" s="213"/>
      <c r="S88" s="213"/>
      <c r="T88" s="213"/>
      <c r="U88" s="213"/>
      <c r="W88" s="30"/>
    </row>
    <row r="89" spans="10:23" x14ac:dyDescent="0.2">
      <c r="J89" s="213"/>
      <c r="K89" s="213"/>
      <c r="L89" s="213"/>
      <c r="M89" s="213"/>
      <c r="N89" s="213"/>
      <c r="O89" s="225"/>
      <c r="P89" s="213"/>
      <c r="Q89" s="213"/>
      <c r="R89" s="213"/>
      <c r="S89" s="213"/>
      <c r="T89" s="213"/>
      <c r="U89" s="213"/>
      <c r="W89" s="30"/>
    </row>
    <row r="90" spans="10:23" x14ac:dyDescent="0.2">
      <c r="J90" s="213"/>
      <c r="K90" s="213"/>
      <c r="L90" s="213"/>
      <c r="M90" s="213"/>
      <c r="N90" s="213"/>
      <c r="O90" s="225"/>
      <c r="P90" s="213"/>
      <c r="Q90" s="213"/>
      <c r="R90" s="213"/>
      <c r="S90" s="213"/>
      <c r="T90" s="213"/>
      <c r="U90" s="213"/>
      <c r="W90" s="30"/>
    </row>
    <row r="91" spans="10:23" x14ac:dyDescent="0.2">
      <c r="J91" s="213"/>
      <c r="K91" s="213"/>
      <c r="L91" s="213"/>
      <c r="M91" s="213"/>
      <c r="N91" s="213"/>
      <c r="O91" s="225"/>
      <c r="P91" s="213"/>
      <c r="Q91" s="213"/>
      <c r="R91" s="213"/>
      <c r="S91" s="213"/>
      <c r="T91" s="213"/>
      <c r="U91" s="213"/>
      <c r="W91" s="30"/>
    </row>
    <row r="92" spans="10:23" x14ac:dyDescent="0.2">
      <c r="J92" s="213"/>
      <c r="K92" s="213"/>
      <c r="L92" s="213"/>
      <c r="M92" s="213"/>
      <c r="N92" s="213"/>
      <c r="O92" s="225"/>
      <c r="P92" s="213"/>
      <c r="Q92" s="213"/>
      <c r="R92" s="213"/>
      <c r="S92" s="213"/>
      <c r="T92" s="213"/>
      <c r="U92" s="213"/>
      <c r="W92" s="30"/>
    </row>
    <row r="93" spans="10:23" x14ac:dyDescent="0.2">
      <c r="J93" s="213"/>
      <c r="K93" s="213"/>
      <c r="L93" s="213"/>
      <c r="M93" s="213"/>
      <c r="N93" s="213"/>
      <c r="O93" s="225"/>
      <c r="P93" s="213"/>
      <c r="Q93" s="213"/>
      <c r="R93" s="213"/>
      <c r="S93" s="213"/>
      <c r="T93" s="213"/>
      <c r="U93" s="213"/>
      <c r="W93" s="30"/>
    </row>
    <row r="94" spans="10:23" x14ac:dyDescent="0.2">
      <c r="J94" s="213"/>
      <c r="K94" s="213"/>
      <c r="L94" s="213"/>
      <c r="M94" s="213"/>
      <c r="N94" s="213"/>
      <c r="O94" s="225"/>
      <c r="P94" s="213"/>
      <c r="Q94" s="213"/>
      <c r="R94" s="213"/>
      <c r="S94" s="213"/>
      <c r="T94" s="213"/>
      <c r="U94" s="213"/>
      <c r="W94" s="30"/>
    </row>
    <row r="95" spans="10:23" x14ac:dyDescent="0.2">
      <c r="J95" s="213"/>
      <c r="K95" s="213"/>
      <c r="L95" s="213"/>
      <c r="M95" s="213"/>
      <c r="N95" s="213"/>
      <c r="O95" s="225"/>
      <c r="P95" s="213"/>
      <c r="Q95" s="213"/>
      <c r="R95" s="213"/>
      <c r="S95" s="213"/>
      <c r="T95" s="213"/>
      <c r="U95" s="213"/>
      <c r="W95" s="30"/>
    </row>
    <row r="96" spans="10:23" x14ac:dyDescent="0.2">
      <c r="J96" s="213"/>
      <c r="K96" s="213"/>
      <c r="L96" s="213"/>
      <c r="M96" s="213"/>
      <c r="N96" s="213"/>
      <c r="O96" s="225"/>
      <c r="P96" s="213"/>
      <c r="Q96" s="213"/>
      <c r="R96" s="213"/>
      <c r="S96" s="213"/>
      <c r="T96" s="213"/>
      <c r="U96" s="213"/>
      <c r="W96" s="30"/>
    </row>
    <row r="97" spans="10:23" x14ac:dyDescent="0.2">
      <c r="J97" s="213"/>
      <c r="K97" s="213"/>
      <c r="L97" s="213"/>
      <c r="M97" s="213"/>
      <c r="N97" s="213"/>
      <c r="O97" s="225"/>
      <c r="P97" s="213"/>
      <c r="Q97" s="213"/>
      <c r="R97" s="213"/>
      <c r="S97" s="213"/>
      <c r="T97" s="213"/>
      <c r="U97" s="213"/>
      <c r="W97" s="30"/>
    </row>
    <row r="98" spans="10:23" x14ac:dyDescent="0.2">
      <c r="J98" s="213"/>
      <c r="K98" s="213"/>
      <c r="L98" s="213"/>
      <c r="M98" s="213"/>
      <c r="N98" s="213"/>
      <c r="O98" s="225"/>
      <c r="P98" s="213"/>
      <c r="Q98" s="213"/>
      <c r="R98" s="213"/>
      <c r="S98" s="213"/>
      <c r="T98" s="213"/>
      <c r="U98" s="213"/>
      <c r="W98" s="30"/>
    </row>
    <row r="99" spans="10:23" x14ac:dyDescent="0.2">
      <c r="J99" s="213"/>
      <c r="K99" s="213"/>
      <c r="L99" s="213"/>
      <c r="M99" s="213"/>
      <c r="N99" s="213"/>
      <c r="O99" s="225"/>
      <c r="P99" s="213"/>
      <c r="Q99" s="213"/>
      <c r="R99" s="213"/>
      <c r="S99" s="213"/>
      <c r="T99" s="213"/>
      <c r="U99" s="213"/>
      <c r="W99" s="30"/>
    </row>
    <row r="100" spans="10:23" x14ac:dyDescent="0.2">
      <c r="J100" s="213"/>
      <c r="K100" s="213"/>
      <c r="L100" s="213"/>
      <c r="M100" s="213"/>
      <c r="N100" s="213"/>
      <c r="O100" s="225"/>
      <c r="P100" s="213"/>
      <c r="Q100" s="213"/>
      <c r="R100" s="213"/>
      <c r="S100" s="213"/>
      <c r="T100" s="213"/>
      <c r="U100" s="213"/>
      <c r="W100" s="30"/>
    </row>
    <row r="101" spans="10:23" x14ac:dyDescent="0.2">
      <c r="J101" s="213"/>
      <c r="K101" s="213"/>
      <c r="L101" s="213"/>
      <c r="M101" s="213"/>
      <c r="N101" s="213"/>
      <c r="O101" s="225"/>
      <c r="P101" s="213"/>
      <c r="Q101" s="213"/>
      <c r="R101" s="213"/>
      <c r="S101" s="213"/>
      <c r="T101" s="213"/>
      <c r="U101" s="213"/>
      <c r="W101" s="30"/>
    </row>
    <row r="102" spans="10:23" x14ac:dyDescent="0.2">
      <c r="J102" s="213"/>
      <c r="K102" s="213"/>
      <c r="L102" s="213"/>
      <c r="M102" s="213"/>
      <c r="N102" s="213"/>
      <c r="O102" s="225"/>
      <c r="P102" s="213"/>
      <c r="Q102" s="213"/>
      <c r="R102" s="213"/>
      <c r="S102" s="213"/>
      <c r="T102" s="213"/>
      <c r="U102" s="213"/>
      <c r="W102" s="30"/>
    </row>
    <row r="103" spans="10:23" x14ac:dyDescent="0.2">
      <c r="J103" s="213"/>
      <c r="K103" s="213"/>
      <c r="L103" s="213"/>
      <c r="M103" s="213"/>
      <c r="N103" s="213"/>
      <c r="O103" s="225"/>
      <c r="P103" s="213"/>
      <c r="Q103" s="213"/>
      <c r="R103" s="213"/>
      <c r="S103" s="213"/>
      <c r="T103" s="213"/>
      <c r="U103" s="213"/>
      <c r="W103" s="30"/>
    </row>
    <row r="104" spans="10:23" x14ac:dyDescent="0.2">
      <c r="J104" s="213"/>
      <c r="K104" s="213"/>
      <c r="L104" s="213"/>
      <c r="M104" s="213"/>
      <c r="N104" s="213"/>
      <c r="O104" s="225"/>
      <c r="P104" s="213"/>
      <c r="Q104" s="213"/>
      <c r="R104" s="213"/>
      <c r="S104" s="213"/>
      <c r="T104" s="213"/>
      <c r="U104" s="213"/>
      <c r="W104" s="30"/>
    </row>
    <row r="105" spans="10:23" x14ac:dyDescent="0.2">
      <c r="J105" s="213"/>
      <c r="K105" s="213"/>
      <c r="L105" s="213"/>
      <c r="M105" s="213"/>
      <c r="N105" s="213"/>
      <c r="O105" s="225"/>
      <c r="P105" s="213"/>
      <c r="Q105" s="213"/>
      <c r="R105" s="213"/>
      <c r="S105" s="213"/>
      <c r="T105" s="213"/>
      <c r="U105" s="213"/>
      <c r="W105" s="30"/>
    </row>
    <row r="106" spans="10:23" x14ac:dyDescent="0.2">
      <c r="J106" s="213"/>
      <c r="K106" s="213"/>
      <c r="L106" s="213"/>
      <c r="M106" s="213"/>
      <c r="N106" s="213"/>
      <c r="O106" s="225"/>
      <c r="P106" s="213"/>
      <c r="Q106" s="213"/>
      <c r="R106" s="213"/>
      <c r="S106" s="213"/>
      <c r="T106" s="213"/>
      <c r="U106" s="213"/>
      <c r="W106" s="30"/>
    </row>
    <row r="107" spans="10:23" x14ac:dyDescent="0.2">
      <c r="J107" s="213"/>
      <c r="K107" s="213"/>
      <c r="L107" s="213"/>
      <c r="M107" s="213"/>
      <c r="N107" s="213"/>
      <c r="O107" s="225"/>
      <c r="P107" s="213"/>
      <c r="Q107" s="213"/>
      <c r="R107" s="213"/>
      <c r="S107" s="213"/>
      <c r="T107" s="213"/>
      <c r="U107" s="213"/>
      <c r="W107" s="30"/>
    </row>
    <row r="108" spans="10:23" x14ac:dyDescent="0.2">
      <c r="J108" s="213"/>
      <c r="K108" s="213"/>
      <c r="L108" s="213"/>
      <c r="M108" s="213"/>
      <c r="N108" s="213"/>
      <c r="O108" s="225"/>
      <c r="P108" s="213"/>
      <c r="Q108" s="213"/>
      <c r="R108" s="213"/>
      <c r="S108" s="213"/>
      <c r="T108" s="213"/>
      <c r="U108" s="213"/>
      <c r="W108" s="30"/>
    </row>
    <row r="109" spans="10:23" x14ac:dyDescent="0.2">
      <c r="J109" s="213"/>
      <c r="K109" s="213"/>
      <c r="L109" s="213"/>
      <c r="M109" s="213"/>
      <c r="N109" s="213"/>
      <c r="O109" s="225"/>
      <c r="P109" s="213"/>
      <c r="Q109" s="213"/>
      <c r="R109" s="213"/>
      <c r="S109" s="213"/>
      <c r="T109" s="213"/>
      <c r="U109" s="213"/>
      <c r="W109" s="30"/>
    </row>
    <row r="110" spans="10:23" x14ac:dyDescent="0.2">
      <c r="J110" s="213"/>
      <c r="K110" s="213"/>
      <c r="L110" s="213"/>
      <c r="M110" s="213"/>
      <c r="N110" s="213"/>
      <c r="O110" s="225"/>
      <c r="P110" s="213"/>
      <c r="Q110" s="213"/>
      <c r="R110" s="213"/>
      <c r="S110" s="213"/>
      <c r="T110" s="213"/>
      <c r="U110" s="213"/>
      <c r="W110" s="30"/>
    </row>
    <row r="111" spans="10:23" x14ac:dyDescent="0.2">
      <c r="J111" s="213"/>
      <c r="K111" s="213"/>
      <c r="L111" s="213"/>
      <c r="M111" s="213"/>
      <c r="N111" s="213"/>
      <c r="O111" s="225"/>
      <c r="P111" s="213"/>
      <c r="Q111" s="213"/>
      <c r="R111" s="213"/>
      <c r="S111" s="213"/>
      <c r="T111" s="213"/>
      <c r="U111" s="213"/>
      <c r="W111" s="30"/>
    </row>
    <row r="112" spans="10:23" x14ac:dyDescent="0.2">
      <c r="J112" s="213"/>
      <c r="K112" s="213"/>
      <c r="L112" s="213"/>
      <c r="M112" s="213"/>
      <c r="N112" s="213"/>
      <c r="O112" s="225"/>
      <c r="P112" s="213"/>
      <c r="Q112" s="213"/>
      <c r="R112" s="213"/>
      <c r="S112" s="213"/>
      <c r="T112" s="213"/>
      <c r="U112" s="213"/>
      <c r="W112" s="30"/>
    </row>
    <row r="113" spans="10:23" x14ac:dyDescent="0.2">
      <c r="J113" s="213"/>
      <c r="K113" s="213"/>
      <c r="L113" s="213"/>
      <c r="M113" s="213"/>
      <c r="N113" s="213"/>
      <c r="O113" s="225"/>
      <c r="P113" s="213"/>
      <c r="Q113" s="213"/>
      <c r="R113" s="213"/>
      <c r="S113" s="213"/>
      <c r="T113" s="213"/>
      <c r="U113" s="213"/>
      <c r="W113" s="30"/>
    </row>
    <row r="114" spans="10:23" x14ac:dyDescent="0.2">
      <c r="J114" s="213"/>
      <c r="K114" s="213"/>
      <c r="L114" s="213"/>
      <c r="M114" s="213"/>
      <c r="N114" s="213"/>
      <c r="O114" s="225"/>
      <c r="P114" s="213"/>
      <c r="Q114" s="213"/>
      <c r="R114" s="213"/>
      <c r="S114" s="213"/>
      <c r="T114" s="213"/>
      <c r="U114" s="213"/>
      <c r="W114" s="30"/>
    </row>
    <row r="115" spans="10:23" x14ac:dyDescent="0.2">
      <c r="J115" s="213"/>
      <c r="K115" s="213"/>
      <c r="L115" s="213"/>
      <c r="M115" s="213"/>
      <c r="N115" s="213"/>
      <c r="O115" s="225"/>
      <c r="P115" s="213"/>
      <c r="Q115" s="213"/>
      <c r="R115" s="213"/>
      <c r="S115" s="213"/>
      <c r="T115" s="213"/>
      <c r="U115" s="213"/>
      <c r="W115" s="30"/>
    </row>
    <row r="116" spans="10:23" x14ac:dyDescent="0.2">
      <c r="J116" s="213"/>
      <c r="K116" s="213"/>
      <c r="L116" s="213"/>
      <c r="M116" s="213"/>
      <c r="N116" s="213"/>
      <c r="O116" s="225"/>
      <c r="P116" s="213"/>
      <c r="Q116" s="213"/>
      <c r="R116" s="213"/>
      <c r="S116" s="213"/>
      <c r="T116" s="213"/>
      <c r="U116" s="213"/>
      <c r="W116" s="30"/>
    </row>
    <row r="117" spans="10:23" x14ac:dyDescent="0.2">
      <c r="J117" s="213"/>
      <c r="K117" s="213"/>
      <c r="L117" s="213"/>
      <c r="M117" s="213"/>
      <c r="N117" s="213"/>
      <c r="O117" s="225"/>
      <c r="P117" s="213"/>
      <c r="Q117" s="213"/>
      <c r="R117" s="213"/>
      <c r="S117" s="213"/>
      <c r="T117" s="213"/>
      <c r="U117" s="213"/>
      <c r="W117" s="30"/>
    </row>
    <row r="118" spans="10:23" x14ac:dyDescent="0.2">
      <c r="J118" s="213"/>
      <c r="K118" s="213"/>
      <c r="L118" s="213"/>
      <c r="M118" s="213"/>
      <c r="N118" s="213"/>
      <c r="O118" s="225"/>
      <c r="P118" s="213"/>
      <c r="Q118" s="213"/>
      <c r="R118" s="213"/>
      <c r="S118" s="213"/>
      <c r="T118" s="213"/>
      <c r="U118" s="213"/>
      <c r="W118" s="30"/>
    </row>
    <row r="119" spans="10:23" x14ac:dyDescent="0.2">
      <c r="J119" s="213"/>
      <c r="K119" s="213"/>
      <c r="L119" s="213"/>
      <c r="M119" s="213"/>
      <c r="N119" s="213"/>
      <c r="O119" s="225"/>
      <c r="P119" s="213"/>
      <c r="Q119" s="213"/>
      <c r="R119" s="213"/>
      <c r="S119" s="213"/>
      <c r="T119" s="213"/>
      <c r="U119" s="213"/>
      <c r="W119" s="30"/>
    </row>
    <row r="120" spans="10:23" x14ac:dyDescent="0.2">
      <c r="J120" s="213"/>
      <c r="K120" s="213"/>
      <c r="L120" s="213"/>
      <c r="M120" s="213"/>
      <c r="N120" s="213"/>
      <c r="O120" s="225"/>
      <c r="P120" s="213"/>
      <c r="Q120" s="213"/>
      <c r="R120" s="213"/>
      <c r="S120" s="213"/>
      <c r="T120" s="213"/>
      <c r="U120" s="213"/>
      <c r="W120" s="30"/>
    </row>
    <row r="121" spans="10:23" x14ac:dyDescent="0.2">
      <c r="J121" s="213"/>
      <c r="K121" s="213"/>
      <c r="L121" s="213"/>
      <c r="M121" s="213"/>
      <c r="N121" s="213"/>
      <c r="O121" s="225"/>
      <c r="P121" s="213"/>
      <c r="Q121" s="213"/>
      <c r="R121" s="213"/>
      <c r="S121" s="213"/>
      <c r="T121" s="213"/>
      <c r="U121" s="213"/>
      <c r="W121" s="30"/>
    </row>
    <row r="122" spans="10:23" x14ac:dyDescent="0.2">
      <c r="J122" s="213"/>
      <c r="K122" s="213"/>
      <c r="L122" s="213"/>
      <c r="M122" s="213"/>
      <c r="N122" s="213"/>
      <c r="O122" s="225"/>
      <c r="P122" s="213"/>
      <c r="Q122" s="213"/>
      <c r="R122" s="213"/>
      <c r="S122" s="213"/>
      <c r="T122" s="213"/>
      <c r="U122" s="213"/>
      <c r="W122" s="30"/>
    </row>
    <row r="123" spans="10:23" x14ac:dyDescent="0.2">
      <c r="J123" s="213"/>
      <c r="K123" s="213"/>
      <c r="L123" s="213"/>
      <c r="M123" s="213"/>
      <c r="N123" s="213"/>
      <c r="O123" s="225"/>
      <c r="P123" s="213"/>
      <c r="Q123" s="213"/>
      <c r="R123" s="213"/>
      <c r="S123" s="213"/>
      <c r="T123" s="213"/>
      <c r="U123" s="213"/>
      <c r="W123" s="30"/>
    </row>
    <row r="124" spans="10:23" x14ac:dyDescent="0.2">
      <c r="J124" s="213"/>
      <c r="K124" s="213"/>
      <c r="L124" s="213"/>
      <c r="M124" s="213"/>
      <c r="N124" s="213"/>
      <c r="O124" s="225"/>
      <c r="P124" s="213"/>
      <c r="Q124" s="213"/>
      <c r="R124" s="213"/>
      <c r="S124" s="213"/>
      <c r="T124" s="213"/>
      <c r="U124" s="213"/>
      <c r="W124" s="30"/>
    </row>
    <row r="125" spans="10:23" x14ac:dyDescent="0.2">
      <c r="J125" s="213"/>
      <c r="K125" s="213"/>
      <c r="L125" s="213"/>
      <c r="M125" s="213"/>
      <c r="N125" s="213"/>
      <c r="O125" s="225"/>
      <c r="P125" s="213"/>
      <c r="Q125" s="213"/>
      <c r="R125" s="213"/>
      <c r="S125" s="213"/>
      <c r="T125" s="213"/>
      <c r="U125" s="213"/>
      <c r="W125" s="30"/>
    </row>
    <row r="126" spans="10:23" x14ac:dyDescent="0.2">
      <c r="J126" s="213"/>
      <c r="K126" s="213"/>
      <c r="L126" s="213"/>
      <c r="M126" s="213"/>
      <c r="N126" s="213"/>
      <c r="O126" s="225"/>
      <c r="P126" s="213"/>
      <c r="Q126" s="213"/>
      <c r="R126" s="213"/>
      <c r="S126" s="213"/>
      <c r="T126" s="213"/>
      <c r="U126" s="213"/>
      <c r="W126" s="30"/>
    </row>
    <row r="127" spans="10:23" x14ac:dyDescent="0.2">
      <c r="J127" s="213"/>
      <c r="K127" s="213"/>
      <c r="L127" s="213"/>
      <c r="M127" s="213"/>
      <c r="N127" s="213"/>
      <c r="O127" s="225"/>
      <c r="P127" s="213"/>
      <c r="Q127" s="213"/>
      <c r="R127" s="213"/>
      <c r="S127" s="213"/>
      <c r="T127" s="213"/>
      <c r="U127" s="213"/>
      <c r="W127" s="30"/>
    </row>
    <row r="128" spans="10:23" x14ac:dyDescent="0.2">
      <c r="J128" s="213"/>
      <c r="K128" s="213"/>
      <c r="L128" s="213"/>
      <c r="M128" s="213"/>
      <c r="N128" s="213"/>
      <c r="O128" s="225"/>
      <c r="P128" s="213"/>
      <c r="Q128" s="213"/>
      <c r="R128" s="213"/>
      <c r="S128" s="213"/>
      <c r="T128" s="213"/>
      <c r="U128" s="213"/>
      <c r="W128" s="30"/>
    </row>
    <row r="129" spans="10:23" x14ac:dyDescent="0.2">
      <c r="J129" s="213"/>
      <c r="K129" s="213"/>
      <c r="L129" s="213"/>
      <c r="M129" s="213"/>
      <c r="N129" s="213"/>
      <c r="O129" s="225"/>
      <c r="P129" s="213"/>
      <c r="Q129" s="213"/>
      <c r="R129" s="213"/>
      <c r="S129" s="213"/>
      <c r="T129" s="213"/>
      <c r="U129" s="213"/>
      <c r="W129" s="30"/>
    </row>
    <row r="130" spans="10:23" x14ac:dyDescent="0.2">
      <c r="J130" s="213"/>
      <c r="K130" s="213"/>
      <c r="L130" s="213"/>
      <c r="M130" s="213"/>
      <c r="N130" s="213"/>
      <c r="O130" s="225"/>
      <c r="P130" s="213"/>
      <c r="Q130" s="213"/>
      <c r="R130" s="213"/>
      <c r="S130" s="213"/>
      <c r="T130" s="213"/>
      <c r="U130" s="213"/>
      <c r="W130" s="30"/>
    </row>
    <row r="131" spans="10:23" x14ac:dyDescent="0.2">
      <c r="J131" s="213"/>
      <c r="K131" s="213"/>
      <c r="L131" s="213"/>
      <c r="M131" s="213"/>
      <c r="N131" s="213"/>
      <c r="O131" s="225"/>
      <c r="P131" s="213"/>
      <c r="Q131" s="213"/>
      <c r="R131" s="213"/>
      <c r="S131" s="213"/>
      <c r="T131" s="213"/>
      <c r="U131" s="213"/>
      <c r="W131" s="30"/>
    </row>
    <row r="132" spans="10:23" x14ac:dyDescent="0.2">
      <c r="J132" s="213"/>
      <c r="K132" s="213"/>
      <c r="L132" s="213"/>
      <c r="M132" s="213"/>
      <c r="N132" s="213"/>
      <c r="O132" s="225"/>
      <c r="P132" s="213"/>
      <c r="Q132" s="213"/>
      <c r="R132" s="213"/>
      <c r="S132" s="213"/>
      <c r="T132" s="213"/>
      <c r="U132" s="213"/>
      <c r="W132" s="30"/>
    </row>
    <row r="133" spans="10:23" x14ac:dyDescent="0.2">
      <c r="J133" s="213"/>
      <c r="K133" s="213"/>
      <c r="L133" s="213"/>
      <c r="M133" s="213"/>
      <c r="N133" s="213"/>
      <c r="O133" s="225"/>
      <c r="P133" s="213"/>
      <c r="Q133" s="213"/>
      <c r="R133" s="213"/>
      <c r="S133" s="213"/>
      <c r="T133" s="213"/>
      <c r="U133" s="213"/>
      <c r="W133" s="30"/>
    </row>
    <row r="134" spans="10:23" x14ac:dyDescent="0.2">
      <c r="J134" s="213"/>
      <c r="K134" s="213"/>
      <c r="L134" s="213"/>
      <c r="M134" s="213"/>
      <c r="N134" s="213"/>
      <c r="O134" s="225"/>
      <c r="P134" s="213"/>
      <c r="Q134" s="213"/>
      <c r="R134" s="213"/>
      <c r="S134" s="213"/>
      <c r="T134" s="213"/>
      <c r="U134" s="213"/>
      <c r="W134" s="30"/>
    </row>
    <row r="135" spans="10:23" x14ac:dyDescent="0.2">
      <c r="J135" s="213"/>
      <c r="K135" s="213"/>
      <c r="L135" s="213"/>
      <c r="M135" s="213"/>
      <c r="N135" s="213"/>
      <c r="O135" s="225"/>
      <c r="P135" s="213"/>
      <c r="Q135" s="213"/>
      <c r="R135" s="213"/>
      <c r="S135" s="213"/>
      <c r="T135" s="213"/>
      <c r="U135" s="213"/>
      <c r="W135" s="30"/>
    </row>
    <row r="136" spans="10:23" x14ac:dyDescent="0.2">
      <c r="J136" s="213"/>
      <c r="K136" s="213"/>
      <c r="L136" s="213"/>
      <c r="M136" s="213"/>
      <c r="N136" s="213"/>
      <c r="O136" s="225"/>
      <c r="P136" s="213"/>
      <c r="Q136" s="213"/>
      <c r="R136" s="213"/>
      <c r="S136" s="213"/>
      <c r="T136" s="213"/>
      <c r="U136" s="213"/>
      <c r="W136" s="30"/>
    </row>
    <row r="137" spans="10:23" x14ac:dyDescent="0.2">
      <c r="J137" s="213"/>
      <c r="K137" s="213"/>
      <c r="L137" s="213"/>
      <c r="M137" s="213"/>
      <c r="N137" s="213"/>
      <c r="O137" s="225"/>
      <c r="P137" s="213"/>
      <c r="Q137" s="213"/>
      <c r="R137" s="213"/>
      <c r="S137" s="213"/>
      <c r="T137" s="213"/>
      <c r="U137" s="213"/>
      <c r="W137" s="30"/>
    </row>
    <row r="138" spans="10:23" x14ac:dyDescent="0.2">
      <c r="J138" s="213"/>
      <c r="K138" s="213"/>
      <c r="L138" s="213"/>
      <c r="M138" s="213"/>
      <c r="N138" s="213"/>
      <c r="O138" s="225"/>
      <c r="P138" s="213"/>
      <c r="Q138" s="213"/>
      <c r="R138" s="213"/>
      <c r="S138" s="213"/>
      <c r="T138" s="213"/>
      <c r="U138" s="213"/>
      <c r="W138" s="30"/>
    </row>
    <row r="139" spans="10:23" x14ac:dyDescent="0.2">
      <c r="J139" s="213"/>
      <c r="K139" s="213"/>
      <c r="L139" s="213"/>
      <c r="M139" s="213"/>
      <c r="N139" s="213"/>
      <c r="O139" s="225"/>
      <c r="P139" s="213"/>
      <c r="Q139" s="213"/>
      <c r="R139" s="213"/>
      <c r="S139" s="213"/>
      <c r="T139" s="213"/>
      <c r="U139" s="213"/>
      <c r="W139" s="30"/>
    </row>
    <row r="140" spans="10:23" x14ac:dyDescent="0.2">
      <c r="J140" s="213"/>
      <c r="K140" s="213"/>
      <c r="L140" s="213"/>
      <c r="M140" s="213"/>
      <c r="N140" s="213"/>
      <c r="O140" s="225"/>
      <c r="P140" s="213"/>
      <c r="Q140" s="213"/>
      <c r="R140" s="213"/>
      <c r="S140" s="213"/>
      <c r="T140" s="213"/>
      <c r="U140" s="213"/>
      <c r="W140" s="30"/>
    </row>
    <row r="141" spans="10:23" x14ac:dyDescent="0.2">
      <c r="J141" s="213"/>
      <c r="K141" s="213"/>
      <c r="L141" s="213"/>
      <c r="M141" s="213"/>
      <c r="N141" s="213"/>
      <c r="O141" s="225"/>
      <c r="P141" s="213"/>
      <c r="Q141" s="213"/>
      <c r="R141" s="213"/>
      <c r="S141" s="213"/>
      <c r="T141" s="213"/>
      <c r="U141" s="213"/>
      <c r="W141" s="30"/>
    </row>
    <row r="142" spans="10:23" x14ac:dyDescent="0.2">
      <c r="J142" s="213"/>
      <c r="K142" s="213"/>
      <c r="L142" s="213"/>
      <c r="M142" s="213"/>
      <c r="N142" s="213"/>
      <c r="O142" s="225"/>
      <c r="P142" s="213"/>
      <c r="Q142" s="213"/>
      <c r="R142" s="213"/>
      <c r="S142" s="213"/>
      <c r="T142" s="213"/>
      <c r="U142" s="213"/>
      <c r="W142" s="30"/>
    </row>
    <row r="143" spans="10:23" x14ac:dyDescent="0.2">
      <c r="J143" s="213"/>
      <c r="K143" s="213"/>
      <c r="L143" s="213"/>
      <c r="M143" s="213"/>
      <c r="N143" s="213"/>
      <c r="O143" s="225"/>
      <c r="P143" s="213"/>
      <c r="Q143" s="213"/>
      <c r="R143" s="213"/>
      <c r="S143" s="213"/>
      <c r="T143" s="213"/>
      <c r="U143" s="213"/>
      <c r="W143" s="30"/>
    </row>
    <row r="144" spans="10:23" x14ac:dyDescent="0.2">
      <c r="J144" s="213"/>
      <c r="K144" s="213"/>
      <c r="L144" s="213"/>
      <c r="M144" s="213"/>
      <c r="N144" s="213"/>
      <c r="O144" s="225"/>
      <c r="P144" s="213"/>
      <c r="Q144" s="213"/>
      <c r="R144" s="213"/>
      <c r="S144" s="213"/>
      <c r="T144" s="213"/>
      <c r="U144" s="213"/>
      <c r="W144" s="30"/>
    </row>
    <row r="145" spans="10:23" x14ac:dyDescent="0.2">
      <c r="J145" s="213"/>
      <c r="K145" s="213"/>
      <c r="L145" s="213"/>
      <c r="M145" s="213"/>
      <c r="N145" s="213"/>
      <c r="O145" s="225"/>
      <c r="P145" s="213"/>
      <c r="Q145" s="213"/>
      <c r="R145" s="213"/>
      <c r="S145" s="213"/>
      <c r="T145" s="213"/>
      <c r="U145" s="213"/>
      <c r="W145" s="30"/>
    </row>
    <row r="146" spans="10:23" x14ac:dyDescent="0.2">
      <c r="J146" s="213"/>
      <c r="K146" s="213"/>
      <c r="L146" s="213"/>
      <c r="M146" s="213"/>
      <c r="N146" s="213"/>
      <c r="O146" s="225"/>
      <c r="P146" s="213"/>
      <c r="Q146" s="213"/>
      <c r="R146" s="213"/>
      <c r="S146" s="213"/>
      <c r="T146" s="213"/>
      <c r="U146" s="213"/>
      <c r="W146" s="30"/>
    </row>
    <row r="147" spans="10:23" x14ac:dyDescent="0.2">
      <c r="J147" s="213"/>
      <c r="K147" s="213"/>
      <c r="L147" s="213"/>
      <c r="M147" s="213"/>
      <c r="N147" s="213"/>
      <c r="O147" s="225"/>
      <c r="P147" s="213"/>
      <c r="Q147" s="213"/>
      <c r="R147" s="213"/>
      <c r="S147" s="213"/>
      <c r="T147" s="213"/>
      <c r="U147" s="213"/>
      <c r="W147" s="30"/>
    </row>
    <row r="148" spans="10:23" x14ac:dyDescent="0.2">
      <c r="J148" s="213"/>
      <c r="K148" s="213"/>
      <c r="L148" s="213"/>
      <c r="M148" s="213"/>
      <c r="N148" s="213"/>
      <c r="O148" s="225"/>
      <c r="P148" s="213"/>
      <c r="Q148" s="213"/>
      <c r="R148" s="213"/>
      <c r="S148" s="213"/>
      <c r="T148" s="213"/>
      <c r="U148" s="213"/>
      <c r="W148" s="30"/>
    </row>
    <row r="149" spans="10:23" x14ac:dyDescent="0.2">
      <c r="J149" s="213"/>
      <c r="K149" s="213"/>
      <c r="L149" s="213"/>
      <c r="M149" s="213"/>
      <c r="N149" s="213"/>
      <c r="O149" s="225"/>
      <c r="P149" s="213"/>
      <c r="Q149" s="213"/>
      <c r="R149" s="213"/>
      <c r="S149" s="213"/>
      <c r="T149" s="213"/>
      <c r="U149" s="213"/>
      <c r="W149" s="30"/>
    </row>
    <row r="150" spans="10:23" x14ac:dyDescent="0.2">
      <c r="J150" s="213"/>
      <c r="K150" s="213"/>
      <c r="L150" s="213"/>
      <c r="M150" s="213"/>
      <c r="N150" s="213"/>
      <c r="O150" s="225"/>
      <c r="P150" s="213"/>
      <c r="Q150" s="213"/>
      <c r="R150" s="213"/>
      <c r="S150" s="213"/>
      <c r="T150" s="213"/>
      <c r="U150" s="213"/>
      <c r="W150" s="30"/>
    </row>
    <row r="151" spans="10:23" x14ac:dyDescent="0.2">
      <c r="J151" s="213"/>
      <c r="K151" s="213"/>
      <c r="L151" s="213"/>
      <c r="M151" s="213"/>
      <c r="N151" s="213"/>
      <c r="O151" s="225"/>
      <c r="P151" s="213"/>
      <c r="Q151" s="213"/>
      <c r="R151" s="213"/>
      <c r="S151" s="213"/>
      <c r="T151" s="213"/>
      <c r="U151" s="213"/>
      <c r="W151" s="30"/>
    </row>
    <row r="152" spans="10:23" x14ac:dyDescent="0.2">
      <c r="J152" s="213"/>
      <c r="K152" s="213"/>
      <c r="L152" s="213"/>
      <c r="M152" s="213"/>
      <c r="N152" s="213"/>
      <c r="O152" s="225"/>
      <c r="P152" s="213"/>
      <c r="Q152" s="213"/>
      <c r="R152" s="213"/>
      <c r="S152" s="213"/>
      <c r="T152" s="213"/>
      <c r="U152" s="213"/>
      <c r="W152" s="30"/>
    </row>
    <row r="153" spans="10:23" x14ac:dyDescent="0.2">
      <c r="J153" s="213"/>
      <c r="K153" s="213"/>
      <c r="L153" s="213"/>
      <c r="M153" s="213"/>
      <c r="N153" s="213"/>
      <c r="O153" s="225"/>
      <c r="P153" s="213"/>
      <c r="Q153" s="213"/>
      <c r="R153" s="213"/>
      <c r="S153" s="213"/>
      <c r="T153" s="213"/>
      <c r="U153" s="213"/>
      <c r="W153" s="30"/>
    </row>
    <row r="154" spans="10:23" x14ac:dyDescent="0.2">
      <c r="J154" s="213"/>
      <c r="K154" s="213"/>
      <c r="L154" s="213"/>
      <c r="M154" s="213"/>
      <c r="N154" s="213"/>
      <c r="O154" s="225"/>
      <c r="P154" s="213"/>
      <c r="Q154" s="213"/>
      <c r="R154" s="213"/>
      <c r="S154" s="213"/>
      <c r="T154" s="213"/>
      <c r="U154" s="213"/>
      <c r="W154" s="30"/>
    </row>
    <row r="155" spans="10:23" x14ac:dyDescent="0.2">
      <c r="J155" s="213"/>
      <c r="K155" s="213"/>
      <c r="L155" s="213"/>
      <c r="M155" s="213"/>
      <c r="N155" s="213"/>
      <c r="O155" s="225"/>
      <c r="P155" s="213"/>
      <c r="Q155" s="213"/>
      <c r="R155" s="213"/>
      <c r="S155" s="213"/>
      <c r="T155" s="213"/>
      <c r="U155" s="213"/>
      <c r="W155" s="30"/>
    </row>
    <row r="156" spans="10:23" x14ac:dyDescent="0.2">
      <c r="J156" s="213"/>
      <c r="K156" s="213"/>
      <c r="L156" s="213"/>
      <c r="M156" s="213"/>
      <c r="N156" s="213"/>
      <c r="O156" s="225"/>
      <c r="P156" s="213"/>
      <c r="Q156" s="213"/>
      <c r="R156" s="213"/>
      <c r="S156" s="213"/>
      <c r="T156" s="213"/>
      <c r="U156" s="213"/>
      <c r="W156" s="30"/>
    </row>
    <row r="157" spans="10:23" x14ac:dyDescent="0.2">
      <c r="J157" s="213"/>
      <c r="K157" s="213"/>
      <c r="L157" s="213"/>
      <c r="M157" s="213"/>
      <c r="N157" s="213"/>
      <c r="O157" s="225"/>
      <c r="P157" s="213"/>
      <c r="Q157" s="213"/>
      <c r="R157" s="213"/>
      <c r="S157" s="213"/>
      <c r="T157" s="213"/>
      <c r="U157" s="213"/>
      <c r="W157" s="30"/>
    </row>
    <row r="158" spans="10:23" x14ac:dyDescent="0.2">
      <c r="J158" s="213"/>
      <c r="K158" s="213"/>
      <c r="L158" s="213"/>
      <c r="M158" s="213"/>
      <c r="N158" s="213"/>
      <c r="O158" s="225"/>
      <c r="P158" s="213"/>
      <c r="Q158" s="213"/>
      <c r="R158" s="213"/>
      <c r="S158" s="213"/>
      <c r="T158" s="213"/>
      <c r="U158" s="213"/>
      <c r="W158" s="30"/>
    </row>
    <row r="159" spans="10:23" x14ac:dyDescent="0.2">
      <c r="J159" s="213"/>
      <c r="K159" s="213"/>
      <c r="L159" s="213"/>
      <c r="M159" s="213"/>
      <c r="N159" s="213"/>
      <c r="O159" s="225"/>
      <c r="P159" s="213"/>
      <c r="Q159" s="213"/>
      <c r="R159" s="213"/>
      <c r="S159" s="213"/>
      <c r="T159" s="213"/>
      <c r="U159" s="213"/>
      <c r="W159" s="30"/>
    </row>
    <row r="160" spans="10:23" x14ac:dyDescent="0.2">
      <c r="J160" s="213"/>
      <c r="K160" s="213"/>
      <c r="L160" s="213"/>
      <c r="M160" s="213"/>
      <c r="N160" s="213"/>
      <c r="O160" s="225"/>
      <c r="P160" s="213"/>
      <c r="Q160" s="213"/>
      <c r="R160" s="213"/>
      <c r="S160" s="213"/>
      <c r="T160" s="213"/>
      <c r="U160" s="213"/>
      <c r="W160" s="30"/>
    </row>
    <row r="161" spans="10:23" x14ac:dyDescent="0.2">
      <c r="J161" s="213"/>
      <c r="K161" s="213"/>
      <c r="L161" s="213"/>
      <c r="M161" s="213"/>
      <c r="N161" s="213"/>
      <c r="O161" s="225"/>
      <c r="P161" s="213"/>
      <c r="Q161" s="213"/>
      <c r="R161" s="213"/>
      <c r="S161" s="213"/>
      <c r="T161" s="213"/>
      <c r="U161" s="213"/>
      <c r="W161" s="30"/>
    </row>
    <row r="162" spans="10:23" x14ac:dyDescent="0.2">
      <c r="J162" s="213"/>
      <c r="K162" s="213"/>
      <c r="L162" s="213"/>
      <c r="M162" s="213"/>
      <c r="N162" s="213"/>
      <c r="O162" s="225"/>
      <c r="P162" s="213"/>
      <c r="Q162" s="213"/>
      <c r="R162" s="213"/>
      <c r="S162" s="213"/>
      <c r="T162" s="213"/>
      <c r="U162" s="213"/>
      <c r="W162" s="30"/>
    </row>
    <row r="163" spans="10:23" x14ac:dyDescent="0.2">
      <c r="J163" s="213"/>
      <c r="K163" s="213"/>
      <c r="L163" s="213"/>
      <c r="M163" s="213"/>
      <c r="N163" s="213"/>
      <c r="O163" s="225"/>
      <c r="P163" s="213"/>
      <c r="Q163" s="213"/>
      <c r="R163" s="213"/>
      <c r="S163" s="213"/>
      <c r="T163" s="213"/>
      <c r="U163" s="213"/>
      <c r="W163" s="30"/>
    </row>
    <row r="164" spans="10:23" x14ac:dyDescent="0.2">
      <c r="J164" s="213"/>
      <c r="K164" s="213"/>
      <c r="L164" s="213"/>
      <c r="M164" s="213"/>
      <c r="N164" s="213"/>
      <c r="O164" s="225"/>
      <c r="P164" s="213"/>
      <c r="Q164" s="213"/>
      <c r="R164" s="213"/>
      <c r="S164" s="213"/>
      <c r="T164" s="213"/>
      <c r="U164" s="213"/>
      <c r="W164" s="30"/>
    </row>
    <row r="165" spans="10:23" x14ac:dyDescent="0.2">
      <c r="J165" s="213"/>
      <c r="K165" s="213"/>
      <c r="L165" s="213"/>
      <c r="M165" s="213"/>
      <c r="N165" s="213"/>
      <c r="O165" s="225"/>
      <c r="P165" s="213"/>
      <c r="Q165" s="213"/>
      <c r="R165" s="213"/>
      <c r="S165" s="213"/>
      <c r="T165" s="213"/>
      <c r="U165" s="213"/>
      <c r="W165" s="30"/>
    </row>
    <row r="166" spans="10:23" x14ac:dyDescent="0.2">
      <c r="J166" s="213"/>
      <c r="K166" s="213"/>
      <c r="L166" s="213"/>
      <c r="M166" s="213"/>
      <c r="N166" s="213"/>
      <c r="O166" s="225"/>
      <c r="P166" s="213"/>
      <c r="Q166" s="213"/>
      <c r="R166" s="213"/>
      <c r="S166" s="213"/>
      <c r="T166" s="213"/>
      <c r="U166" s="213"/>
      <c r="W166" s="30"/>
    </row>
    <row r="167" spans="10:23" x14ac:dyDescent="0.2">
      <c r="J167" s="213"/>
      <c r="K167" s="213"/>
      <c r="L167" s="213"/>
      <c r="M167" s="213"/>
      <c r="N167" s="213"/>
      <c r="O167" s="225"/>
      <c r="P167" s="213"/>
      <c r="Q167" s="213"/>
      <c r="R167" s="213"/>
      <c r="S167" s="213"/>
      <c r="T167" s="213"/>
      <c r="U167" s="213"/>
      <c r="W167" s="30"/>
    </row>
    <row r="168" spans="10:23" x14ac:dyDescent="0.2">
      <c r="J168" s="213"/>
      <c r="K168" s="213"/>
      <c r="L168" s="213"/>
      <c r="M168" s="213"/>
      <c r="N168" s="213"/>
      <c r="O168" s="225"/>
      <c r="P168" s="213"/>
      <c r="Q168" s="213"/>
      <c r="R168" s="213"/>
      <c r="S168" s="213"/>
      <c r="T168" s="213"/>
      <c r="U168" s="213"/>
      <c r="W168" s="30"/>
    </row>
    <row r="169" spans="10:23" x14ac:dyDescent="0.2">
      <c r="J169" s="213"/>
      <c r="K169" s="213"/>
      <c r="L169" s="213"/>
      <c r="M169" s="213"/>
      <c r="N169" s="213"/>
      <c r="O169" s="225"/>
      <c r="P169" s="213"/>
      <c r="Q169" s="213"/>
      <c r="R169" s="213"/>
      <c r="S169" s="213"/>
      <c r="T169" s="213"/>
      <c r="U169" s="213"/>
      <c r="W169" s="30"/>
    </row>
    <row r="170" spans="10:23" x14ac:dyDescent="0.2">
      <c r="J170" s="213"/>
      <c r="K170" s="213"/>
      <c r="L170" s="213"/>
      <c r="M170" s="213"/>
      <c r="N170" s="213"/>
      <c r="O170" s="225"/>
      <c r="P170" s="213"/>
      <c r="Q170" s="213"/>
      <c r="R170" s="213"/>
      <c r="S170" s="213"/>
      <c r="T170" s="213"/>
      <c r="U170" s="213"/>
      <c r="W170" s="30"/>
    </row>
    <row r="171" spans="10:23" x14ac:dyDescent="0.2">
      <c r="J171" s="213"/>
      <c r="K171" s="213"/>
      <c r="L171" s="213"/>
      <c r="M171" s="213"/>
      <c r="N171" s="213"/>
      <c r="O171" s="225"/>
      <c r="P171" s="213"/>
      <c r="Q171" s="213"/>
      <c r="R171" s="213"/>
      <c r="S171" s="213"/>
      <c r="T171" s="213"/>
      <c r="U171" s="213"/>
      <c r="W171" s="30"/>
    </row>
    <row r="172" spans="10:23" x14ac:dyDescent="0.2">
      <c r="J172" s="213"/>
      <c r="K172" s="213"/>
      <c r="L172" s="213"/>
      <c r="M172" s="213"/>
      <c r="N172" s="213"/>
      <c r="O172" s="225"/>
      <c r="P172" s="213"/>
      <c r="Q172" s="213"/>
      <c r="R172" s="213"/>
      <c r="S172" s="213"/>
      <c r="T172" s="213"/>
      <c r="U172" s="213"/>
      <c r="W172" s="30"/>
    </row>
    <row r="173" spans="10:23" x14ac:dyDescent="0.2">
      <c r="J173" s="213"/>
      <c r="K173" s="213"/>
      <c r="L173" s="213"/>
      <c r="M173" s="213"/>
      <c r="N173" s="213"/>
      <c r="O173" s="225"/>
      <c r="P173" s="213"/>
      <c r="Q173" s="213"/>
      <c r="R173" s="213"/>
      <c r="S173" s="213"/>
      <c r="T173" s="213"/>
      <c r="U173" s="213"/>
      <c r="W173" s="30"/>
    </row>
    <row r="174" spans="10:23" x14ac:dyDescent="0.2">
      <c r="J174" s="213"/>
      <c r="K174" s="213"/>
      <c r="L174" s="213"/>
      <c r="M174" s="213"/>
      <c r="N174" s="213"/>
      <c r="O174" s="225"/>
      <c r="P174" s="213"/>
      <c r="Q174" s="213"/>
      <c r="R174" s="213"/>
      <c r="S174" s="213"/>
      <c r="T174" s="213"/>
      <c r="U174" s="213"/>
      <c r="W174" s="30"/>
    </row>
    <row r="175" spans="10:23" x14ac:dyDescent="0.2">
      <c r="J175" s="213"/>
      <c r="K175" s="213"/>
      <c r="L175" s="213"/>
      <c r="M175" s="213"/>
      <c r="N175" s="213"/>
      <c r="O175" s="225"/>
      <c r="P175" s="213"/>
      <c r="Q175" s="213"/>
      <c r="R175" s="213"/>
      <c r="S175" s="213"/>
      <c r="T175" s="213"/>
      <c r="U175" s="213"/>
      <c r="W175" s="30"/>
    </row>
    <row r="176" spans="10:23" x14ac:dyDescent="0.2">
      <c r="J176" s="213"/>
      <c r="K176" s="213"/>
      <c r="L176" s="213"/>
      <c r="M176" s="213"/>
      <c r="N176" s="213"/>
      <c r="O176" s="225"/>
      <c r="P176" s="213"/>
      <c r="Q176" s="213"/>
      <c r="R176" s="213"/>
      <c r="S176" s="213"/>
      <c r="T176" s="213"/>
      <c r="U176" s="213"/>
      <c r="W176" s="30"/>
    </row>
    <row r="177" spans="10:23" x14ac:dyDescent="0.2">
      <c r="J177" s="213"/>
      <c r="K177" s="213"/>
      <c r="L177" s="213"/>
      <c r="M177" s="213"/>
      <c r="N177" s="213"/>
      <c r="O177" s="225"/>
      <c r="P177" s="213"/>
      <c r="Q177" s="213"/>
      <c r="R177" s="213"/>
      <c r="S177" s="213"/>
      <c r="T177" s="213"/>
      <c r="U177" s="213"/>
      <c r="W177" s="30"/>
    </row>
    <row r="178" spans="10:23" x14ac:dyDescent="0.2">
      <c r="J178" s="213"/>
      <c r="K178" s="213"/>
      <c r="L178" s="213"/>
      <c r="M178" s="213"/>
      <c r="N178" s="213"/>
      <c r="O178" s="225"/>
      <c r="P178" s="213"/>
      <c r="Q178" s="213"/>
      <c r="R178" s="213"/>
      <c r="S178" s="213"/>
      <c r="T178" s="213"/>
      <c r="U178" s="213"/>
      <c r="W178" s="30"/>
    </row>
    <row r="179" spans="10:23" x14ac:dyDescent="0.2">
      <c r="J179" s="213"/>
      <c r="K179" s="213"/>
      <c r="L179" s="213"/>
      <c r="M179" s="213"/>
      <c r="N179" s="213"/>
      <c r="O179" s="225"/>
      <c r="P179" s="213"/>
      <c r="Q179" s="213"/>
      <c r="R179" s="213"/>
      <c r="S179" s="213"/>
      <c r="T179" s="213"/>
      <c r="U179" s="213"/>
      <c r="W179" s="30"/>
    </row>
    <row r="180" spans="10:23" x14ac:dyDescent="0.2">
      <c r="J180" s="213"/>
      <c r="K180" s="213"/>
      <c r="L180" s="213"/>
      <c r="M180" s="213"/>
      <c r="N180" s="213"/>
      <c r="O180" s="225"/>
      <c r="P180" s="213"/>
      <c r="Q180" s="213"/>
      <c r="R180" s="213"/>
      <c r="S180" s="213"/>
      <c r="T180" s="213"/>
      <c r="U180" s="213"/>
      <c r="W180" s="30"/>
    </row>
    <row r="181" spans="10:23" x14ac:dyDescent="0.2">
      <c r="J181" s="213"/>
      <c r="K181" s="213"/>
      <c r="L181" s="213"/>
      <c r="M181" s="213"/>
      <c r="N181" s="213"/>
      <c r="O181" s="225"/>
      <c r="P181" s="213"/>
      <c r="Q181" s="213"/>
      <c r="R181" s="213"/>
      <c r="S181" s="213"/>
      <c r="T181" s="213"/>
      <c r="U181" s="213"/>
      <c r="W181" s="30"/>
    </row>
    <row r="182" spans="10:23" x14ac:dyDescent="0.2">
      <c r="J182" s="213"/>
      <c r="K182" s="213"/>
      <c r="L182" s="213"/>
      <c r="M182" s="213"/>
      <c r="N182" s="213"/>
      <c r="O182" s="225"/>
      <c r="P182" s="213"/>
      <c r="Q182" s="213"/>
      <c r="R182" s="213"/>
      <c r="S182" s="213"/>
      <c r="T182" s="213"/>
      <c r="U182" s="213"/>
      <c r="W182" s="30"/>
    </row>
    <row r="183" spans="10:23" x14ac:dyDescent="0.2">
      <c r="J183" s="213"/>
      <c r="K183" s="213"/>
      <c r="L183" s="213"/>
      <c r="M183" s="213"/>
      <c r="N183" s="213"/>
      <c r="O183" s="225"/>
      <c r="P183" s="213"/>
      <c r="Q183" s="213"/>
      <c r="R183" s="213"/>
      <c r="S183" s="213"/>
      <c r="T183" s="213"/>
      <c r="U183" s="213"/>
      <c r="W183" s="30"/>
    </row>
    <row r="184" spans="10:23" x14ac:dyDescent="0.2">
      <c r="J184" s="213"/>
      <c r="K184" s="213"/>
      <c r="L184" s="213"/>
      <c r="M184" s="213"/>
      <c r="N184" s="213"/>
      <c r="O184" s="225"/>
      <c r="P184" s="213"/>
      <c r="Q184" s="213"/>
      <c r="R184" s="213"/>
      <c r="S184" s="213"/>
      <c r="T184" s="213"/>
      <c r="U184" s="213"/>
      <c r="W184" s="30"/>
    </row>
    <row r="185" spans="10:23" x14ac:dyDescent="0.2">
      <c r="J185" s="213"/>
      <c r="K185" s="213"/>
      <c r="L185" s="213"/>
      <c r="M185" s="213"/>
      <c r="N185" s="213"/>
      <c r="O185" s="225"/>
      <c r="P185" s="213"/>
      <c r="Q185" s="213"/>
      <c r="R185" s="213"/>
      <c r="S185" s="213"/>
      <c r="T185" s="213"/>
      <c r="U185" s="213"/>
      <c r="W185" s="30"/>
    </row>
    <row r="186" spans="10:23" x14ac:dyDescent="0.2">
      <c r="J186" s="213"/>
      <c r="K186" s="213"/>
      <c r="L186" s="213"/>
      <c r="M186" s="213"/>
      <c r="N186" s="213"/>
      <c r="O186" s="225"/>
      <c r="P186" s="213"/>
      <c r="Q186" s="213"/>
      <c r="R186" s="213"/>
      <c r="S186" s="213"/>
      <c r="T186" s="213"/>
      <c r="U186" s="213"/>
      <c r="W186" s="30"/>
    </row>
    <row r="187" spans="10:23" x14ac:dyDescent="0.2">
      <c r="J187" s="213"/>
      <c r="K187" s="213"/>
      <c r="L187" s="213"/>
      <c r="M187" s="213"/>
      <c r="N187" s="213"/>
      <c r="O187" s="225"/>
      <c r="P187" s="213"/>
      <c r="Q187" s="213"/>
      <c r="R187" s="213"/>
      <c r="S187" s="213"/>
      <c r="T187" s="213"/>
      <c r="U187" s="213"/>
      <c r="W187" s="30"/>
    </row>
    <row r="188" spans="10:23" x14ac:dyDescent="0.2">
      <c r="J188" s="213"/>
      <c r="K188" s="213"/>
      <c r="L188" s="213"/>
      <c r="M188" s="213"/>
      <c r="N188" s="213"/>
      <c r="O188" s="225"/>
      <c r="P188" s="213"/>
      <c r="Q188" s="213"/>
      <c r="R188" s="213"/>
      <c r="S188" s="213"/>
      <c r="T188" s="213"/>
      <c r="U188" s="213"/>
      <c r="W188" s="30"/>
    </row>
    <row r="189" spans="10:23" x14ac:dyDescent="0.2">
      <c r="J189" s="213"/>
      <c r="K189" s="213"/>
      <c r="L189" s="213"/>
      <c r="M189" s="213"/>
      <c r="N189" s="213"/>
      <c r="O189" s="225"/>
      <c r="P189" s="213"/>
      <c r="Q189" s="213"/>
      <c r="R189" s="213"/>
      <c r="S189" s="213"/>
      <c r="T189" s="213"/>
      <c r="U189" s="213"/>
      <c r="W189" s="30"/>
    </row>
    <row r="190" spans="10:23" x14ac:dyDescent="0.2">
      <c r="J190" s="213"/>
      <c r="K190" s="213"/>
      <c r="L190" s="213"/>
      <c r="M190" s="213"/>
      <c r="N190" s="213"/>
      <c r="O190" s="225"/>
      <c r="P190" s="213"/>
      <c r="Q190" s="213"/>
      <c r="R190" s="213"/>
      <c r="S190" s="213"/>
      <c r="T190" s="213"/>
      <c r="U190" s="213"/>
      <c r="W190" s="30"/>
    </row>
    <row r="191" spans="10:23" x14ac:dyDescent="0.2">
      <c r="J191" s="213"/>
      <c r="K191" s="213"/>
      <c r="L191" s="213"/>
      <c r="M191" s="213"/>
      <c r="N191" s="213"/>
      <c r="O191" s="225"/>
      <c r="P191" s="213"/>
      <c r="Q191" s="213"/>
      <c r="R191" s="213"/>
      <c r="S191" s="213"/>
      <c r="T191" s="213"/>
      <c r="U191" s="213"/>
      <c r="W191" s="30"/>
    </row>
    <row r="192" spans="10:23" x14ac:dyDescent="0.2">
      <c r="J192" s="213"/>
      <c r="K192" s="213"/>
      <c r="L192" s="213"/>
      <c r="M192" s="213"/>
      <c r="N192" s="213"/>
      <c r="O192" s="225"/>
      <c r="P192" s="213"/>
      <c r="Q192" s="213"/>
      <c r="R192" s="213"/>
      <c r="S192" s="213"/>
      <c r="T192" s="213"/>
      <c r="U192" s="213"/>
      <c r="W192" s="30"/>
    </row>
    <row r="193" spans="10:23" x14ac:dyDescent="0.2">
      <c r="J193" s="213"/>
      <c r="K193" s="213"/>
      <c r="L193" s="213"/>
      <c r="M193" s="213"/>
      <c r="N193" s="213"/>
      <c r="O193" s="225"/>
      <c r="P193" s="213"/>
      <c r="Q193" s="213"/>
      <c r="R193" s="213"/>
      <c r="S193" s="213"/>
      <c r="T193" s="213"/>
      <c r="U193" s="213"/>
      <c r="W193" s="30"/>
    </row>
    <row r="194" spans="10:23" x14ac:dyDescent="0.2">
      <c r="J194" s="213"/>
      <c r="K194" s="213"/>
      <c r="L194" s="213"/>
      <c r="M194" s="213"/>
      <c r="N194" s="213"/>
      <c r="O194" s="225"/>
      <c r="P194" s="213"/>
      <c r="Q194" s="213"/>
      <c r="R194" s="213"/>
      <c r="S194" s="213"/>
      <c r="T194" s="213"/>
      <c r="U194" s="213"/>
      <c r="W194" s="30"/>
    </row>
    <row r="195" spans="10:23" x14ac:dyDescent="0.2">
      <c r="J195" s="213"/>
      <c r="K195" s="213"/>
      <c r="L195" s="213"/>
      <c r="M195" s="213"/>
      <c r="N195" s="213"/>
      <c r="O195" s="225"/>
      <c r="P195" s="213"/>
      <c r="Q195" s="213"/>
      <c r="R195" s="213"/>
      <c r="S195" s="213"/>
      <c r="T195" s="213"/>
      <c r="U195" s="213"/>
      <c r="W195" s="30"/>
    </row>
    <row r="196" spans="10:23" x14ac:dyDescent="0.2">
      <c r="J196" s="213"/>
      <c r="K196" s="213"/>
      <c r="L196" s="213"/>
      <c r="M196" s="213"/>
      <c r="N196" s="213"/>
      <c r="O196" s="225"/>
      <c r="P196" s="213"/>
      <c r="Q196" s="213"/>
      <c r="R196" s="213"/>
      <c r="S196" s="213"/>
      <c r="T196" s="213"/>
      <c r="U196" s="213"/>
      <c r="W196" s="30"/>
    </row>
    <row r="197" spans="10:23" x14ac:dyDescent="0.2">
      <c r="J197" s="213"/>
      <c r="K197" s="213"/>
      <c r="L197" s="213"/>
      <c r="M197" s="213"/>
      <c r="N197" s="213"/>
      <c r="O197" s="225"/>
      <c r="P197" s="213"/>
      <c r="Q197" s="213"/>
      <c r="R197" s="213"/>
      <c r="S197" s="213"/>
      <c r="T197" s="213"/>
      <c r="U197" s="213"/>
      <c r="W197" s="30"/>
    </row>
    <row r="198" spans="10:23" x14ac:dyDescent="0.2">
      <c r="J198" s="213"/>
      <c r="K198" s="213"/>
      <c r="L198" s="213"/>
      <c r="M198" s="213"/>
      <c r="N198" s="213"/>
      <c r="O198" s="225"/>
      <c r="P198" s="213"/>
      <c r="Q198" s="213"/>
      <c r="R198" s="213"/>
      <c r="S198" s="213"/>
      <c r="T198" s="213"/>
      <c r="U198" s="213"/>
      <c r="W198" s="30"/>
    </row>
    <row r="199" spans="10:23" x14ac:dyDescent="0.2">
      <c r="J199" s="213"/>
      <c r="K199" s="213"/>
      <c r="L199" s="213"/>
      <c r="M199" s="213"/>
      <c r="N199" s="213"/>
      <c r="O199" s="225"/>
      <c r="P199" s="213"/>
      <c r="Q199" s="213"/>
      <c r="R199" s="213"/>
      <c r="S199" s="213"/>
      <c r="T199" s="213"/>
      <c r="U199" s="213"/>
      <c r="W199" s="30"/>
    </row>
    <row r="200" spans="10:23" x14ac:dyDescent="0.2">
      <c r="J200" s="213"/>
      <c r="K200" s="213"/>
      <c r="L200" s="213"/>
      <c r="M200" s="213"/>
      <c r="N200" s="213"/>
      <c r="O200" s="225"/>
      <c r="P200" s="213"/>
      <c r="Q200" s="213"/>
      <c r="R200" s="213"/>
      <c r="S200" s="213"/>
      <c r="T200" s="213"/>
      <c r="U200" s="213"/>
      <c r="W200" s="30"/>
    </row>
    <row r="201" spans="10:23" x14ac:dyDescent="0.2">
      <c r="J201" s="213"/>
      <c r="K201" s="213"/>
      <c r="L201" s="213"/>
      <c r="M201" s="213"/>
      <c r="N201" s="213"/>
      <c r="O201" s="225"/>
      <c r="P201" s="213"/>
      <c r="Q201" s="213"/>
      <c r="R201" s="213"/>
      <c r="S201" s="213"/>
      <c r="T201" s="213"/>
      <c r="U201" s="213"/>
      <c r="W201" s="30"/>
    </row>
    <row r="202" spans="10:23" x14ac:dyDescent="0.2">
      <c r="J202" s="213"/>
      <c r="K202" s="213"/>
      <c r="L202" s="213"/>
      <c r="M202" s="213"/>
      <c r="N202" s="213"/>
      <c r="O202" s="225"/>
      <c r="P202" s="213"/>
      <c r="Q202" s="213"/>
      <c r="R202" s="213"/>
      <c r="S202" s="213"/>
      <c r="T202" s="213"/>
      <c r="U202" s="213"/>
      <c r="W202" s="30"/>
    </row>
    <row r="203" spans="10:23" x14ac:dyDescent="0.2">
      <c r="J203" s="213"/>
      <c r="K203" s="213"/>
      <c r="L203" s="213"/>
      <c r="M203" s="213"/>
      <c r="N203" s="213"/>
      <c r="O203" s="225"/>
      <c r="P203" s="213"/>
      <c r="Q203" s="213"/>
      <c r="R203" s="213"/>
      <c r="S203" s="213"/>
      <c r="T203" s="213"/>
      <c r="U203" s="213"/>
      <c r="W203" s="30"/>
    </row>
    <row r="204" spans="10:23" x14ac:dyDescent="0.2">
      <c r="J204" s="213"/>
      <c r="K204" s="213"/>
      <c r="L204" s="213"/>
      <c r="M204" s="213"/>
      <c r="N204" s="213"/>
      <c r="O204" s="225"/>
      <c r="P204" s="213"/>
      <c r="Q204" s="213"/>
      <c r="R204" s="213"/>
      <c r="S204" s="213"/>
      <c r="T204" s="213"/>
      <c r="U204" s="213"/>
      <c r="W204" s="30"/>
    </row>
    <row r="205" spans="10:23" x14ac:dyDescent="0.2">
      <c r="J205" s="213"/>
      <c r="K205" s="213"/>
      <c r="L205" s="213"/>
      <c r="M205" s="213"/>
      <c r="N205" s="213"/>
      <c r="O205" s="225"/>
      <c r="P205" s="213"/>
      <c r="Q205" s="213"/>
      <c r="R205" s="213"/>
      <c r="S205" s="213"/>
      <c r="T205" s="213"/>
      <c r="U205" s="213"/>
      <c r="W205" s="30"/>
    </row>
    <row r="206" spans="10:23" x14ac:dyDescent="0.2">
      <c r="J206" s="213"/>
      <c r="K206" s="213"/>
      <c r="L206" s="213"/>
      <c r="M206" s="213"/>
      <c r="N206" s="213"/>
      <c r="O206" s="225"/>
      <c r="P206" s="213"/>
      <c r="Q206" s="213"/>
      <c r="R206" s="213"/>
      <c r="S206" s="213"/>
      <c r="T206" s="213"/>
      <c r="U206" s="213"/>
      <c r="W206" s="30"/>
    </row>
    <row r="207" spans="10:23" x14ac:dyDescent="0.2">
      <c r="J207" s="213"/>
      <c r="K207" s="213"/>
      <c r="L207" s="213"/>
      <c r="M207" s="213"/>
      <c r="N207" s="213"/>
      <c r="O207" s="225"/>
      <c r="P207" s="213"/>
      <c r="Q207" s="213"/>
      <c r="R207" s="213"/>
      <c r="S207" s="213"/>
      <c r="T207" s="213"/>
      <c r="U207" s="213"/>
      <c r="W207" s="30"/>
    </row>
    <row r="208" spans="10:23" x14ac:dyDescent="0.2">
      <c r="J208" s="213"/>
      <c r="K208" s="213"/>
      <c r="L208" s="213"/>
      <c r="M208" s="213"/>
      <c r="N208" s="213"/>
      <c r="O208" s="225"/>
      <c r="P208" s="213"/>
      <c r="Q208" s="213"/>
      <c r="R208" s="213"/>
      <c r="S208" s="213"/>
      <c r="T208" s="213"/>
      <c r="U208" s="213"/>
      <c r="W208" s="30"/>
    </row>
    <row r="209" spans="10:23" x14ac:dyDescent="0.2">
      <c r="J209" s="213"/>
      <c r="K209" s="213"/>
      <c r="L209" s="213"/>
      <c r="M209" s="213"/>
      <c r="N209" s="213"/>
      <c r="P209" s="213"/>
      <c r="Q209" s="213"/>
      <c r="R209" s="213"/>
      <c r="S209" s="213"/>
      <c r="T209" s="213"/>
      <c r="U209" s="213"/>
      <c r="W209" s="30"/>
    </row>
    <row r="210" spans="10:23" x14ac:dyDescent="0.2">
      <c r="J210" s="213"/>
      <c r="K210" s="213"/>
      <c r="L210" s="213"/>
      <c r="M210" s="213"/>
      <c r="N210" s="213"/>
      <c r="P210" s="213"/>
      <c r="Q210" s="213"/>
      <c r="R210" s="213"/>
      <c r="S210" s="213"/>
      <c r="T210" s="213"/>
      <c r="U210" s="213"/>
    </row>
  </sheetData>
  <mergeCells count="12">
    <mergeCell ref="A1:K1"/>
    <mergeCell ref="A5:C5"/>
    <mergeCell ref="D5:E5"/>
    <mergeCell ref="A4:K4"/>
    <mergeCell ref="H5:I5"/>
    <mergeCell ref="A2:K2"/>
    <mergeCell ref="P9:U9"/>
    <mergeCell ref="J8:U8"/>
    <mergeCell ref="J9:O9"/>
    <mergeCell ref="A7:U7"/>
    <mergeCell ref="A8:I8"/>
    <mergeCell ref="A9:I9"/>
  </mergeCells>
  <phoneticPr fontId="0" type="noConversion"/>
  <conditionalFormatting sqref="O10">
    <cfRule type="expression" dxfId="1" priority="5" stopIfTrue="1">
      <formula>TRUE</formula>
    </cfRule>
  </conditionalFormatting>
  <conditionalFormatting sqref="I11:I208 A11:H26 A28:H41 A43:H208">
    <cfRule type="expression" dxfId="0" priority="6" stopIfTrue="1">
      <formula>TRUE</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heet7.reqMktDepth">
                <anchor moveWithCells="1">
                  <from>
                    <xdr:col>0</xdr:col>
                    <xdr:colOff>161925</xdr:colOff>
                    <xdr:row>1</xdr:row>
                    <xdr:rowOff>66675</xdr:rowOff>
                  </from>
                  <to>
                    <xdr:col>2</xdr:col>
                    <xdr:colOff>523875</xdr:colOff>
                    <xdr:row>1</xdr:row>
                    <xdr:rowOff>266700</xdr:rowOff>
                  </to>
                </anchor>
              </controlPr>
            </control>
          </mc:Choice>
        </mc:AlternateContent>
        <mc:AlternateContent xmlns:mc="http://schemas.openxmlformats.org/markup-compatibility/2006">
          <mc:Choice Requires="x14">
            <control shapeId="11266" r:id="rId5" name="Button 2">
              <controlPr defaultSize="0" print="0" autoFill="0" autoPict="0" macro="[0]!Sheet7.onShowError">
                <anchor moveWithCells="1">
                  <from>
                    <xdr:col>8</xdr:col>
                    <xdr:colOff>723900</xdr:colOff>
                    <xdr:row>1</xdr:row>
                    <xdr:rowOff>85725</xdr:rowOff>
                  </from>
                  <to>
                    <xdr:col>10</xdr:col>
                    <xdr:colOff>57150</xdr:colOff>
                    <xdr:row>1</xdr:row>
                    <xdr:rowOff>276225</xdr:rowOff>
                  </to>
                </anchor>
              </controlPr>
            </control>
          </mc:Choice>
        </mc:AlternateContent>
        <mc:AlternateContent xmlns:mc="http://schemas.openxmlformats.org/markup-compatibility/2006">
          <mc:Choice Requires="x14">
            <control shapeId="11267" r:id="rId6" name="Button 3">
              <controlPr defaultSize="0" print="0" autoFill="0" autoPict="0" macro="[0]!Sheet7.cancelMktDepth">
                <anchor moveWithCells="1">
                  <from>
                    <xdr:col>3</xdr:col>
                    <xdr:colOff>323850</xdr:colOff>
                    <xdr:row>1</xdr:row>
                    <xdr:rowOff>76200</xdr:rowOff>
                  </from>
                  <to>
                    <xdr:col>6</xdr:col>
                    <xdr:colOff>76200</xdr:colOff>
                    <xdr:row>1</xdr:row>
                    <xdr:rowOff>276225</xdr:rowOff>
                  </to>
                </anchor>
              </controlPr>
            </control>
          </mc:Choice>
        </mc:AlternateContent>
        <mc:AlternateContent xmlns:mc="http://schemas.openxmlformats.org/markup-compatibility/2006">
          <mc:Choice Requires="x14">
            <control shapeId="12319" r:id="rId7" name="Button 1055">
              <controlPr defaultSize="0" print="0" autoFill="0" autoPict="0" macro="[0]!Sheet7.setRefreshRate">
                <anchor moveWithCells="1" sizeWithCells="1">
                  <from>
                    <xdr:col>6</xdr:col>
                    <xdr:colOff>561975</xdr:colOff>
                    <xdr:row>1</xdr:row>
                    <xdr:rowOff>76200</xdr:rowOff>
                  </from>
                  <to>
                    <xdr:col>8</xdr:col>
                    <xdr:colOff>352425</xdr:colOff>
                    <xdr:row>1</xdr:row>
                    <xdr:rowOff>276225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BZ209"/>
  <sheetViews>
    <sheetView zoomScale="80" zoomScaleNormal="80" workbookViewId="0">
      <pane ySplit="9" topLeftCell="A10" activePane="bottomLeft" state="frozen"/>
      <selection activeCell="A3" sqref="A3:I4"/>
      <selection pane="bottomLeft" activeCell="D5" sqref="D5:E5"/>
    </sheetView>
  </sheetViews>
  <sheetFormatPr defaultRowHeight="12.75" x14ac:dyDescent="0.2"/>
  <cols>
    <col min="1" max="1" width="18.85546875" bestFit="1" customWidth="1"/>
    <col min="2" max="2" width="6" bestFit="1" customWidth="1"/>
    <col min="3" max="3" width="15.140625" customWidth="1"/>
    <col min="4" max="4" width="5.85546875" bestFit="1" customWidth="1"/>
    <col min="5" max="5" width="4.28515625" customWidth="1"/>
    <col min="6" max="6" width="8.42578125" customWidth="1"/>
    <col min="7" max="7" width="13.5703125" customWidth="1"/>
    <col min="8" max="8" width="11" customWidth="1"/>
    <col min="9" max="9" width="16.42578125" customWidth="1"/>
    <col min="10" max="10" width="10.42578125" customWidth="1"/>
    <col min="11" max="11" width="11" customWidth="1"/>
    <col min="12" max="12" width="10" customWidth="1"/>
    <col min="13" max="13" width="9" customWidth="1"/>
    <col min="14" max="14" width="9.28515625" customWidth="1"/>
    <col min="15" max="15" width="11.5703125" customWidth="1"/>
    <col min="16" max="16" width="9.85546875" customWidth="1"/>
    <col min="17" max="17" width="10" customWidth="1"/>
    <col min="18" max="18" width="8.42578125" customWidth="1"/>
    <col min="19" max="19" width="13.5703125" bestFit="1" customWidth="1"/>
    <col min="20" max="21" width="10.7109375" customWidth="1"/>
    <col min="22" max="22" width="12.7109375" customWidth="1"/>
    <col min="23" max="23" width="12.5703125" customWidth="1"/>
    <col min="24" max="24" width="12.85546875" customWidth="1"/>
    <col min="26" max="27" width="9.140625" style="7"/>
    <col min="28" max="28" width="11.140625" style="7" customWidth="1"/>
    <col min="29" max="32" width="9.140625" style="7"/>
    <col min="33" max="33" width="10.5703125" style="7" customWidth="1"/>
    <col min="34" max="34" width="10.140625" style="7" customWidth="1"/>
    <col min="35" max="37" width="9.140625" style="7"/>
    <col min="38" max="38" width="12.7109375" style="7" customWidth="1"/>
    <col min="39" max="39" width="10.5703125" style="7" customWidth="1"/>
    <col min="40" max="48" width="9.140625" style="7"/>
    <col min="49" max="49" width="11.85546875" style="7" customWidth="1"/>
    <col min="50" max="50" width="10.42578125" style="7" customWidth="1"/>
    <col min="51" max="52" width="9.140625" style="7"/>
    <col min="53" max="53" width="15.5703125" style="7" customWidth="1"/>
    <col min="54" max="54" width="11.85546875" style="7" customWidth="1"/>
    <col min="55" max="55" width="9.140625" style="7"/>
    <col min="56" max="56" width="14.140625" style="7" customWidth="1"/>
    <col min="57" max="57" width="9" style="7" customWidth="1"/>
    <col min="58" max="60" width="9.140625" style="7"/>
    <col min="61" max="61" width="12.5703125" style="7" customWidth="1"/>
    <col min="62" max="62" width="12.7109375" style="7" customWidth="1"/>
    <col min="63" max="64" width="9.140625" style="7"/>
    <col min="65" max="65" width="10.5703125" style="7" customWidth="1"/>
    <col min="66" max="66" width="9.140625" style="7"/>
    <col min="67" max="67" width="11" style="7" customWidth="1"/>
    <col min="68" max="68" width="9.140625" style="7"/>
    <col min="69" max="69" width="12.5703125" style="7" customWidth="1"/>
    <col min="70" max="70" width="13.28515625" style="7" hidden="1" customWidth="1"/>
    <col min="71" max="73" width="12.5703125" style="7" customWidth="1"/>
    <col min="74" max="75" width="11.42578125" style="7" customWidth="1"/>
    <col min="76" max="76" width="9.140625" style="7"/>
    <col min="77" max="77" width="14.140625" style="7" customWidth="1"/>
    <col min="78" max="16384" width="9.140625" style="7"/>
  </cols>
  <sheetData>
    <row r="1" spans="1:78" x14ac:dyDescent="0.2">
      <c r="A1" s="293" t="s">
        <v>47</v>
      </c>
      <c r="B1" s="294"/>
      <c r="C1" s="294"/>
      <c r="D1" s="294"/>
      <c r="E1" s="294"/>
      <c r="F1" s="294"/>
      <c r="G1" s="294"/>
      <c r="H1" s="294"/>
      <c r="I1" s="294"/>
      <c r="J1" s="294"/>
      <c r="K1" s="69"/>
      <c r="L1" s="47"/>
      <c r="M1" s="69"/>
      <c r="P1" s="7"/>
      <c r="Q1" s="7"/>
      <c r="R1" s="7"/>
      <c r="S1" s="7"/>
      <c r="T1" s="7"/>
      <c r="U1" s="7"/>
      <c r="V1" s="7"/>
      <c r="W1" s="7"/>
      <c r="X1" s="7"/>
      <c r="Y1" s="7"/>
    </row>
    <row r="2" spans="1:78" ht="27.75" customHeight="1" x14ac:dyDescent="0.2">
      <c r="A2" s="303"/>
      <c r="B2" s="304"/>
      <c r="C2" s="304"/>
      <c r="D2" s="304"/>
      <c r="E2" s="304"/>
      <c r="F2" s="304"/>
      <c r="G2" s="304"/>
      <c r="H2" s="304"/>
      <c r="I2" s="304"/>
      <c r="J2" s="304"/>
      <c r="K2" s="77"/>
      <c r="L2" s="272" t="s">
        <v>374</v>
      </c>
      <c r="M2" s="295"/>
      <c r="N2" s="295"/>
      <c r="O2" s="295"/>
      <c r="P2" s="295"/>
      <c r="Q2" s="295"/>
      <c r="R2" s="295"/>
      <c r="S2" s="296"/>
      <c r="U2" s="77"/>
      <c r="V2" s="77"/>
      <c r="W2" s="77"/>
      <c r="Y2" s="7"/>
    </row>
    <row r="3" spans="1:78" x14ac:dyDescent="0.2">
      <c r="A3" s="19"/>
      <c r="B3" s="19"/>
      <c r="C3" s="19"/>
      <c r="D3" s="19"/>
      <c r="E3" s="19"/>
      <c r="F3" s="19"/>
      <c r="G3" s="19"/>
      <c r="H3" s="19"/>
      <c r="I3" s="19"/>
      <c r="J3" s="19"/>
      <c r="K3" s="19"/>
      <c r="L3" s="47"/>
      <c r="Y3" s="7"/>
    </row>
    <row r="4" spans="1:78" ht="12.75" customHeight="1" x14ac:dyDescent="0.2">
      <c r="A4" s="82" t="s">
        <v>51</v>
      </c>
      <c r="B4" s="83"/>
      <c r="C4" s="83"/>
      <c r="D4" s="83"/>
      <c r="E4" s="99"/>
      <c r="F4" s="83"/>
      <c r="G4" s="47"/>
      <c r="L4" s="373" t="s">
        <v>387</v>
      </c>
      <c r="M4" s="374"/>
      <c r="N4" s="374"/>
      <c r="O4" s="374"/>
      <c r="P4" s="374"/>
      <c r="Q4" s="374"/>
      <c r="R4" s="374"/>
      <c r="S4" s="375"/>
      <c r="T4" s="159"/>
      <c r="Y4" s="7"/>
    </row>
    <row r="5" spans="1:78" x14ac:dyDescent="0.2">
      <c r="A5" s="71" t="s">
        <v>58</v>
      </c>
      <c r="B5" s="72"/>
      <c r="C5" s="72"/>
      <c r="D5" s="302"/>
      <c r="E5" s="279"/>
      <c r="F5" s="33"/>
      <c r="L5" s="376"/>
      <c r="M5" s="377"/>
      <c r="N5" s="377"/>
      <c r="O5" s="377"/>
      <c r="P5" s="377"/>
      <c r="Q5" s="377"/>
      <c r="R5" s="377"/>
      <c r="S5" s="378"/>
      <c r="T5" s="159"/>
      <c r="Y5" s="7"/>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c r="BT5" s="25"/>
      <c r="BU5" s="25"/>
      <c r="BV5" s="25"/>
      <c r="BW5" s="25"/>
    </row>
    <row r="6" spans="1:78" x14ac:dyDescent="0.2">
      <c r="A6" s="79"/>
      <c r="B6" s="80"/>
      <c r="C6" s="80"/>
      <c r="D6" s="78"/>
      <c r="E6" s="78"/>
      <c r="F6" s="78"/>
      <c r="G6" s="78"/>
      <c r="M6" s="47"/>
      <c r="R6" s="25"/>
      <c r="S6" s="25"/>
      <c r="T6" s="25"/>
      <c r="U6" s="25"/>
      <c r="Z6" s="288" t="s">
        <v>69</v>
      </c>
      <c r="AA6" s="288"/>
      <c r="AB6" s="288"/>
      <c r="AC6" s="288"/>
      <c r="AD6" s="288"/>
      <c r="AE6" s="288"/>
      <c r="AF6" s="288"/>
      <c r="AG6" s="288"/>
      <c r="AH6" s="288"/>
      <c r="AI6" s="288"/>
      <c r="AJ6" s="288"/>
      <c r="AK6" s="288"/>
      <c r="AL6" s="288"/>
      <c r="AM6" s="288"/>
      <c r="AN6" s="288"/>
      <c r="AO6" s="288"/>
      <c r="AP6" s="288"/>
      <c r="AQ6" s="288"/>
      <c r="AR6" s="288"/>
      <c r="AS6" s="288"/>
      <c r="AT6" s="288"/>
      <c r="AU6" s="288"/>
      <c r="AV6" s="288"/>
      <c r="AW6" s="288"/>
      <c r="AX6" s="288"/>
      <c r="AY6" s="288"/>
      <c r="AZ6" s="288"/>
      <c r="BA6" s="288"/>
      <c r="BB6" s="288"/>
      <c r="BC6" s="288"/>
      <c r="BD6" s="288"/>
      <c r="BE6" s="288"/>
      <c r="BF6" s="288"/>
      <c r="BG6" s="288"/>
      <c r="BH6" s="288"/>
      <c r="BI6" s="288"/>
      <c r="BJ6" s="288"/>
      <c r="BK6" s="288"/>
      <c r="BL6" s="288"/>
      <c r="BM6" s="288"/>
      <c r="BN6" s="288"/>
      <c r="BO6" s="288"/>
      <c r="BP6" s="288"/>
      <c r="BQ6" s="288"/>
      <c r="BR6" s="288"/>
      <c r="BS6" s="288"/>
      <c r="BT6" s="288"/>
      <c r="BU6" s="288"/>
      <c r="BV6" s="288"/>
      <c r="BW6" s="288"/>
      <c r="BX6" s="288"/>
      <c r="BY6" s="268"/>
      <c r="BZ6" s="268"/>
    </row>
    <row r="7" spans="1:78" s="114" customFormat="1" x14ac:dyDescent="0.2">
      <c r="A7" s="306" t="s">
        <v>48</v>
      </c>
      <c r="B7" s="307"/>
      <c r="C7" s="307"/>
      <c r="D7" s="307"/>
      <c r="E7" s="307"/>
      <c r="F7" s="307"/>
      <c r="G7" s="307"/>
      <c r="H7" s="307"/>
      <c r="I7" s="307"/>
      <c r="J7" s="307"/>
      <c r="K7" s="307"/>
      <c r="L7" s="307"/>
      <c r="M7" s="307"/>
      <c r="N7" s="307"/>
      <c r="O7" s="307"/>
      <c r="P7" s="307"/>
      <c r="Q7" s="307"/>
      <c r="R7" s="307"/>
      <c r="S7" s="307"/>
      <c r="T7" s="307"/>
      <c r="U7" s="307"/>
      <c r="V7" s="307"/>
      <c r="W7" s="307"/>
      <c r="X7" s="307"/>
      <c r="Y7" s="307"/>
      <c r="Z7" s="117"/>
      <c r="AA7" s="117"/>
      <c r="AB7" s="284" t="s">
        <v>280</v>
      </c>
      <c r="AC7" s="289"/>
      <c r="AD7" s="290"/>
      <c r="AE7" s="117"/>
      <c r="AF7" s="117"/>
      <c r="AG7" s="117"/>
      <c r="AH7" s="117"/>
      <c r="AI7" s="117"/>
      <c r="AJ7" s="117"/>
      <c r="AK7" s="117"/>
      <c r="AL7" s="117"/>
      <c r="AM7" s="117"/>
      <c r="AN7" s="116" t="s">
        <v>67</v>
      </c>
      <c r="AO7" s="117"/>
      <c r="AP7" s="117"/>
      <c r="AQ7" s="284" t="s">
        <v>279</v>
      </c>
      <c r="AR7" s="289"/>
      <c r="AS7" s="289"/>
      <c r="AT7" s="290"/>
      <c r="AU7" s="284" t="s">
        <v>280</v>
      </c>
      <c r="AV7" s="290"/>
      <c r="AW7" s="117"/>
      <c r="AX7" s="117"/>
      <c r="AY7" s="117"/>
      <c r="AZ7" s="116" t="s">
        <v>280</v>
      </c>
      <c r="BA7" s="117"/>
      <c r="BB7" s="118"/>
      <c r="BC7" s="116" t="s">
        <v>284</v>
      </c>
      <c r="BD7" s="284" t="s">
        <v>283</v>
      </c>
      <c r="BE7" s="291"/>
      <c r="BF7" s="291"/>
      <c r="BG7" s="115" t="s">
        <v>302</v>
      </c>
      <c r="BH7" s="284" t="s">
        <v>281</v>
      </c>
      <c r="BI7" s="305"/>
      <c r="BJ7" s="285"/>
      <c r="BK7" s="284" t="s">
        <v>295</v>
      </c>
      <c r="BL7" s="290"/>
      <c r="BM7" s="284" t="s">
        <v>282</v>
      </c>
      <c r="BN7" s="289"/>
      <c r="BO7" s="289"/>
      <c r="BP7" s="289"/>
      <c r="BQ7" s="289"/>
      <c r="BR7" s="290"/>
      <c r="BS7" s="116" t="s">
        <v>265</v>
      </c>
      <c r="BT7" s="284" t="s">
        <v>356</v>
      </c>
      <c r="BU7" s="291"/>
      <c r="BV7" s="292"/>
      <c r="BW7" s="149"/>
      <c r="BX7" s="284" t="s">
        <v>280</v>
      </c>
      <c r="BY7" s="285"/>
      <c r="BZ7" s="149"/>
    </row>
    <row r="8" spans="1:78" ht="12.75" customHeight="1" x14ac:dyDescent="0.2">
      <c r="A8" s="258" t="s">
        <v>27</v>
      </c>
      <c r="B8" s="256"/>
      <c r="C8" s="256"/>
      <c r="D8" s="256"/>
      <c r="E8" s="256"/>
      <c r="F8" s="256"/>
      <c r="G8" s="256"/>
      <c r="H8" s="256"/>
      <c r="I8" s="256"/>
      <c r="J8" s="256"/>
      <c r="K8" s="256"/>
      <c r="L8" s="265"/>
      <c r="M8" s="75"/>
      <c r="N8" s="75"/>
      <c r="O8" s="74" t="s">
        <v>28</v>
      </c>
      <c r="P8" s="75"/>
      <c r="Q8" s="76"/>
      <c r="R8" s="258" t="s">
        <v>29</v>
      </c>
      <c r="S8" s="259"/>
      <c r="T8" s="259"/>
      <c r="U8" s="259"/>
      <c r="V8" s="259"/>
      <c r="W8" s="259"/>
      <c r="X8" s="259"/>
      <c r="Y8" s="280"/>
      <c r="Z8" s="282" t="s">
        <v>266</v>
      </c>
      <c r="AA8" s="282" t="s">
        <v>71</v>
      </c>
      <c r="AB8" s="282" t="s">
        <v>72</v>
      </c>
      <c r="AC8" s="282" t="s">
        <v>267</v>
      </c>
      <c r="AD8" s="282" t="s">
        <v>268</v>
      </c>
      <c r="AE8" s="282" t="s">
        <v>73</v>
      </c>
      <c r="AF8" s="282" t="s">
        <v>269</v>
      </c>
      <c r="AG8" s="282" t="s">
        <v>82</v>
      </c>
      <c r="AH8" s="282" t="s">
        <v>270</v>
      </c>
      <c r="AI8" s="282" t="s">
        <v>271</v>
      </c>
      <c r="AJ8" s="282" t="s">
        <v>96</v>
      </c>
      <c r="AK8" s="282" t="s">
        <v>97</v>
      </c>
      <c r="AL8" s="178"/>
      <c r="AM8" s="282" t="s">
        <v>272</v>
      </c>
      <c r="AN8" s="282" t="s">
        <v>273</v>
      </c>
      <c r="AO8" s="282" t="s">
        <v>135</v>
      </c>
      <c r="AP8" s="282" t="s">
        <v>136</v>
      </c>
      <c r="AQ8" s="282" t="s">
        <v>137</v>
      </c>
      <c r="AR8" s="282" t="s">
        <v>138</v>
      </c>
      <c r="AS8" s="282" t="s">
        <v>139</v>
      </c>
      <c r="AT8" s="282" t="s">
        <v>140</v>
      </c>
      <c r="AU8" s="282" t="s">
        <v>274</v>
      </c>
      <c r="AV8" s="282" t="s">
        <v>275</v>
      </c>
      <c r="AW8" s="282" t="s">
        <v>156</v>
      </c>
      <c r="AX8" s="178"/>
      <c r="AY8" s="282" t="s">
        <v>157</v>
      </c>
      <c r="AZ8" s="282" t="s">
        <v>158</v>
      </c>
      <c r="BA8" s="282" t="s">
        <v>276</v>
      </c>
      <c r="BB8" s="282" t="s">
        <v>167</v>
      </c>
      <c r="BC8" s="282" t="s">
        <v>159</v>
      </c>
      <c r="BD8" s="282" t="s">
        <v>277</v>
      </c>
      <c r="BE8" s="282" t="s">
        <v>278</v>
      </c>
      <c r="BF8" s="282" t="s">
        <v>160</v>
      </c>
      <c r="BG8" s="282" t="s">
        <v>161</v>
      </c>
      <c r="BH8" s="282" t="s">
        <v>162</v>
      </c>
      <c r="BI8" s="282" t="s">
        <v>163</v>
      </c>
      <c r="BJ8" s="282" t="s">
        <v>164</v>
      </c>
      <c r="BK8" s="286" t="s">
        <v>423</v>
      </c>
      <c r="BL8" s="286" t="s">
        <v>424</v>
      </c>
      <c r="BM8" s="282" t="s">
        <v>202</v>
      </c>
      <c r="BN8" s="282" t="s">
        <v>205</v>
      </c>
      <c r="BO8" s="282" t="s">
        <v>206</v>
      </c>
      <c r="BP8" s="282" t="s">
        <v>209</v>
      </c>
      <c r="BQ8" s="282" t="s">
        <v>204</v>
      </c>
      <c r="BR8" s="282" t="s">
        <v>210</v>
      </c>
      <c r="BS8" s="282" t="s">
        <v>264</v>
      </c>
      <c r="BT8" s="282" t="s">
        <v>359</v>
      </c>
      <c r="BU8" s="282" t="s">
        <v>360</v>
      </c>
      <c r="BV8" s="282" t="s">
        <v>361</v>
      </c>
      <c r="BW8" s="282" t="s">
        <v>364</v>
      </c>
      <c r="BX8" s="282" t="s">
        <v>433</v>
      </c>
      <c r="BY8" s="286" t="s">
        <v>460</v>
      </c>
      <c r="BZ8" s="286" t="s">
        <v>466</v>
      </c>
    </row>
    <row r="9" spans="1:78" ht="12.75" customHeight="1" x14ac:dyDescent="0.2">
      <c r="A9" s="1" t="s">
        <v>9</v>
      </c>
      <c r="B9" s="1" t="s">
        <v>21</v>
      </c>
      <c r="C9" s="1" t="s">
        <v>497</v>
      </c>
      <c r="D9" s="1" t="s">
        <v>10</v>
      </c>
      <c r="E9" s="49" t="s">
        <v>23</v>
      </c>
      <c r="F9" s="1" t="s">
        <v>86</v>
      </c>
      <c r="G9" s="1" t="s">
        <v>85</v>
      </c>
      <c r="H9" s="2" t="s">
        <v>12</v>
      </c>
      <c r="I9" s="16" t="s">
        <v>143</v>
      </c>
      <c r="J9" s="2" t="s">
        <v>40</v>
      </c>
      <c r="K9" s="2" t="s">
        <v>117</v>
      </c>
      <c r="L9" s="2" t="s">
        <v>141</v>
      </c>
      <c r="M9" s="2" t="s">
        <v>13</v>
      </c>
      <c r="N9" s="1" t="s">
        <v>14</v>
      </c>
      <c r="O9" s="1" t="s">
        <v>15</v>
      </c>
      <c r="P9" s="1" t="s">
        <v>16</v>
      </c>
      <c r="Q9" s="1" t="s">
        <v>17</v>
      </c>
      <c r="R9" s="151" t="s">
        <v>22</v>
      </c>
      <c r="S9" s="151" t="s">
        <v>24</v>
      </c>
      <c r="T9" s="151" t="s">
        <v>18</v>
      </c>
      <c r="U9" s="151" t="s">
        <v>19</v>
      </c>
      <c r="V9" s="151" t="s">
        <v>20</v>
      </c>
      <c r="W9" s="151" t="s">
        <v>114</v>
      </c>
      <c r="X9" s="151" t="s">
        <v>115</v>
      </c>
      <c r="Y9" s="151" t="s">
        <v>83</v>
      </c>
      <c r="Z9" s="283"/>
      <c r="AA9" s="283"/>
      <c r="AB9" s="283"/>
      <c r="AC9" s="283"/>
      <c r="AD9" s="283"/>
      <c r="AE9" s="283"/>
      <c r="AF9" s="283"/>
      <c r="AG9" s="283"/>
      <c r="AH9" s="283"/>
      <c r="AI9" s="283"/>
      <c r="AJ9" s="283"/>
      <c r="AK9" s="283"/>
      <c r="AL9" s="179"/>
      <c r="AM9" s="283"/>
      <c r="AN9" s="283"/>
      <c r="AO9" s="283"/>
      <c r="AP9" s="283"/>
      <c r="AQ9" s="283"/>
      <c r="AR9" s="283"/>
      <c r="AS9" s="283"/>
      <c r="AT9" s="283"/>
      <c r="AU9" s="283"/>
      <c r="AV9" s="283"/>
      <c r="AW9" s="283"/>
      <c r="AX9" s="179"/>
      <c r="AY9" s="283"/>
      <c r="AZ9" s="283"/>
      <c r="BA9" s="283"/>
      <c r="BB9" s="283"/>
      <c r="BC9" s="283"/>
      <c r="BD9" s="283"/>
      <c r="BE9" s="283"/>
      <c r="BF9" s="283"/>
      <c r="BG9" s="283"/>
      <c r="BH9" s="283"/>
      <c r="BI9" s="283"/>
      <c r="BJ9" s="283"/>
      <c r="BK9" s="283"/>
      <c r="BL9" s="283"/>
      <c r="BM9" s="283"/>
      <c r="BN9" s="283"/>
      <c r="BO9" s="283"/>
      <c r="BP9" s="283"/>
      <c r="BQ9" s="283"/>
      <c r="BR9" s="283"/>
      <c r="BS9" s="283"/>
      <c r="BT9" s="283"/>
      <c r="BU9" s="283"/>
      <c r="BV9" s="283"/>
      <c r="BW9" s="283"/>
      <c r="BX9" s="283"/>
      <c r="BY9" s="283"/>
      <c r="BZ9" s="287"/>
    </row>
    <row r="10" spans="1:78" x14ac:dyDescent="0.2">
      <c r="A10" s="5"/>
      <c r="B10" s="5"/>
      <c r="C10" s="5"/>
      <c r="D10" s="5"/>
      <c r="E10" s="60"/>
      <c r="F10" s="5"/>
      <c r="G10" s="5"/>
      <c r="H10" s="5"/>
      <c r="I10" s="5"/>
      <c r="J10" s="5"/>
      <c r="K10" s="5"/>
      <c r="L10" s="5"/>
      <c r="M10" s="6"/>
      <c r="N10" s="6"/>
      <c r="O10" s="6"/>
      <c r="P10" s="6"/>
      <c r="Q10" s="108"/>
      <c r="R10" s="5"/>
      <c r="S10" s="5"/>
      <c r="T10" s="5"/>
      <c r="U10" s="5"/>
      <c r="V10" s="5"/>
      <c r="W10" s="5"/>
      <c r="X10" s="5"/>
      <c r="Y10" s="5"/>
      <c r="Z10" s="167"/>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6"/>
      <c r="BW10" s="6"/>
      <c r="BX10" s="6"/>
      <c r="BY10" s="6"/>
      <c r="BZ10" s="6"/>
    </row>
    <row r="11" spans="1:78" x14ac:dyDescent="0.2">
      <c r="A11" s="366" t="s">
        <v>383</v>
      </c>
      <c r="B11" s="367"/>
      <c r="C11" s="367"/>
      <c r="D11" s="368"/>
      <c r="E11" s="60"/>
      <c r="F11" s="5"/>
      <c r="G11" s="5"/>
      <c r="H11" s="5"/>
      <c r="I11" s="5"/>
      <c r="J11" s="5"/>
      <c r="K11" s="5"/>
      <c r="L11" s="5"/>
      <c r="M11" s="6"/>
      <c r="N11" s="6"/>
      <c r="O11" s="6"/>
      <c r="P11" s="6"/>
      <c r="Q11" s="108"/>
      <c r="R11" s="5"/>
      <c r="S11" s="5"/>
      <c r="T11" s="5"/>
      <c r="U11" s="5"/>
      <c r="V11" s="5"/>
      <c r="W11" s="5"/>
      <c r="X11" s="5"/>
      <c r="Y11" s="5"/>
      <c r="Z11" s="167"/>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c r="BQ11" s="6"/>
      <c r="BR11" s="6"/>
      <c r="BS11" s="6"/>
      <c r="BT11" s="6"/>
      <c r="BU11" s="6"/>
      <c r="BV11" s="6"/>
      <c r="BW11" s="6"/>
      <c r="BX11" s="6"/>
      <c r="BY11" s="6"/>
      <c r="BZ11" s="6"/>
    </row>
    <row r="12" spans="1:78" x14ac:dyDescent="0.2">
      <c r="A12" s="363" t="s">
        <v>388</v>
      </c>
      <c r="B12" s="364"/>
      <c r="C12" s="364"/>
      <c r="D12" s="364"/>
      <c r="E12" s="364"/>
      <c r="F12" s="364"/>
      <c r="G12" s="193"/>
      <c r="H12" s="5"/>
      <c r="I12" s="5"/>
      <c r="J12" s="5"/>
      <c r="K12" s="5"/>
      <c r="L12" s="5"/>
      <c r="M12" s="6"/>
      <c r="N12" s="6"/>
      <c r="O12" s="6"/>
      <c r="P12" s="6"/>
      <c r="Q12" s="108"/>
      <c r="R12" s="5"/>
      <c r="S12" s="5"/>
      <c r="T12" s="5"/>
      <c r="U12" s="5"/>
      <c r="V12" s="5"/>
      <c r="W12" s="5"/>
      <c r="X12" s="5"/>
      <c r="Y12" s="5"/>
      <c r="Z12" s="167"/>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row>
    <row r="13" spans="1:78" x14ac:dyDescent="0.2">
      <c r="A13" s="5" t="s">
        <v>25</v>
      </c>
      <c r="B13" s="5" t="s">
        <v>11</v>
      </c>
      <c r="C13" s="5"/>
      <c r="D13" s="5"/>
      <c r="E13" s="60"/>
      <c r="F13" s="5"/>
      <c r="G13" s="5"/>
      <c r="H13" s="5" t="s">
        <v>67</v>
      </c>
      <c r="I13" s="5"/>
      <c r="J13" s="5" t="s">
        <v>43</v>
      </c>
      <c r="K13" s="5"/>
      <c r="L13" s="5"/>
      <c r="M13" s="6"/>
      <c r="N13" s="6"/>
      <c r="O13" s="6"/>
      <c r="P13" s="6"/>
      <c r="Q13" s="108"/>
      <c r="R13" s="5"/>
      <c r="S13" s="5"/>
      <c r="T13" s="5"/>
      <c r="U13" s="5"/>
      <c r="V13" s="5"/>
      <c r="W13" s="5"/>
      <c r="X13" s="5"/>
      <c r="Y13" s="5"/>
      <c r="Z13" s="167"/>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c r="BQ13" s="6"/>
      <c r="BR13" s="6"/>
      <c r="BS13" s="6"/>
      <c r="BT13" s="6"/>
      <c r="BU13" s="6"/>
      <c r="BV13" s="6"/>
      <c r="BW13" s="6"/>
      <c r="BX13" s="6"/>
      <c r="BY13" s="6"/>
      <c r="BZ13" s="6"/>
    </row>
    <row r="14" spans="1:78" x14ac:dyDescent="0.2">
      <c r="A14" s="5"/>
      <c r="B14" s="5"/>
      <c r="C14" s="5"/>
      <c r="D14" s="5"/>
      <c r="E14" s="60"/>
      <c r="F14" s="5"/>
      <c r="G14" s="5"/>
      <c r="H14" s="5"/>
      <c r="I14" s="5"/>
      <c r="J14" s="5"/>
      <c r="K14" s="5"/>
      <c r="L14" s="5"/>
      <c r="M14" s="6"/>
      <c r="N14" s="6"/>
      <c r="O14" s="6"/>
      <c r="P14" s="6"/>
      <c r="Q14" s="108"/>
      <c r="R14" s="5"/>
      <c r="S14" s="5"/>
      <c r="T14" s="5"/>
      <c r="U14" s="5"/>
      <c r="V14" s="5"/>
      <c r="W14" s="5"/>
      <c r="X14" s="5"/>
      <c r="Y14" s="5"/>
      <c r="Z14" s="167"/>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row>
    <row r="15" spans="1:78" x14ac:dyDescent="0.2">
      <c r="A15" s="5"/>
      <c r="B15" s="5"/>
      <c r="C15" s="5"/>
      <c r="D15" s="5"/>
      <c r="E15" s="60"/>
      <c r="F15" s="5"/>
      <c r="G15" s="5"/>
      <c r="H15" s="5"/>
      <c r="I15" s="5"/>
      <c r="J15" s="5"/>
      <c r="K15" s="5"/>
      <c r="L15" s="5"/>
      <c r="M15" s="6"/>
      <c r="N15" s="6"/>
      <c r="O15" s="6"/>
      <c r="P15" s="6"/>
      <c r="Q15" s="108"/>
      <c r="R15" s="5"/>
      <c r="S15" s="5"/>
      <c r="T15" s="5"/>
      <c r="U15" s="5"/>
      <c r="V15" s="5"/>
      <c r="W15" s="5"/>
      <c r="X15" s="5"/>
      <c r="Y15" s="5"/>
      <c r="Z15" s="167"/>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row>
    <row r="16" spans="1:78" x14ac:dyDescent="0.2">
      <c r="A16" s="5"/>
      <c r="B16" s="5"/>
      <c r="C16" s="5"/>
      <c r="D16" s="5"/>
      <c r="E16" s="60"/>
      <c r="F16" s="5"/>
      <c r="G16" s="5"/>
      <c r="H16" s="5"/>
      <c r="I16" s="5"/>
      <c r="J16" s="5"/>
      <c r="K16" s="5"/>
      <c r="L16" s="5"/>
      <c r="M16" s="6"/>
      <c r="N16" s="6"/>
      <c r="O16" s="6"/>
      <c r="P16" s="6"/>
      <c r="Q16" s="108"/>
      <c r="R16" s="5"/>
      <c r="S16" s="5"/>
      <c r="T16" s="5"/>
      <c r="U16" s="5"/>
      <c r="V16" s="5"/>
      <c r="W16" s="5"/>
      <c r="X16" s="5"/>
      <c r="Y16" s="5"/>
      <c r="Z16" s="167"/>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row>
    <row r="17" spans="1:78" x14ac:dyDescent="0.2">
      <c r="A17" s="5"/>
      <c r="B17" s="5"/>
      <c r="C17" s="5"/>
      <c r="D17" s="5"/>
      <c r="E17" s="60"/>
      <c r="F17" s="5"/>
      <c r="G17" s="5"/>
      <c r="H17" s="5"/>
      <c r="I17" s="5"/>
      <c r="J17" s="5"/>
      <c r="K17" s="5"/>
      <c r="L17" s="5"/>
      <c r="M17" s="6"/>
      <c r="N17" s="6"/>
      <c r="O17" s="6"/>
      <c r="P17" s="6"/>
      <c r="Q17" s="108"/>
      <c r="R17" s="5"/>
      <c r="S17" s="5"/>
      <c r="T17" s="5"/>
      <c r="U17" s="5"/>
      <c r="V17" s="5"/>
      <c r="W17" s="5"/>
      <c r="X17" s="5"/>
      <c r="Y17" s="5"/>
      <c r="Z17" s="167"/>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row>
    <row r="18" spans="1:78" x14ac:dyDescent="0.2">
      <c r="A18" s="5"/>
      <c r="B18" s="5"/>
      <c r="C18" s="5"/>
      <c r="D18" s="5"/>
      <c r="E18" s="60"/>
      <c r="F18" s="5"/>
      <c r="G18" s="5"/>
      <c r="H18" s="5"/>
      <c r="I18" s="5"/>
      <c r="J18" s="5"/>
      <c r="K18" s="5"/>
      <c r="L18" s="5"/>
      <c r="M18" s="6"/>
      <c r="N18" s="6"/>
      <c r="O18" s="6"/>
      <c r="P18" s="6"/>
      <c r="Q18" s="108"/>
      <c r="R18" s="5"/>
      <c r="S18" s="5"/>
      <c r="T18" s="5"/>
      <c r="U18" s="5"/>
      <c r="V18" s="5"/>
      <c r="W18" s="5"/>
      <c r="X18" s="5"/>
      <c r="Y18" s="5"/>
      <c r="Z18" s="167"/>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row>
    <row r="19" spans="1:78" x14ac:dyDescent="0.2">
      <c r="A19" s="5"/>
      <c r="B19" s="5"/>
      <c r="C19" s="5"/>
      <c r="D19" s="5"/>
      <c r="E19" s="60"/>
      <c r="F19" s="5"/>
      <c r="G19" s="5"/>
      <c r="H19" s="5"/>
      <c r="I19" s="5"/>
      <c r="J19" s="5"/>
      <c r="K19" s="5"/>
      <c r="L19" s="5"/>
      <c r="M19" s="6"/>
      <c r="N19" s="6"/>
      <c r="O19" s="6"/>
      <c r="P19" s="6"/>
      <c r="Q19" s="108"/>
      <c r="R19" s="5"/>
      <c r="S19" s="5"/>
      <c r="T19" s="5"/>
      <c r="U19" s="5"/>
      <c r="V19" s="5"/>
      <c r="W19" s="5"/>
      <c r="X19" s="5"/>
      <c r="Y19" s="5"/>
      <c r="Z19" s="167"/>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row>
    <row r="20" spans="1:78" x14ac:dyDescent="0.2">
      <c r="A20" s="5"/>
      <c r="B20" s="5"/>
      <c r="C20" s="5"/>
      <c r="D20" s="5"/>
      <c r="E20" s="60"/>
      <c r="F20" s="5"/>
      <c r="G20" s="5"/>
      <c r="H20" s="5"/>
      <c r="I20" s="5"/>
      <c r="J20" s="5"/>
      <c r="K20" s="5"/>
      <c r="L20" s="5"/>
      <c r="M20" s="6"/>
      <c r="N20" s="6"/>
      <c r="O20" s="6"/>
      <c r="P20" s="6"/>
      <c r="Q20" s="108"/>
      <c r="R20" s="5"/>
      <c r="S20" s="5"/>
      <c r="T20" s="5"/>
      <c r="U20" s="5"/>
      <c r="V20" s="5"/>
      <c r="W20" s="5"/>
      <c r="X20" s="5"/>
      <c r="Y20" s="5"/>
      <c r="Z20" s="167"/>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row>
    <row r="21" spans="1:78" x14ac:dyDescent="0.2">
      <c r="A21" s="366" t="s">
        <v>384</v>
      </c>
      <c r="B21" s="367"/>
      <c r="C21" s="367"/>
      <c r="D21" s="368"/>
      <c r="E21" s="60"/>
      <c r="F21" s="5"/>
      <c r="G21" s="5"/>
      <c r="H21" s="5"/>
      <c r="I21" s="5"/>
      <c r="J21" s="5"/>
      <c r="K21" s="5"/>
      <c r="L21" s="5"/>
      <c r="M21" s="6"/>
      <c r="N21" s="6"/>
      <c r="O21" s="6"/>
      <c r="P21" s="6"/>
      <c r="Q21" s="108"/>
      <c r="R21" s="5"/>
      <c r="S21" s="5"/>
      <c r="T21" s="5"/>
      <c r="U21" s="5"/>
      <c r="V21" s="5"/>
      <c r="W21" s="5"/>
      <c r="X21" s="5"/>
      <c r="Y21" s="5"/>
      <c r="Z21" s="167"/>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row>
    <row r="22" spans="1:78" x14ac:dyDescent="0.2">
      <c r="A22" s="363" t="s">
        <v>388</v>
      </c>
      <c r="B22" s="364"/>
      <c r="C22" s="364"/>
      <c r="D22" s="364"/>
      <c r="E22" s="364"/>
      <c r="F22" s="364"/>
      <c r="G22" s="193"/>
      <c r="H22" s="5"/>
      <c r="I22" s="5"/>
      <c r="J22" s="5"/>
      <c r="K22" s="5"/>
      <c r="L22" s="5"/>
      <c r="M22" s="6"/>
      <c r="N22" s="6"/>
      <c r="O22" s="6"/>
      <c r="P22" s="6"/>
      <c r="Q22" s="108"/>
      <c r="R22" s="5"/>
      <c r="S22" s="5"/>
      <c r="T22" s="5"/>
      <c r="U22" s="5"/>
      <c r="V22" s="5"/>
      <c r="W22" s="5"/>
      <c r="X22" s="5"/>
      <c r="Y22" s="5"/>
      <c r="Z22" s="167"/>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row>
    <row r="23" spans="1:78" x14ac:dyDescent="0.2">
      <c r="A23" s="5" t="s">
        <v>194</v>
      </c>
      <c r="B23" s="5" t="s">
        <v>11</v>
      </c>
      <c r="C23" s="5"/>
      <c r="D23" s="5"/>
      <c r="E23" s="60"/>
      <c r="F23" s="5"/>
      <c r="G23" s="5"/>
      <c r="H23" s="5" t="s">
        <v>67</v>
      </c>
      <c r="I23" s="5"/>
      <c r="J23" s="5" t="s">
        <v>43</v>
      </c>
      <c r="K23" s="5"/>
      <c r="L23" s="5"/>
      <c r="M23" s="6"/>
      <c r="N23" s="6"/>
      <c r="O23" s="6"/>
      <c r="P23" s="6"/>
      <c r="Q23" s="108"/>
      <c r="R23" s="5"/>
      <c r="S23" s="5"/>
      <c r="T23" s="5"/>
      <c r="U23" s="5"/>
      <c r="V23" s="5"/>
      <c r="W23" s="5"/>
      <c r="X23" s="5"/>
      <c r="Y23" s="5"/>
      <c r="Z23" s="167"/>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row>
    <row r="24" spans="1:78" x14ac:dyDescent="0.2">
      <c r="A24" s="5"/>
      <c r="B24" s="5"/>
      <c r="C24" s="5"/>
      <c r="D24" s="5"/>
      <c r="E24" s="60"/>
      <c r="F24" s="5"/>
      <c r="G24" s="5"/>
      <c r="H24" s="5"/>
      <c r="I24" s="5"/>
      <c r="J24" s="5"/>
      <c r="K24" s="5"/>
      <c r="L24" s="5"/>
      <c r="M24" s="6"/>
      <c r="N24" s="6"/>
      <c r="O24" s="6"/>
      <c r="P24" s="6"/>
      <c r="Q24" s="108"/>
      <c r="R24" s="5"/>
      <c r="S24" s="5"/>
      <c r="T24" s="5"/>
      <c r="U24" s="5"/>
      <c r="V24" s="5"/>
      <c r="W24" s="5"/>
      <c r="X24" s="5"/>
      <c r="Y24" s="5"/>
      <c r="Z24" s="167"/>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c r="BU24" s="6"/>
      <c r="BV24" s="6"/>
      <c r="BW24" s="6"/>
      <c r="BX24" s="6"/>
      <c r="BY24" s="6"/>
      <c r="BZ24" s="6"/>
    </row>
    <row r="25" spans="1:78" x14ac:dyDescent="0.2">
      <c r="A25" s="5"/>
      <c r="B25" s="5"/>
      <c r="C25" s="5"/>
      <c r="D25" s="5"/>
      <c r="E25" s="60"/>
      <c r="F25" s="5"/>
      <c r="G25" s="5"/>
      <c r="H25" s="5"/>
      <c r="I25" s="5"/>
      <c r="J25" s="5"/>
      <c r="K25" s="5"/>
      <c r="L25" s="5"/>
      <c r="M25" s="6"/>
      <c r="N25" s="6"/>
      <c r="O25" s="6"/>
      <c r="P25" s="6"/>
      <c r="Q25" s="108"/>
      <c r="R25" s="5"/>
      <c r="S25" s="5"/>
      <c r="T25" s="5"/>
      <c r="U25" s="5"/>
      <c r="V25" s="5"/>
      <c r="W25" s="5"/>
      <c r="X25" s="5"/>
      <c r="Y25" s="5"/>
      <c r="Z25" s="167"/>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row>
    <row r="26" spans="1:78" x14ac:dyDescent="0.2">
      <c r="A26" s="5"/>
      <c r="B26" s="5"/>
      <c r="C26" s="5"/>
      <c r="D26" s="5"/>
      <c r="E26" s="60"/>
      <c r="F26" s="5"/>
      <c r="G26" s="5"/>
      <c r="H26" s="5"/>
      <c r="I26" s="5"/>
      <c r="J26" s="5"/>
      <c r="K26" s="5"/>
      <c r="L26" s="5"/>
      <c r="M26" s="6"/>
      <c r="N26" s="6"/>
      <c r="O26" s="6"/>
      <c r="P26" s="6"/>
      <c r="Q26" s="108"/>
      <c r="R26" s="5"/>
      <c r="S26" s="5"/>
      <c r="T26" s="5"/>
      <c r="U26" s="5"/>
      <c r="V26" s="5"/>
      <c r="W26" s="5"/>
      <c r="X26" s="5"/>
      <c r="Y26" s="5"/>
      <c r="Z26" s="167"/>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row>
    <row r="27" spans="1:78" x14ac:dyDescent="0.2">
      <c r="A27" s="5"/>
      <c r="B27" s="5"/>
      <c r="C27" s="5"/>
      <c r="D27" s="5"/>
      <c r="E27" s="60"/>
      <c r="F27" s="5"/>
      <c r="G27" s="5"/>
      <c r="H27" s="5"/>
      <c r="I27" s="5"/>
      <c r="J27" s="5"/>
      <c r="K27" s="5"/>
      <c r="L27" s="5"/>
      <c r="M27" s="6"/>
      <c r="N27" s="6"/>
      <c r="O27" s="6"/>
      <c r="P27" s="6"/>
      <c r="Q27" s="108"/>
      <c r="R27" s="5"/>
      <c r="S27" s="5"/>
      <c r="T27" s="5"/>
      <c r="U27" s="5"/>
      <c r="V27" s="5"/>
      <c r="W27" s="5"/>
      <c r="X27" s="5"/>
      <c r="Y27" s="5"/>
      <c r="Z27" s="167"/>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row>
    <row r="28" spans="1:78" x14ac:dyDescent="0.2">
      <c r="A28" s="5"/>
      <c r="B28" s="5"/>
      <c r="C28" s="5"/>
      <c r="D28" s="5"/>
      <c r="E28" s="60"/>
      <c r="F28" s="5"/>
      <c r="G28" s="5"/>
      <c r="H28" s="5"/>
      <c r="I28" s="5"/>
      <c r="J28" s="5"/>
      <c r="K28" s="5"/>
      <c r="L28" s="5"/>
      <c r="M28" s="6"/>
      <c r="N28" s="6"/>
      <c r="O28" s="6"/>
      <c r="P28" s="6"/>
      <c r="Q28" s="108"/>
      <c r="R28" s="5"/>
      <c r="S28" s="5"/>
      <c r="T28" s="5"/>
      <c r="U28" s="5"/>
      <c r="V28" s="5"/>
      <c r="W28" s="5"/>
      <c r="X28" s="5"/>
      <c r="Y28" s="5"/>
      <c r="Z28" s="167"/>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row>
    <row r="29" spans="1:78" x14ac:dyDescent="0.2">
      <c r="A29" s="470" t="s">
        <v>385</v>
      </c>
      <c r="B29" s="356"/>
      <c r="C29" s="356"/>
      <c r="D29" s="356"/>
      <c r="E29" s="356"/>
      <c r="F29" s="356"/>
      <c r="G29" s="356"/>
      <c r="H29" s="196"/>
      <c r="I29" s="5"/>
      <c r="J29" s="5"/>
      <c r="K29" s="5"/>
      <c r="L29" s="5"/>
      <c r="M29" s="6"/>
      <c r="N29" s="6"/>
      <c r="O29" s="6"/>
      <c r="P29" s="6"/>
      <c r="Q29" s="108"/>
      <c r="R29" s="5"/>
      <c r="S29" s="5"/>
      <c r="T29" s="5"/>
      <c r="U29" s="5"/>
      <c r="V29" s="5"/>
      <c r="W29" s="5"/>
      <c r="X29" s="5"/>
      <c r="Y29" s="5"/>
      <c r="Z29" s="167"/>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row>
    <row r="30" spans="1:78" x14ac:dyDescent="0.2">
      <c r="A30" s="363" t="s">
        <v>388</v>
      </c>
      <c r="B30" s="364"/>
      <c r="C30" s="364"/>
      <c r="D30" s="364"/>
      <c r="E30" s="364"/>
      <c r="F30" s="364"/>
      <c r="G30" s="193"/>
      <c r="H30" s="5"/>
      <c r="I30" s="5"/>
      <c r="J30" s="5"/>
      <c r="K30" s="5"/>
      <c r="L30" s="5"/>
      <c r="M30" s="6"/>
      <c r="N30" s="6"/>
      <c r="O30" s="6"/>
      <c r="P30" s="6"/>
      <c r="Q30" s="108"/>
      <c r="R30" s="5"/>
      <c r="S30" s="5"/>
      <c r="T30" s="5"/>
      <c r="U30" s="5"/>
      <c r="V30" s="5"/>
      <c r="W30" s="5"/>
      <c r="X30" s="5"/>
      <c r="Y30" s="5"/>
      <c r="Z30" s="167"/>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row>
    <row r="31" spans="1:78" x14ac:dyDescent="0.2">
      <c r="A31" s="5" t="s">
        <v>68</v>
      </c>
      <c r="B31" s="5" t="s">
        <v>11</v>
      </c>
      <c r="C31" s="5"/>
      <c r="D31" s="5"/>
      <c r="E31" s="60"/>
      <c r="F31" s="5"/>
      <c r="G31" s="5"/>
      <c r="H31" s="5" t="s">
        <v>67</v>
      </c>
      <c r="I31" s="5"/>
      <c r="J31" s="5" t="s">
        <v>43</v>
      </c>
      <c r="K31" s="5"/>
      <c r="L31" s="5"/>
      <c r="M31" s="6"/>
      <c r="N31" s="6"/>
      <c r="O31" s="6"/>
      <c r="P31" s="6"/>
      <c r="Q31" s="108"/>
      <c r="R31" s="5"/>
      <c r="S31" s="5"/>
      <c r="T31" s="5"/>
      <c r="U31" s="5"/>
      <c r="V31" s="5"/>
      <c r="W31" s="5"/>
      <c r="X31" s="5"/>
      <c r="Y31" s="5"/>
      <c r="Z31" s="167"/>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row>
    <row r="32" spans="1:78" x14ac:dyDescent="0.2">
      <c r="A32" s="5"/>
      <c r="B32" s="5"/>
      <c r="C32" s="5"/>
      <c r="D32" s="5"/>
      <c r="E32" s="60"/>
      <c r="F32" s="5"/>
      <c r="G32" s="5"/>
      <c r="H32" s="5"/>
      <c r="I32" s="5"/>
      <c r="J32" s="5"/>
      <c r="K32" s="5"/>
      <c r="L32" s="5"/>
      <c r="M32" s="6"/>
      <c r="N32" s="6"/>
      <c r="O32" s="6"/>
      <c r="P32" s="6"/>
      <c r="Q32" s="108"/>
      <c r="R32" s="5"/>
      <c r="S32" s="5"/>
      <c r="T32" s="5"/>
      <c r="U32" s="5"/>
      <c r="V32" s="5"/>
      <c r="W32" s="5"/>
      <c r="X32" s="5"/>
      <c r="Y32" s="5"/>
      <c r="Z32" s="167"/>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row>
    <row r="33" spans="1:78" x14ac:dyDescent="0.2">
      <c r="A33" s="5"/>
      <c r="B33" s="5"/>
      <c r="C33" s="5"/>
      <c r="D33" s="5"/>
      <c r="E33" s="60"/>
      <c r="F33" s="5"/>
      <c r="G33" s="5"/>
      <c r="H33" s="5"/>
      <c r="I33" s="5"/>
      <c r="J33" s="5"/>
      <c r="K33" s="5"/>
      <c r="L33" s="5"/>
      <c r="M33" s="6"/>
      <c r="N33" s="6"/>
      <c r="O33" s="6"/>
      <c r="P33" s="6"/>
      <c r="Q33" s="108"/>
      <c r="R33" s="5"/>
      <c r="S33" s="5"/>
      <c r="T33" s="5"/>
      <c r="U33" s="5"/>
      <c r="V33" s="5"/>
      <c r="W33" s="5"/>
      <c r="X33" s="5"/>
      <c r="Y33" s="5"/>
      <c r="Z33" s="167"/>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row>
    <row r="34" spans="1:78" x14ac:dyDescent="0.2">
      <c r="A34" s="5"/>
      <c r="B34" s="5"/>
      <c r="C34" s="5"/>
      <c r="D34" s="5"/>
      <c r="E34" s="60"/>
      <c r="F34" s="5"/>
      <c r="G34" s="5"/>
      <c r="H34" s="5"/>
      <c r="I34" s="5"/>
      <c r="J34" s="5"/>
      <c r="K34" s="5"/>
      <c r="L34" s="5"/>
      <c r="M34" s="6"/>
      <c r="N34" s="6"/>
      <c r="O34" s="6"/>
      <c r="P34" s="6"/>
      <c r="Q34" s="108"/>
      <c r="R34" s="5"/>
      <c r="S34" s="5"/>
      <c r="T34" s="5"/>
      <c r="U34" s="5"/>
      <c r="V34" s="5"/>
      <c r="W34" s="5"/>
      <c r="X34" s="5"/>
      <c r="Y34" s="5"/>
      <c r="Z34" s="167"/>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row>
    <row r="35" spans="1:78" x14ac:dyDescent="0.2">
      <c r="A35" s="5"/>
      <c r="B35" s="5"/>
      <c r="C35" s="5"/>
      <c r="D35" s="5"/>
      <c r="E35" s="60"/>
      <c r="F35" s="5"/>
      <c r="G35" s="5"/>
      <c r="H35" s="5"/>
      <c r="I35" s="5"/>
      <c r="J35" s="5"/>
      <c r="K35" s="5"/>
      <c r="L35" s="5"/>
      <c r="M35" s="6"/>
      <c r="N35" s="6"/>
      <c r="O35" s="6"/>
      <c r="P35" s="6"/>
      <c r="Q35" s="108"/>
      <c r="R35" s="5"/>
      <c r="S35" s="5"/>
      <c r="T35" s="5"/>
      <c r="U35" s="5"/>
      <c r="V35" s="5"/>
      <c r="W35" s="5"/>
      <c r="X35" s="5"/>
      <c r="Y35" s="5"/>
      <c r="Z35" s="167"/>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row>
    <row r="36" spans="1:78" x14ac:dyDescent="0.2">
      <c r="A36" s="5"/>
      <c r="B36" s="5"/>
      <c r="C36" s="5"/>
      <c r="D36" s="5"/>
      <c r="E36" s="60"/>
      <c r="F36" s="5"/>
      <c r="G36" s="5"/>
      <c r="H36" s="5"/>
      <c r="I36" s="5"/>
      <c r="J36" s="5"/>
      <c r="K36" s="5"/>
      <c r="L36" s="5"/>
      <c r="M36" s="6"/>
      <c r="N36" s="6"/>
      <c r="O36" s="6"/>
      <c r="P36" s="6"/>
      <c r="Q36" s="108"/>
      <c r="R36" s="5"/>
      <c r="S36" s="5"/>
      <c r="T36" s="5"/>
      <c r="U36" s="5"/>
      <c r="V36" s="5"/>
      <c r="W36" s="5"/>
      <c r="X36" s="5"/>
      <c r="Y36" s="5"/>
      <c r="Z36" s="167"/>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row>
    <row r="37" spans="1:78" x14ac:dyDescent="0.2">
      <c r="A37" s="366" t="s">
        <v>386</v>
      </c>
      <c r="B37" s="367"/>
      <c r="C37" s="368"/>
      <c r="D37" s="5"/>
      <c r="E37" s="60"/>
      <c r="F37" s="5"/>
      <c r="G37" s="5"/>
      <c r="H37" s="5"/>
      <c r="I37" s="5"/>
      <c r="J37" s="5"/>
      <c r="K37" s="5"/>
      <c r="L37" s="5"/>
      <c r="M37" s="6"/>
      <c r="N37" s="6"/>
      <c r="O37" s="6"/>
      <c r="P37" s="6"/>
      <c r="Q37" s="108"/>
      <c r="R37" s="5"/>
      <c r="S37" s="5"/>
      <c r="T37" s="5"/>
      <c r="U37" s="5"/>
      <c r="V37" s="5"/>
      <c r="W37" s="5"/>
      <c r="X37" s="5"/>
      <c r="Y37" s="5"/>
      <c r="Z37" s="167"/>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row>
    <row r="38" spans="1:78" x14ac:dyDescent="0.2">
      <c r="A38" s="363" t="s">
        <v>388</v>
      </c>
      <c r="B38" s="364"/>
      <c r="C38" s="364"/>
      <c r="D38" s="364"/>
      <c r="E38" s="364"/>
      <c r="F38" s="364"/>
      <c r="G38" s="193"/>
      <c r="H38" s="5"/>
      <c r="I38" s="5"/>
      <c r="J38" s="5"/>
      <c r="K38" s="5"/>
      <c r="L38" s="5"/>
      <c r="M38" s="6"/>
      <c r="N38" s="6"/>
      <c r="O38" s="6"/>
      <c r="P38" s="6"/>
      <c r="Q38" s="108"/>
      <c r="R38" s="5"/>
      <c r="S38" s="5"/>
      <c r="T38" s="5"/>
      <c r="U38" s="5"/>
      <c r="V38" s="5"/>
      <c r="W38" s="5"/>
      <c r="X38" s="5"/>
      <c r="Y38" s="5"/>
      <c r="Z38" s="167"/>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row>
    <row r="39" spans="1:78" x14ac:dyDescent="0.2">
      <c r="A39" s="5" t="s">
        <v>25</v>
      </c>
      <c r="B39" s="5" t="s">
        <v>11</v>
      </c>
      <c r="C39" s="5"/>
      <c r="D39" s="5"/>
      <c r="E39" s="60"/>
      <c r="F39" s="5"/>
      <c r="G39" s="5"/>
      <c r="H39" s="5" t="s">
        <v>67</v>
      </c>
      <c r="I39" s="5"/>
      <c r="J39" s="5" t="s">
        <v>43</v>
      </c>
      <c r="K39" s="5"/>
      <c r="L39" s="5"/>
      <c r="M39" s="6"/>
      <c r="N39" s="6"/>
      <c r="O39" s="6"/>
      <c r="P39" s="6"/>
      <c r="Q39" s="108"/>
      <c r="R39" s="5"/>
      <c r="S39" s="5"/>
      <c r="T39" s="5"/>
      <c r="U39" s="5"/>
      <c r="V39" s="5"/>
      <c r="W39" s="5"/>
      <c r="X39" s="5"/>
      <c r="Y39" s="5"/>
      <c r="Z39" s="167"/>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c r="BU39" s="6"/>
      <c r="BV39" s="6"/>
      <c r="BW39" s="6"/>
      <c r="BX39" s="6"/>
      <c r="BY39" s="6"/>
      <c r="BZ39" s="6"/>
    </row>
    <row r="40" spans="1:78" x14ac:dyDescent="0.2">
      <c r="A40" s="5"/>
      <c r="B40" s="5"/>
      <c r="C40" s="5"/>
      <c r="D40" s="5"/>
      <c r="E40" s="60"/>
      <c r="F40" s="5"/>
      <c r="G40" s="5"/>
      <c r="H40" s="5"/>
      <c r="I40" s="5"/>
      <c r="J40" s="5"/>
      <c r="K40" s="5"/>
      <c r="L40" s="5"/>
      <c r="M40" s="6"/>
      <c r="N40" s="6"/>
      <c r="O40" s="6"/>
      <c r="P40" s="6"/>
      <c r="Q40" s="108"/>
      <c r="R40" s="5"/>
      <c r="S40" s="5"/>
      <c r="T40" s="5"/>
      <c r="U40" s="5"/>
      <c r="V40" s="5"/>
      <c r="W40" s="5"/>
      <c r="X40" s="5"/>
      <c r="Y40" s="5"/>
      <c r="Z40" s="167"/>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row>
    <row r="41" spans="1:78" x14ac:dyDescent="0.2">
      <c r="A41" s="3"/>
      <c r="B41" s="5"/>
      <c r="C41" s="5"/>
      <c r="D41" s="5"/>
      <c r="E41" s="60"/>
      <c r="F41" s="5"/>
      <c r="G41" s="5"/>
      <c r="H41" s="5"/>
      <c r="I41" s="5"/>
      <c r="J41" s="5"/>
      <c r="K41" s="5"/>
      <c r="L41" s="5"/>
      <c r="M41" s="6"/>
      <c r="N41" s="6"/>
      <c r="O41" s="6"/>
      <c r="P41" s="6"/>
      <c r="Q41" s="108"/>
      <c r="R41" s="5"/>
      <c r="S41" s="5"/>
      <c r="T41" s="5"/>
      <c r="U41" s="5"/>
      <c r="V41" s="5"/>
      <c r="W41" s="5"/>
      <c r="X41" s="5"/>
      <c r="Y41" s="5"/>
      <c r="Z41" s="167"/>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row>
    <row r="42" spans="1:78" x14ac:dyDescent="0.2">
      <c r="A42" s="12"/>
      <c r="B42" s="11"/>
      <c r="C42" s="11"/>
      <c r="D42" s="11"/>
      <c r="E42" s="61"/>
      <c r="F42" s="11"/>
      <c r="G42" s="11"/>
      <c r="H42" s="11"/>
      <c r="I42" s="11"/>
      <c r="J42" s="11"/>
      <c r="K42" s="11"/>
      <c r="L42" s="35"/>
      <c r="M42" s="6"/>
      <c r="N42" s="6"/>
      <c r="O42" s="6"/>
      <c r="P42" s="6"/>
      <c r="Q42" s="109"/>
      <c r="R42" s="5"/>
      <c r="S42" s="5"/>
      <c r="T42" s="5"/>
      <c r="U42" s="5"/>
      <c r="V42" s="5"/>
      <c r="W42" s="5"/>
      <c r="X42" s="5"/>
      <c r="Y42" s="5"/>
      <c r="Z42" s="167"/>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c r="BH42" s="6"/>
      <c r="BI42" s="6"/>
      <c r="BJ42" s="6"/>
      <c r="BK42" s="6"/>
      <c r="BL42" s="6"/>
      <c r="BM42" s="6"/>
      <c r="BN42" s="6"/>
      <c r="BO42" s="6"/>
      <c r="BP42" s="6"/>
      <c r="BQ42" s="6"/>
      <c r="BR42" s="6"/>
      <c r="BS42" s="6"/>
      <c r="BT42" s="6"/>
      <c r="BU42" s="6"/>
      <c r="BV42" s="6"/>
      <c r="BW42" s="6"/>
      <c r="BX42" s="6"/>
      <c r="BY42" s="6"/>
      <c r="BZ42" s="6"/>
    </row>
    <row r="43" spans="1:78" x14ac:dyDescent="0.2">
      <c r="A43" s="14"/>
      <c r="B43" s="13"/>
      <c r="C43" s="13"/>
      <c r="D43" s="13"/>
      <c r="E43" s="59"/>
      <c r="F43" s="13"/>
      <c r="G43" s="13"/>
      <c r="H43" s="14"/>
      <c r="I43" s="13"/>
      <c r="J43" s="13"/>
      <c r="K43" s="157"/>
      <c r="L43" s="35"/>
      <c r="M43" s="4"/>
      <c r="N43" s="6"/>
      <c r="O43" s="6"/>
      <c r="P43" s="4"/>
      <c r="Q43" s="109"/>
      <c r="R43" s="5"/>
      <c r="S43" s="5"/>
      <c r="T43" s="5"/>
      <c r="U43" s="5"/>
      <c r="V43" s="5"/>
      <c r="W43" s="5"/>
      <c r="X43" s="5"/>
      <c r="Y43" s="5"/>
      <c r="Z43" s="167"/>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P43" s="6"/>
      <c r="BQ43" s="6"/>
      <c r="BR43" s="6"/>
      <c r="BS43" s="6"/>
      <c r="BT43" s="6"/>
      <c r="BU43" s="6"/>
      <c r="BV43" s="6"/>
      <c r="BW43" s="6"/>
      <c r="BX43" s="6"/>
      <c r="BY43" s="6"/>
      <c r="BZ43" s="6"/>
    </row>
    <row r="44" spans="1:78" x14ac:dyDescent="0.2">
      <c r="A44" s="5"/>
      <c r="B44" s="5"/>
      <c r="C44" s="5"/>
      <c r="D44" s="5"/>
      <c r="E44" s="60"/>
      <c r="F44" s="5"/>
      <c r="G44" s="5"/>
      <c r="H44" s="5"/>
      <c r="I44" s="5"/>
      <c r="J44" s="5"/>
      <c r="K44" s="97"/>
      <c r="L44" s="5"/>
      <c r="M44" s="4"/>
      <c r="N44" s="6"/>
      <c r="O44" s="6"/>
      <c r="P44" s="4"/>
      <c r="Q44" s="109"/>
      <c r="R44" s="5"/>
      <c r="S44" s="5"/>
      <c r="T44" s="5"/>
      <c r="U44" s="5"/>
      <c r="V44" s="5"/>
      <c r="W44" s="5"/>
      <c r="X44" s="5"/>
      <c r="Y44" s="5"/>
      <c r="Z44" s="167"/>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c r="BU44" s="6"/>
      <c r="BV44" s="6"/>
      <c r="BW44" s="6"/>
      <c r="BX44" s="6"/>
      <c r="BY44" s="6"/>
      <c r="BZ44" s="6"/>
    </row>
    <row r="45" spans="1:78" x14ac:dyDescent="0.2">
      <c r="A45" s="5"/>
      <c r="B45" s="5"/>
      <c r="C45" s="5"/>
      <c r="D45" s="5"/>
      <c r="E45" s="60"/>
      <c r="F45" s="5"/>
      <c r="G45" s="5"/>
      <c r="H45" s="5"/>
      <c r="I45" s="5"/>
      <c r="J45" s="5"/>
      <c r="K45" s="97"/>
      <c r="L45" s="5"/>
      <c r="M45" s="4"/>
      <c r="N45" s="6"/>
      <c r="O45" s="6"/>
      <c r="P45" s="4"/>
      <c r="Q45" s="109"/>
      <c r="R45" s="5"/>
      <c r="S45" s="5"/>
      <c r="T45" s="5"/>
      <c r="U45" s="5"/>
      <c r="V45" s="5"/>
      <c r="W45" s="5"/>
      <c r="X45" s="5"/>
      <c r="Y45" s="5"/>
      <c r="Z45" s="167"/>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c r="BU45" s="6"/>
      <c r="BV45" s="6"/>
      <c r="BW45" s="6"/>
      <c r="BX45" s="6"/>
      <c r="BY45" s="6"/>
      <c r="BZ45" s="6"/>
    </row>
    <row r="46" spans="1:78" x14ac:dyDescent="0.2">
      <c r="A46" s="13"/>
      <c r="B46" s="13"/>
      <c r="C46" s="13"/>
      <c r="D46" s="13"/>
      <c r="E46" s="59"/>
      <c r="F46" s="13"/>
      <c r="G46" s="13"/>
      <c r="H46" s="13"/>
      <c r="I46" s="13"/>
      <c r="J46" s="13"/>
      <c r="K46" s="97"/>
      <c r="L46" s="5"/>
      <c r="M46" s="4"/>
      <c r="N46" s="6"/>
      <c r="O46" s="6"/>
      <c r="P46" s="4"/>
      <c r="Q46" s="109"/>
      <c r="R46" s="5"/>
      <c r="S46" s="5"/>
      <c r="T46" s="5"/>
      <c r="U46" s="5"/>
      <c r="V46" s="5"/>
      <c r="W46" s="5"/>
      <c r="X46" s="5"/>
      <c r="Y46" s="5"/>
      <c r="Z46" s="167"/>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c r="BU46" s="6"/>
      <c r="BV46" s="6"/>
      <c r="BW46" s="6"/>
      <c r="BX46" s="6"/>
      <c r="BY46" s="6"/>
      <c r="BZ46" s="6"/>
    </row>
    <row r="47" spans="1:78" x14ac:dyDescent="0.2">
      <c r="A47" s="5"/>
      <c r="B47" s="5"/>
      <c r="C47" s="5"/>
      <c r="D47" s="5"/>
      <c r="E47" s="60"/>
      <c r="F47" s="5"/>
      <c r="G47" s="5"/>
      <c r="H47" s="5"/>
      <c r="I47" s="5"/>
      <c r="J47" s="5"/>
      <c r="K47" s="97"/>
      <c r="L47" s="5"/>
      <c r="M47" s="4"/>
      <c r="N47" s="6"/>
      <c r="O47" s="6"/>
      <c r="P47" s="4"/>
      <c r="Q47" s="109"/>
      <c r="R47" s="5"/>
      <c r="S47" s="5"/>
      <c r="T47" s="5"/>
      <c r="U47" s="5"/>
      <c r="V47" s="5"/>
      <c r="W47" s="5"/>
      <c r="X47" s="5"/>
      <c r="Y47" s="5"/>
      <c r="Z47" s="167"/>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row>
    <row r="48" spans="1:78" x14ac:dyDescent="0.2">
      <c r="A48" s="5"/>
      <c r="B48" s="5"/>
      <c r="C48" s="5"/>
      <c r="D48" s="5"/>
      <c r="E48" s="60"/>
      <c r="F48" s="5"/>
      <c r="G48" s="5"/>
      <c r="H48" s="5"/>
      <c r="I48" s="5"/>
      <c r="J48" s="5"/>
      <c r="K48" s="97"/>
      <c r="L48" s="5"/>
      <c r="M48" s="4"/>
      <c r="N48" s="6"/>
      <c r="O48" s="6"/>
      <c r="P48" s="6"/>
      <c r="Q48" s="109"/>
      <c r="R48" s="5"/>
      <c r="S48" s="5"/>
      <c r="T48" s="5"/>
      <c r="U48" s="5"/>
      <c r="V48" s="5"/>
      <c r="W48" s="5"/>
      <c r="X48" s="5"/>
      <c r="Y48" s="5"/>
      <c r="Z48" s="167"/>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c r="BJ48" s="6"/>
      <c r="BK48" s="6"/>
      <c r="BL48" s="6"/>
      <c r="BM48" s="6"/>
      <c r="BN48" s="6"/>
      <c r="BO48" s="6"/>
      <c r="BP48" s="6"/>
      <c r="BQ48" s="6"/>
      <c r="BR48" s="6"/>
      <c r="BS48" s="6"/>
      <c r="BT48" s="6"/>
      <c r="BU48" s="6"/>
      <c r="BV48" s="6"/>
      <c r="BW48" s="6"/>
      <c r="BX48" s="6"/>
      <c r="BY48" s="6"/>
      <c r="BZ48" s="6"/>
    </row>
    <row r="49" spans="1:78" x14ac:dyDescent="0.2">
      <c r="A49" s="5"/>
      <c r="B49" s="5"/>
      <c r="C49" s="5"/>
      <c r="D49" s="5"/>
      <c r="E49" s="60"/>
      <c r="F49" s="5"/>
      <c r="G49" s="5"/>
      <c r="H49" s="5"/>
      <c r="I49" s="5"/>
      <c r="J49" s="5"/>
      <c r="K49" s="97"/>
      <c r="L49" s="5"/>
      <c r="M49" s="4"/>
      <c r="N49" s="6"/>
      <c r="O49" s="6"/>
      <c r="P49" s="6"/>
      <c r="Q49" s="109"/>
      <c r="R49" s="5"/>
      <c r="S49" s="5"/>
      <c r="T49" s="5"/>
      <c r="U49" s="5"/>
      <c r="V49" s="5"/>
      <c r="W49" s="5"/>
      <c r="X49" s="5"/>
      <c r="Y49" s="5"/>
      <c r="Z49" s="167"/>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c r="BJ49" s="6"/>
      <c r="BK49" s="6"/>
      <c r="BL49" s="6"/>
      <c r="BM49" s="6"/>
      <c r="BN49" s="6"/>
      <c r="BO49" s="6"/>
      <c r="BP49" s="6"/>
      <c r="BQ49" s="6"/>
      <c r="BR49" s="6"/>
      <c r="BS49" s="6"/>
      <c r="BT49" s="6"/>
      <c r="BU49" s="6"/>
      <c r="BV49" s="6"/>
      <c r="BW49" s="6"/>
      <c r="BX49" s="6"/>
      <c r="BY49" s="6"/>
      <c r="BZ49" s="6"/>
    </row>
    <row r="50" spans="1:78" x14ac:dyDescent="0.2">
      <c r="A50" s="12"/>
      <c r="B50" s="13"/>
      <c r="C50" s="13"/>
      <c r="D50" s="13"/>
      <c r="E50" s="59"/>
      <c r="F50" s="13"/>
      <c r="G50" s="13"/>
      <c r="H50" s="13"/>
      <c r="I50" s="13"/>
      <c r="J50" s="13"/>
      <c r="K50" s="97"/>
      <c r="L50" s="5"/>
      <c r="M50" s="4"/>
      <c r="N50" s="6"/>
      <c r="O50" s="6"/>
      <c r="P50" s="4"/>
      <c r="Q50" s="109"/>
      <c r="R50" s="5"/>
      <c r="S50" s="5"/>
      <c r="T50" s="5"/>
      <c r="U50" s="5"/>
      <c r="V50" s="5"/>
      <c r="W50" s="5"/>
      <c r="X50" s="5"/>
      <c r="Y50" s="5"/>
      <c r="Z50" s="167"/>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row>
    <row r="51" spans="1:78" x14ac:dyDescent="0.2">
      <c r="A51" s="13"/>
      <c r="B51" s="13"/>
      <c r="C51" s="13"/>
      <c r="D51" s="13"/>
      <c r="E51" s="59"/>
      <c r="F51" s="13"/>
      <c r="G51" s="13"/>
      <c r="H51" s="13"/>
      <c r="I51" s="13"/>
      <c r="J51" s="13"/>
      <c r="K51" s="97"/>
      <c r="L51" s="5"/>
      <c r="M51" s="4"/>
      <c r="N51" s="6"/>
      <c r="O51" s="6"/>
      <c r="P51" s="4"/>
      <c r="Q51" s="109"/>
      <c r="R51" s="5"/>
      <c r="S51" s="5"/>
      <c r="T51" s="5"/>
      <c r="U51" s="5"/>
      <c r="V51" s="5"/>
      <c r="W51" s="5"/>
      <c r="X51" s="5"/>
      <c r="Y51" s="5"/>
      <c r="Z51" s="167"/>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row>
    <row r="52" spans="1:78" x14ac:dyDescent="0.2">
      <c r="A52" s="13"/>
      <c r="B52" s="13"/>
      <c r="C52" s="13"/>
      <c r="D52" s="13"/>
      <c r="E52" s="59"/>
      <c r="F52" s="13"/>
      <c r="G52" s="13"/>
      <c r="H52" s="13"/>
      <c r="I52" s="13"/>
      <c r="J52" s="13"/>
      <c r="K52" s="97"/>
      <c r="L52" s="5"/>
      <c r="M52" s="4"/>
      <c r="N52" s="6"/>
      <c r="O52" s="6"/>
      <c r="P52" s="4"/>
      <c r="Q52" s="109"/>
      <c r="R52" s="5"/>
      <c r="S52" s="5"/>
      <c r="T52" s="5"/>
      <c r="U52" s="5"/>
      <c r="V52" s="5"/>
      <c r="W52" s="5"/>
      <c r="X52" s="5"/>
      <c r="Y52" s="5"/>
      <c r="Z52" s="167"/>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c r="BJ52" s="6"/>
      <c r="BK52" s="6"/>
      <c r="BL52" s="6"/>
      <c r="BM52" s="6"/>
      <c r="BN52" s="6"/>
      <c r="BO52" s="6"/>
      <c r="BP52" s="6"/>
      <c r="BQ52" s="6"/>
      <c r="BR52" s="6"/>
      <c r="BS52" s="6"/>
      <c r="BT52" s="6"/>
      <c r="BU52" s="6"/>
      <c r="BV52" s="6"/>
      <c r="BW52" s="6"/>
      <c r="BX52" s="6"/>
      <c r="BY52" s="6"/>
      <c r="BZ52" s="6"/>
    </row>
    <row r="53" spans="1:78" x14ac:dyDescent="0.2">
      <c r="A53" s="13"/>
      <c r="B53" s="13"/>
      <c r="C53" s="13"/>
      <c r="D53" s="13"/>
      <c r="E53" s="59"/>
      <c r="F53" s="13"/>
      <c r="G53" s="13"/>
      <c r="H53" s="13"/>
      <c r="I53" s="13"/>
      <c r="J53" s="13"/>
      <c r="K53" s="97"/>
      <c r="L53" s="5"/>
      <c r="M53" s="6"/>
      <c r="N53" s="6"/>
      <c r="O53" s="6"/>
      <c r="P53" s="4"/>
      <c r="Q53" s="109"/>
      <c r="R53" s="5"/>
      <c r="S53" s="5"/>
      <c r="T53" s="5"/>
      <c r="U53" s="5"/>
      <c r="V53" s="5"/>
      <c r="W53" s="5"/>
      <c r="X53" s="5"/>
      <c r="Y53" s="5"/>
      <c r="Z53" s="167"/>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c r="BJ53" s="6"/>
      <c r="BK53" s="6"/>
      <c r="BL53" s="6"/>
      <c r="BM53" s="6"/>
      <c r="BN53" s="6"/>
      <c r="BO53" s="6"/>
      <c r="BP53" s="6"/>
      <c r="BQ53" s="6"/>
      <c r="BR53" s="6"/>
      <c r="BS53" s="6"/>
      <c r="BT53" s="6"/>
      <c r="BU53" s="6"/>
      <c r="BV53" s="6"/>
      <c r="BW53" s="6"/>
      <c r="BX53" s="6"/>
      <c r="BY53" s="6"/>
      <c r="BZ53" s="6"/>
    </row>
    <row r="54" spans="1:78" x14ac:dyDescent="0.2">
      <c r="A54" s="13"/>
      <c r="B54" s="13"/>
      <c r="C54" s="13"/>
      <c r="D54" s="13"/>
      <c r="E54" s="59"/>
      <c r="F54" s="13"/>
      <c r="G54" s="13"/>
      <c r="H54" s="13"/>
      <c r="I54" s="13"/>
      <c r="J54" s="13"/>
      <c r="K54" s="97"/>
      <c r="L54" s="5"/>
      <c r="M54" s="4"/>
      <c r="N54" s="6"/>
      <c r="O54" s="6"/>
      <c r="P54" s="4"/>
      <c r="Q54" s="109"/>
      <c r="R54" s="5"/>
      <c r="S54" s="5"/>
      <c r="T54" s="5"/>
      <c r="U54" s="5"/>
      <c r="V54" s="5"/>
      <c r="W54" s="5"/>
      <c r="X54" s="5"/>
      <c r="Y54" s="5"/>
      <c r="Z54" s="167"/>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c r="BU54" s="6"/>
      <c r="BV54" s="6"/>
      <c r="BW54" s="6"/>
      <c r="BX54" s="6"/>
      <c r="BY54" s="6"/>
      <c r="BZ54" s="6"/>
    </row>
    <row r="55" spans="1:78" x14ac:dyDescent="0.2">
      <c r="A55" s="13"/>
      <c r="B55" s="13"/>
      <c r="C55" s="13"/>
      <c r="D55" s="13"/>
      <c r="E55" s="59"/>
      <c r="F55" s="13"/>
      <c r="G55" s="13"/>
      <c r="H55" s="13"/>
      <c r="I55" s="13"/>
      <c r="J55" s="13"/>
      <c r="K55" s="97"/>
      <c r="L55" s="5"/>
      <c r="M55" s="4"/>
      <c r="N55" s="6"/>
      <c r="O55" s="6"/>
      <c r="P55" s="4"/>
      <c r="Q55" s="109"/>
      <c r="R55" s="5"/>
      <c r="S55" s="5"/>
      <c r="T55" s="5"/>
      <c r="U55" s="5"/>
      <c r="V55" s="5"/>
      <c r="W55" s="5"/>
      <c r="X55" s="5"/>
      <c r="Y55" s="5"/>
      <c r="Z55" s="167"/>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c r="BJ55" s="6"/>
      <c r="BK55" s="6"/>
      <c r="BL55" s="6"/>
      <c r="BM55" s="6"/>
      <c r="BN55" s="6"/>
      <c r="BO55" s="6"/>
      <c r="BP55" s="6"/>
      <c r="BQ55" s="6"/>
      <c r="BR55" s="6"/>
      <c r="BS55" s="6"/>
      <c r="BT55" s="6"/>
      <c r="BU55" s="6"/>
      <c r="BV55" s="6"/>
      <c r="BW55" s="6"/>
      <c r="BX55" s="6"/>
      <c r="BY55" s="6"/>
      <c r="BZ55" s="6"/>
    </row>
    <row r="56" spans="1:78" x14ac:dyDescent="0.2">
      <c r="A56" s="13"/>
      <c r="B56" s="13"/>
      <c r="C56" s="13"/>
      <c r="D56" s="13"/>
      <c r="E56" s="59"/>
      <c r="F56" s="13"/>
      <c r="G56" s="13"/>
      <c r="H56" s="13"/>
      <c r="I56" s="13"/>
      <c r="J56" s="13"/>
      <c r="K56" s="97"/>
      <c r="L56" s="5"/>
      <c r="M56" s="4"/>
      <c r="N56" s="6"/>
      <c r="O56" s="6"/>
      <c r="P56" s="4"/>
      <c r="Q56" s="109"/>
      <c r="R56" s="5"/>
      <c r="S56" s="5"/>
      <c r="T56" s="5"/>
      <c r="U56" s="5"/>
      <c r="V56" s="5"/>
      <c r="W56" s="5"/>
      <c r="X56" s="5"/>
      <c r="Y56" s="5"/>
      <c r="Z56" s="167"/>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c r="BJ56" s="6"/>
      <c r="BK56" s="6"/>
      <c r="BL56" s="6"/>
      <c r="BM56" s="6"/>
      <c r="BN56" s="6"/>
      <c r="BO56" s="6"/>
      <c r="BP56" s="6"/>
      <c r="BQ56" s="6"/>
      <c r="BR56" s="6"/>
      <c r="BS56" s="6"/>
      <c r="BT56" s="6"/>
      <c r="BU56" s="6"/>
      <c r="BV56" s="6"/>
      <c r="BW56" s="6"/>
      <c r="BX56" s="6"/>
      <c r="BY56" s="6"/>
      <c r="BZ56" s="6"/>
    </row>
    <row r="57" spans="1:78" x14ac:dyDescent="0.2">
      <c r="A57" s="5"/>
      <c r="B57" s="5"/>
      <c r="C57" s="5"/>
      <c r="D57" s="5"/>
      <c r="E57" s="60"/>
      <c r="F57" s="5"/>
      <c r="G57" s="5"/>
      <c r="H57" s="5"/>
      <c r="I57" s="5"/>
      <c r="J57" s="5"/>
      <c r="K57" s="97"/>
      <c r="L57" s="5"/>
      <c r="M57" s="4"/>
      <c r="N57" s="6"/>
      <c r="O57" s="6"/>
      <c r="P57" s="4"/>
      <c r="Q57" s="109"/>
      <c r="R57" s="5"/>
      <c r="S57" s="5"/>
      <c r="T57" s="5"/>
      <c r="U57" s="5"/>
      <c r="V57" s="5"/>
      <c r="W57" s="5"/>
      <c r="X57" s="5"/>
      <c r="Y57" s="5"/>
      <c r="Z57" s="167"/>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c r="BJ57" s="6"/>
      <c r="BK57" s="6"/>
      <c r="BL57" s="6"/>
      <c r="BM57" s="6"/>
      <c r="BN57" s="6"/>
      <c r="BO57" s="6"/>
      <c r="BP57" s="6"/>
      <c r="BQ57" s="6"/>
      <c r="BR57" s="6"/>
      <c r="BS57" s="6"/>
      <c r="BT57" s="6"/>
      <c r="BU57" s="6"/>
      <c r="BV57" s="6"/>
      <c r="BW57" s="6"/>
      <c r="BX57" s="6"/>
      <c r="BY57" s="6"/>
      <c r="BZ57" s="6"/>
    </row>
    <row r="58" spans="1:78" x14ac:dyDescent="0.2">
      <c r="A58" s="12"/>
      <c r="B58" s="13"/>
      <c r="C58" s="13"/>
      <c r="D58" s="13"/>
      <c r="E58" s="59"/>
      <c r="F58" s="13"/>
      <c r="G58" s="13"/>
      <c r="H58" s="13"/>
      <c r="I58" s="13"/>
      <c r="J58" s="13"/>
      <c r="K58" s="97"/>
      <c r="L58" s="5"/>
      <c r="M58" s="4"/>
      <c r="N58" s="6"/>
      <c r="O58" s="6"/>
      <c r="P58" s="4"/>
      <c r="Q58" s="109"/>
      <c r="R58" s="5"/>
      <c r="S58" s="5"/>
      <c r="T58" s="5"/>
      <c r="U58" s="5"/>
      <c r="V58" s="5"/>
      <c r="W58" s="5"/>
      <c r="X58" s="5"/>
      <c r="Y58" s="5"/>
      <c r="Z58" s="150"/>
      <c r="AA58" s="103"/>
      <c r="AB58" s="103"/>
      <c r="AC58" s="103"/>
      <c r="AD58" s="103"/>
      <c r="AE58" s="103"/>
      <c r="AF58" s="103"/>
      <c r="AG58" s="103"/>
      <c r="AH58" s="103"/>
      <c r="AI58" s="103"/>
      <c r="AJ58" s="103"/>
      <c r="AK58" s="103"/>
      <c r="AL58" s="103"/>
      <c r="AM58" s="103"/>
      <c r="AN58" s="103"/>
      <c r="AO58" s="103"/>
      <c r="AP58" s="103"/>
      <c r="AQ58" s="103"/>
      <c r="AR58" s="103"/>
      <c r="AS58" s="103"/>
      <c r="AT58" s="103"/>
      <c r="AU58" s="103"/>
      <c r="AV58" s="103"/>
      <c r="AW58" s="103"/>
      <c r="AX58" s="103"/>
      <c r="AY58" s="103"/>
      <c r="AZ58" s="103"/>
      <c r="BA58" s="103"/>
      <c r="BB58" s="103"/>
      <c r="BC58" s="103"/>
      <c r="BD58" s="103"/>
      <c r="BE58" s="103"/>
      <c r="BF58" s="103"/>
      <c r="BG58" s="103"/>
      <c r="BH58" s="103"/>
      <c r="BI58" s="103"/>
      <c r="BJ58" s="103"/>
      <c r="BK58" s="103"/>
      <c r="BL58" s="103"/>
      <c r="BM58" s="103"/>
      <c r="BN58" s="103"/>
      <c r="BO58" s="103"/>
      <c r="BP58" s="103"/>
      <c r="BQ58" s="103"/>
      <c r="BR58" s="103"/>
      <c r="BS58" s="103"/>
      <c r="BT58" s="103"/>
      <c r="BU58" s="103"/>
      <c r="BV58" s="103"/>
      <c r="BW58" s="103"/>
      <c r="BX58" s="6"/>
      <c r="BY58" s="6"/>
      <c r="BZ58" s="103"/>
    </row>
    <row r="59" spans="1:78" x14ac:dyDescent="0.2">
      <c r="A59" s="13"/>
      <c r="B59" s="13"/>
      <c r="C59" s="13"/>
      <c r="D59" s="13"/>
      <c r="E59" s="59"/>
      <c r="F59" s="13"/>
      <c r="G59" s="13"/>
      <c r="H59" s="13"/>
      <c r="I59" s="13"/>
      <c r="J59" s="13"/>
      <c r="K59" s="97"/>
      <c r="L59" s="5"/>
      <c r="M59" s="4"/>
      <c r="N59" s="6"/>
      <c r="O59" s="6"/>
      <c r="P59" s="4"/>
      <c r="Q59" s="109"/>
      <c r="R59" s="5"/>
      <c r="S59" s="5"/>
      <c r="T59" s="5"/>
      <c r="U59" s="5"/>
      <c r="V59" s="5"/>
      <c r="W59" s="5"/>
      <c r="X59" s="5"/>
      <c r="Y59" s="5"/>
      <c r="Z59" s="167"/>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6"/>
      <c r="BX59" s="6"/>
      <c r="BY59" s="6"/>
      <c r="BZ59" s="6"/>
    </row>
    <row r="60" spans="1:78" x14ac:dyDescent="0.2">
      <c r="A60" s="13"/>
      <c r="B60" s="13"/>
      <c r="C60" s="13"/>
      <c r="D60" s="13"/>
      <c r="E60" s="59"/>
      <c r="F60" s="13"/>
      <c r="G60" s="13"/>
      <c r="H60" s="13"/>
      <c r="I60" s="13"/>
      <c r="J60" s="13"/>
      <c r="K60" s="97"/>
      <c r="L60" s="5"/>
      <c r="M60" s="4"/>
      <c r="N60" s="6"/>
      <c r="O60" s="6"/>
      <c r="P60" s="4"/>
      <c r="Q60" s="109"/>
      <c r="R60" s="5"/>
      <c r="S60" s="5"/>
      <c r="T60" s="5"/>
      <c r="U60" s="5"/>
      <c r="V60" s="5"/>
      <c r="W60" s="5"/>
      <c r="X60" s="5"/>
      <c r="Y60" s="5"/>
      <c r="Z60" s="167"/>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6"/>
      <c r="BX60" s="6"/>
      <c r="BY60" s="6"/>
      <c r="BZ60" s="6"/>
    </row>
    <row r="61" spans="1:78" x14ac:dyDescent="0.2">
      <c r="A61" s="13"/>
      <c r="B61" s="13"/>
      <c r="C61" s="13"/>
      <c r="D61" s="13"/>
      <c r="E61" s="59"/>
      <c r="F61" s="13"/>
      <c r="G61" s="13"/>
      <c r="H61" s="13"/>
      <c r="I61" s="13"/>
      <c r="J61" s="13"/>
      <c r="K61" s="97"/>
      <c r="L61" s="5"/>
      <c r="M61" s="4"/>
      <c r="N61" s="6"/>
      <c r="O61" s="6"/>
      <c r="P61" s="4"/>
      <c r="Q61" s="109"/>
      <c r="R61" s="5"/>
      <c r="S61" s="5"/>
      <c r="T61" s="5"/>
      <c r="U61" s="5"/>
      <c r="V61" s="5"/>
      <c r="W61" s="5"/>
      <c r="X61" s="5"/>
      <c r="Y61" s="5"/>
      <c r="Z61" s="167"/>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6"/>
      <c r="BX61" s="6"/>
      <c r="BY61" s="6"/>
      <c r="BZ61" s="6"/>
    </row>
    <row r="62" spans="1:78" x14ac:dyDescent="0.2">
      <c r="A62" s="13"/>
      <c r="B62" s="13"/>
      <c r="C62" s="13"/>
      <c r="D62" s="13"/>
      <c r="E62" s="59"/>
      <c r="F62" s="13"/>
      <c r="G62" s="13"/>
      <c r="H62" s="13"/>
      <c r="I62" s="13"/>
      <c r="J62" s="13"/>
      <c r="K62" s="97"/>
      <c r="L62" s="5"/>
      <c r="M62" s="4"/>
      <c r="N62" s="6"/>
      <c r="O62" s="6"/>
      <c r="P62" s="4"/>
      <c r="Q62" s="109"/>
      <c r="R62" s="5"/>
      <c r="S62" s="5"/>
      <c r="T62" s="5"/>
      <c r="U62" s="5"/>
      <c r="V62" s="5"/>
      <c r="W62" s="5"/>
      <c r="X62" s="5"/>
      <c r="Y62" s="5"/>
      <c r="Z62" s="167"/>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6"/>
      <c r="BX62" s="6"/>
      <c r="BY62" s="6"/>
      <c r="BZ62" s="6"/>
    </row>
    <row r="63" spans="1:78" x14ac:dyDescent="0.2">
      <c r="A63" s="12"/>
      <c r="B63" s="13"/>
      <c r="C63" s="13"/>
      <c r="D63" s="13"/>
      <c r="E63" s="59"/>
      <c r="F63" s="13"/>
      <c r="G63" s="13"/>
      <c r="H63" s="13"/>
      <c r="I63" s="13"/>
      <c r="J63" s="13"/>
      <c r="K63" s="97"/>
      <c r="L63" s="5"/>
      <c r="M63" s="4"/>
      <c r="N63" s="6"/>
      <c r="O63" s="6"/>
      <c r="P63" s="4"/>
      <c r="Q63" s="109"/>
      <c r="R63" s="5"/>
      <c r="S63" s="5"/>
      <c r="T63" s="5"/>
      <c r="U63" s="5"/>
      <c r="V63" s="5"/>
      <c r="W63" s="5"/>
      <c r="X63" s="5"/>
      <c r="Y63" s="5"/>
      <c r="Z63" s="167"/>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6"/>
      <c r="BX63" s="6"/>
      <c r="BY63" s="6"/>
      <c r="BZ63" s="6"/>
    </row>
    <row r="64" spans="1:78" x14ac:dyDescent="0.2">
      <c r="A64" s="13"/>
      <c r="B64" s="13"/>
      <c r="C64" s="13"/>
      <c r="D64" s="13"/>
      <c r="E64" s="59"/>
      <c r="F64" s="13"/>
      <c r="G64" s="13"/>
      <c r="H64" s="13"/>
      <c r="I64" s="13"/>
      <c r="J64" s="13"/>
      <c r="K64" s="97"/>
      <c r="L64" s="5"/>
      <c r="M64" s="4"/>
      <c r="N64" s="6"/>
      <c r="O64" s="6"/>
      <c r="P64" s="6"/>
      <c r="Q64" s="108"/>
      <c r="R64" s="5"/>
      <c r="S64" s="5"/>
      <c r="T64" s="5"/>
      <c r="U64" s="5"/>
      <c r="V64" s="5"/>
      <c r="W64" s="5"/>
      <c r="X64" s="5"/>
      <c r="Y64" s="5"/>
      <c r="Z64" s="167"/>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6"/>
      <c r="BX64" s="6"/>
      <c r="BY64" s="6"/>
      <c r="BZ64" s="6"/>
    </row>
    <row r="65" spans="1:78" x14ac:dyDescent="0.2">
      <c r="A65" s="13"/>
      <c r="B65" s="13"/>
      <c r="C65" s="13"/>
      <c r="D65" s="13"/>
      <c r="E65" s="59"/>
      <c r="F65" s="13"/>
      <c r="G65" s="13"/>
      <c r="H65" s="13"/>
      <c r="I65" s="13"/>
      <c r="J65" s="13"/>
      <c r="K65" s="97"/>
      <c r="L65" s="5"/>
      <c r="M65" s="4"/>
      <c r="N65" s="6"/>
      <c r="O65" s="6"/>
      <c r="P65" s="4"/>
      <c r="Q65" s="109"/>
      <c r="R65" s="5"/>
      <c r="S65" s="5"/>
      <c r="T65" s="5"/>
      <c r="U65" s="5"/>
      <c r="V65" s="5"/>
      <c r="W65" s="5"/>
      <c r="X65" s="5"/>
      <c r="Y65" s="5"/>
      <c r="Z65" s="150"/>
      <c r="AA65" s="103"/>
      <c r="AB65" s="103"/>
      <c r="AC65" s="103"/>
      <c r="AD65" s="103"/>
      <c r="AE65" s="103"/>
      <c r="AF65" s="103"/>
      <c r="AG65" s="103"/>
      <c r="AH65" s="103"/>
      <c r="AI65" s="103"/>
      <c r="AJ65" s="103"/>
      <c r="AK65" s="103"/>
      <c r="AL65" s="103"/>
      <c r="AM65" s="103"/>
      <c r="AN65" s="103"/>
      <c r="AO65" s="103"/>
      <c r="AP65" s="103"/>
      <c r="AQ65" s="103"/>
      <c r="AR65" s="103"/>
      <c r="AS65" s="103"/>
      <c r="AT65" s="103"/>
      <c r="AU65" s="103"/>
      <c r="AV65" s="103"/>
      <c r="AW65" s="103"/>
      <c r="AX65" s="103"/>
      <c r="AY65" s="103"/>
      <c r="AZ65" s="103"/>
      <c r="BA65" s="103"/>
      <c r="BB65" s="103"/>
      <c r="BC65" s="103"/>
      <c r="BD65" s="103"/>
      <c r="BE65" s="103"/>
      <c r="BF65" s="103"/>
      <c r="BG65" s="103"/>
      <c r="BH65" s="103"/>
      <c r="BI65" s="103"/>
      <c r="BJ65" s="103"/>
      <c r="BK65" s="103"/>
      <c r="BL65" s="103"/>
      <c r="BM65" s="103"/>
      <c r="BN65" s="103"/>
      <c r="BO65" s="103"/>
      <c r="BP65" s="103"/>
      <c r="BQ65" s="103"/>
      <c r="BR65" s="103"/>
      <c r="BS65" s="103"/>
      <c r="BT65" s="103"/>
      <c r="BU65" s="103"/>
      <c r="BV65" s="103"/>
      <c r="BW65" s="103"/>
      <c r="BX65" s="6"/>
      <c r="BY65" s="6"/>
      <c r="BZ65" s="103"/>
    </row>
    <row r="66" spans="1:78" x14ac:dyDescent="0.2">
      <c r="A66" s="13"/>
      <c r="B66" s="13"/>
      <c r="C66" s="13"/>
      <c r="D66" s="13"/>
      <c r="E66" s="59"/>
      <c r="F66" s="13"/>
      <c r="G66" s="13"/>
      <c r="H66" s="13"/>
      <c r="I66" s="13"/>
      <c r="J66" s="13"/>
      <c r="K66" s="97"/>
      <c r="L66" s="5"/>
      <c r="M66" s="4"/>
      <c r="N66" s="6"/>
      <c r="O66" s="6"/>
      <c r="P66" s="4"/>
      <c r="Q66" s="109"/>
      <c r="R66" s="5"/>
      <c r="S66" s="5"/>
      <c r="T66" s="5"/>
      <c r="U66" s="5"/>
      <c r="V66" s="5"/>
      <c r="W66" s="5"/>
      <c r="X66" s="5"/>
      <c r="Y66" s="5"/>
      <c r="Z66" s="150"/>
      <c r="AA66" s="103"/>
      <c r="AB66" s="103"/>
      <c r="AC66" s="103"/>
      <c r="AD66" s="103"/>
      <c r="AE66" s="103"/>
      <c r="AF66" s="103"/>
      <c r="AG66" s="103"/>
      <c r="AH66" s="103"/>
      <c r="AI66" s="103"/>
      <c r="AJ66" s="103"/>
      <c r="AK66" s="103"/>
      <c r="AL66" s="103"/>
      <c r="AM66" s="103"/>
      <c r="AN66" s="103"/>
      <c r="AO66" s="103"/>
      <c r="AP66" s="103"/>
      <c r="AQ66" s="103"/>
      <c r="AR66" s="103"/>
      <c r="AS66" s="103"/>
      <c r="AT66" s="103"/>
      <c r="AU66" s="103"/>
      <c r="AV66" s="103"/>
      <c r="AW66" s="103"/>
      <c r="AX66" s="103"/>
      <c r="AY66" s="103"/>
      <c r="AZ66" s="103"/>
      <c r="BA66" s="103"/>
      <c r="BB66" s="103"/>
      <c r="BC66" s="103"/>
      <c r="BD66" s="103"/>
      <c r="BE66" s="103"/>
      <c r="BF66" s="103"/>
      <c r="BG66" s="103"/>
      <c r="BH66" s="103"/>
      <c r="BI66" s="103"/>
      <c r="BJ66" s="103"/>
      <c r="BK66" s="103"/>
      <c r="BL66" s="103"/>
      <c r="BM66" s="103"/>
      <c r="BN66" s="103"/>
      <c r="BO66" s="103"/>
      <c r="BP66" s="103"/>
      <c r="BQ66" s="103"/>
      <c r="BR66" s="103"/>
      <c r="BS66" s="103"/>
      <c r="BT66" s="103"/>
      <c r="BU66" s="103"/>
      <c r="BV66" s="103"/>
      <c r="BW66" s="103"/>
      <c r="BX66" s="6"/>
      <c r="BY66" s="6"/>
      <c r="BZ66" s="103"/>
    </row>
    <row r="67" spans="1:78" x14ac:dyDescent="0.2">
      <c r="A67" s="12"/>
      <c r="B67" s="13"/>
      <c r="C67" s="13"/>
      <c r="D67" s="13"/>
      <c r="E67" s="59"/>
      <c r="F67" s="13"/>
      <c r="G67" s="13"/>
      <c r="H67" s="13"/>
      <c r="I67" s="13"/>
      <c r="J67" s="13"/>
      <c r="K67" s="97"/>
      <c r="L67" s="5"/>
      <c r="M67" s="4"/>
      <c r="N67" s="6"/>
      <c r="O67" s="6"/>
      <c r="P67" s="4"/>
      <c r="Q67" s="109"/>
      <c r="R67" s="5"/>
      <c r="S67" s="5"/>
      <c r="T67" s="5"/>
      <c r="U67" s="5"/>
      <c r="V67" s="5"/>
      <c r="W67" s="5"/>
      <c r="X67" s="5"/>
      <c r="Y67" s="5"/>
      <c r="Z67" s="150"/>
      <c r="AA67" s="103"/>
      <c r="AB67" s="103"/>
      <c r="AC67" s="103"/>
      <c r="AD67" s="103"/>
      <c r="AE67" s="103"/>
      <c r="AF67" s="103"/>
      <c r="AG67" s="103"/>
      <c r="AH67" s="103"/>
      <c r="AI67" s="103"/>
      <c r="AJ67" s="103"/>
      <c r="AK67" s="103"/>
      <c r="AL67" s="103"/>
      <c r="AM67" s="103"/>
      <c r="AN67" s="103"/>
      <c r="AO67" s="103"/>
      <c r="AP67" s="103"/>
      <c r="AQ67" s="103"/>
      <c r="AR67" s="103"/>
      <c r="AS67" s="103"/>
      <c r="AT67" s="103"/>
      <c r="AU67" s="103"/>
      <c r="AV67" s="103"/>
      <c r="AW67" s="103"/>
      <c r="AX67" s="103"/>
      <c r="AY67" s="103"/>
      <c r="AZ67" s="103"/>
      <c r="BA67" s="103"/>
      <c r="BB67" s="103"/>
      <c r="BC67" s="103"/>
      <c r="BD67" s="103"/>
      <c r="BE67" s="103"/>
      <c r="BF67" s="103"/>
      <c r="BG67" s="103"/>
      <c r="BH67" s="103"/>
      <c r="BI67" s="103"/>
      <c r="BJ67" s="103"/>
      <c r="BK67" s="103"/>
      <c r="BL67" s="103"/>
      <c r="BM67" s="103"/>
      <c r="BN67" s="103"/>
      <c r="BO67" s="103"/>
      <c r="BP67" s="103"/>
      <c r="BQ67" s="103"/>
      <c r="BR67" s="103"/>
      <c r="BS67" s="103"/>
      <c r="BT67" s="103"/>
      <c r="BU67" s="103"/>
      <c r="BV67" s="103"/>
      <c r="BW67" s="103"/>
      <c r="BX67" s="6"/>
      <c r="BY67" s="6"/>
      <c r="BZ67" s="103"/>
    </row>
    <row r="68" spans="1:78" x14ac:dyDescent="0.2">
      <c r="A68" s="13"/>
      <c r="B68" s="13"/>
      <c r="C68" s="13"/>
      <c r="D68" s="13"/>
      <c r="E68" s="59"/>
      <c r="F68" s="13"/>
      <c r="G68" s="13"/>
      <c r="H68" s="13"/>
      <c r="I68" s="13"/>
      <c r="J68" s="13"/>
      <c r="K68" s="97"/>
      <c r="L68" s="5"/>
      <c r="M68" s="4"/>
      <c r="N68" s="6"/>
      <c r="O68" s="6"/>
      <c r="P68" s="4"/>
      <c r="Q68" s="109"/>
      <c r="R68" s="5"/>
      <c r="S68" s="5"/>
      <c r="T68" s="5"/>
      <c r="U68" s="5"/>
      <c r="V68" s="5"/>
      <c r="W68" s="5"/>
      <c r="X68" s="5"/>
      <c r="Y68" s="5"/>
      <c r="Z68" s="150"/>
      <c r="AA68" s="103"/>
      <c r="AB68" s="103"/>
      <c r="AC68" s="103"/>
      <c r="AD68" s="103"/>
      <c r="AE68" s="103"/>
      <c r="AF68" s="103"/>
      <c r="AG68" s="103"/>
      <c r="AH68" s="103"/>
      <c r="AI68" s="103"/>
      <c r="AJ68" s="103"/>
      <c r="AK68" s="103"/>
      <c r="AL68" s="103"/>
      <c r="AM68" s="103"/>
      <c r="AN68" s="103"/>
      <c r="AO68" s="103"/>
      <c r="AP68" s="103"/>
      <c r="AQ68" s="103"/>
      <c r="AR68" s="103"/>
      <c r="AS68" s="103"/>
      <c r="AT68" s="103"/>
      <c r="AU68" s="103"/>
      <c r="AV68" s="103"/>
      <c r="AW68" s="103"/>
      <c r="AX68" s="103"/>
      <c r="AY68" s="103"/>
      <c r="AZ68" s="103"/>
      <c r="BA68" s="103"/>
      <c r="BB68" s="103"/>
      <c r="BC68" s="103"/>
      <c r="BD68" s="103"/>
      <c r="BE68" s="103"/>
      <c r="BF68" s="103"/>
      <c r="BG68" s="103"/>
      <c r="BH68" s="103"/>
      <c r="BI68" s="103"/>
      <c r="BJ68" s="103"/>
      <c r="BK68" s="103"/>
      <c r="BL68" s="103"/>
      <c r="BM68" s="103"/>
      <c r="BN68" s="103"/>
      <c r="BO68" s="103"/>
      <c r="BP68" s="103"/>
      <c r="BQ68" s="103"/>
      <c r="BR68" s="103"/>
      <c r="BS68" s="103"/>
      <c r="BT68" s="103"/>
      <c r="BU68" s="103"/>
      <c r="BV68" s="103"/>
      <c r="BW68" s="103"/>
      <c r="BX68" s="6"/>
      <c r="BY68" s="6"/>
      <c r="BZ68" s="103"/>
    </row>
    <row r="69" spans="1:78" x14ac:dyDescent="0.2">
      <c r="A69" s="13"/>
      <c r="B69" s="13"/>
      <c r="C69" s="13"/>
      <c r="D69" s="13"/>
      <c r="E69" s="59"/>
      <c r="F69" s="13"/>
      <c r="G69" s="13"/>
      <c r="H69" s="13"/>
      <c r="I69" s="13"/>
      <c r="J69" s="13"/>
      <c r="K69" s="97"/>
      <c r="L69" s="5"/>
      <c r="M69" s="4"/>
      <c r="N69" s="6"/>
      <c r="O69" s="6"/>
      <c r="P69" s="4"/>
      <c r="Q69" s="109"/>
      <c r="R69" s="5"/>
      <c r="S69" s="5"/>
      <c r="T69" s="5"/>
      <c r="U69" s="5"/>
      <c r="V69" s="5"/>
      <c r="W69" s="5"/>
      <c r="X69" s="5"/>
      <c r="Y69" s="5"/>
      <c r="Z69" s="150"/>
      <c r="AA69" s="103"/>
      <c r="AB69" s="103"/>
      <c r="AC69" s="103"/>
      <c r="AD69" s="103"/>
      <c r="AE69" s="103"/>
      <c r="AF69" s="103"/>
      <c r="AG69" s="103"/>
      <c r="AH69" s="103"/>
      <c r="AI69" s="103"/>
      <c r="AJ69" s="103"/>
      <c r="AK69" s="103"/>
      <c r="AL69" s="103"/>
      <c r="AM69" s="103"/>
      <c r="AN69" s="103"/>
      <c r="AO69" s="103"/>
      <c r="AP69" s="103"/>
      <c r="AQ69" s="103"/>
      <c r="AR69" s="103"/>
      <c r="AS69" s="103"/>
      <c r="AT69" s="103"/>
      <c r="AU69" s="103"/>
      <c r="AV69" s="103"/>
      <c r="AW69" s="103"/>
      <c r="AX69" s="103"/>
      <c r="AY69" s="103"/>
      <c r="AZ69" s="103"/>
      <c r="BA69" s="103"/>
      <c r="BB69" s="103"/>
      <c r="BC69" s="103"/>
      <c r="BD69" s="103"/>
      <c r="BE69" s="103"/>
      <c r="BF69" s="103"/>
      <c r="BG69" s="103"/>
      <c r="BH69" s="103"/>
      <c r="BI69" s="103"/>
      <c r="BJ69" s="103"/>
      <c r="BK69" s="103"/>
      <c r="BL69" s="103"/>
      <c r="BM69" s="103"/>
      <c r="BN69" s="103"/>
      <c r="BO69" s="103"/>
      <c r="BP69" s="103"/>
      <c r="BQ69" s="103"/>
      <c r="BR69" s="103"/>
      <c r="BS69" s="103"/>
      <c r="BT69" s="103"/>
      <c r="BU69" s="103"/>
      <c r="BV69" s="103"/>
      <c r="BW69" s="103"/>
      <c r="BX69" s="6"/>
      <c r="BY69" s="6"/>
      <c r="BZ69" s="103"/>
    </row>
    <row r="70" spans="1:78" x14ac:dyDescent="0.2">
      <c r="A70" s="13"/>
      <c r="B70" s="13"/>
      <c r="C70" s="13"/>
      <c r="D70" s="13"/>
      <c r="E70" s="59"/>
      <c r="F70" s="13"/>
      <c r="G70" s="13"/>
      <c r="H70" s="13"/>
      <c r="I70" s="13"/>
      <c r="J70" s="13"/>
      <c r="K70" s="97"/>
      <c r="L70" s="5"/>
      <c r="M70" s="4"/>
      <c r="N70" s="6"/>
      <c r="O70" s="6"/>
      <c r="P70" s="4"/>
      <c r="Q70" s="109"/>
      <c r="R70" s="5"/>
      <c r="S70" s="5"/>
      <c r="T70" s="5"/>
      <c r="U70" s="5"/>
      <c r="V70" s="5"/>
      <c r="W70" s="5"/>
      <c r="X70" s="5"/>
      <c r="Y70" s="5"/>
      <c r="Z70" s="150"/>
      <c r="AA70" s="103"/>
      <c r="AB70" s="103"/>
      <c r="AC70" s="103"/>
      <c r="AD70" s="103"/>
      <c r="AE70" s="103"/>
      <c r="AF70" s="103"/>
      <c r="AG70" s="103"/>
      <c r="AH70" s="103"/>
      <c r="AI70" s="103"/>
      <c r="AJ70" s="103"/>
      <c r="AK70" s="103"/>
      <c r="AL70" s="103"/>
      <c r="AM70" s="103"/>
      <c r="AN70" s="103"/>
      <c r="AO70" s="103"/>
      <c r="AP70" s="103"/>
      <c r="AQ70" s="103"/>
      <c r="AR70" s="103"/>
      <c r="AS70" s="103"/>
      <c r="AT70" s="103"/>
      <c r="AU70" s="103"/>
      <c r="AV70" s="103"/>
      <c r="AW70" s="103"/>
      <c r="AX70" s="103"/>
      <c r="AY70" s="103"/>
      <c r="AZ70" s="103"/>
      <c r="BA70" s="103"/>
      <c r="BB70" s="103"/>
      <c r="BC70" s="103"/>
      <c r="BD70" s="103"/>
      <c r="BE70" s="103"/>
      <c r="BF70" s="103"/>
      <c r="BG70" s="103"/>
      <c r="BH70" s="103"/>
      <c r="BI70" s="103"/>
      <c r="BJ70" s="103"/>
      <c r="BK70" s="103"/>
      <c r="BL70" s="103"/>
      <c r="BM70" s="103"/>
      <c r="BN70" s="103"/>
      <c r="BO70" s="103"/>
      <c r="BP70" s="103"/>
      <c r="BQ70" s="103"/>
      <c r="BR70" s="103"/>
      <c r="BS70" s="103"/>
      <c r="BT70" s="103"/>
      <c r="BU70" s="103"/>
      <c r="BV70" s="103"/>
      <c r="BW70" s="103"/>
      <c r="BX70" s="6"/>
      <c r="BY70" s="6"/>
      <c r="BZ70" s="103"/>
    </row>
    <row r="71" spans="1:78" x14ac:dyDescent="0.2">
      <c r="A71" s="13"/>
      <c r="B71" s="13"/>
      <c r="C71" s="13"/>
      <c r="D71" s="13"/>
      <c r="E71" s="59"/>
      <c r="F71" s="13"/>
      <c r="G71" s="13"/>
      <c r="H71" s="13"/>
      <c r="I71" s="13"/>
      <c r="J71" s="13"/>
      <c r="K71" s="97"/>
      <c r="L71" s="5"/>
      <c r="M71" s="4"/>
      <c r="N71" s="6"/>
      <c r="O71" s="6"/>
      <c r="P71" s="4"/>
      <c r="Q71" s="109"/>
      <c r="R71" s="5"/>
      <c r="S71" s="5"/>
      <c r="T71" s="5"/>
      <c r="U71" s="5"/>
      <c r="V71" s="5"/>
      <c r="W71" s="5"/>
      <c r="X71" s="5"/>
      <c r="Y71" s="5"/>
      <c r="Z71" s="150"/>
      <c r="AA71" s="103"/>
      <c r="AB71" s="103"/>
      <c r="AC71" s="103"/>
      <c r="AD71" s="103"/>
      <c r="AE71" s="103"/>
      <c r="AF71" s="103"/>
      <c r="AG71" s="103"/>
      <c r="AH71" s="103"/>
      <c r="AI71" s="103"/>
      <c r="AJ71" s="103"/>
      <c r="AK71" s="103"/>
      <c r="AL71" s="103"/>
      <c r="AM71" s="103"/>
      <c r="AN71" s="103"/>
      <c r="AO71" s="103"/>
      <c r="AP71" s="103"/>
      <c r="AQ71" s="103"/>
      <c r="AR71" s="103"/>
      <c r="AS71" s="103"/>
      <c r="AT71" s="103"/>
      <c r="AU71" s="103"/>
      <c r="AV71" s="103"/>
      <c r="AW71" s="103"/>
      <c r="AX71" s="103"/>
      <c r="AY71" s="103"/>
      <c r="AZ71" s="103"/>
      <c r="BA71" s="103"/>
      <c r="BB71" s="103"/>
      <c r="BC71" s="103"/>
      <c r="BD71" s="103"/>
      <c r="BE71" s="103"/>
      <c r="BF71" s="103"/>
      <c r="BG71" s="103"/>
      <c r="BH71" s="103"/>
      <c r="BI71" s="103"/>
      <c r="BJ71" s="103"/>
      <c r="BK71" s="103"/>
      <c r="BL71" s="103"/>
      <c r="BM71" s="103"/>
      <c r="BN71" s="103"/>
      <c r="BO71" s="103"/>
      <c r="BP71" s="103"/>
      <c r="BQ71" s="103"/>
      <c r="BR71" s="103"/>
      <c r="BS71" s="103"/>
      <c r="BT71" s="103"/>
      <c r="BU71" s="103"/>
      <c r="BV71" s="103"/>
      <c r="BW71" s="103"/>
      <c r="BX71" s="6"/>
      <c r="BY71" s="6"/>
      <c r="BZ71" s="103"/>
    </row>
    <row r="72" spans="1:78" x14ac:dyDescent="0.2">
      <c r="A72" s="12"/>
      <c r="B72" s="13"/>
      <c r="C72" s="13"/>
      <c r="D72" s="13"/>
      <c r="E72" s="59"/>
      <c r="F72" s="13"/>
      <c r="G72" s="13"/>
      <c r="H72" s="13"/>
      <c r="I72" s="13"/>
      <c r="J72" s="13"/>
      <c r="K72" s="97"/>
      <c r="L72" s="5"/>
      <c r="M72" s="4"/>
      <c r="N72" s="6"/>
      <c r="O72" s="6"/>
      <c r="P72" s="4"/>
      <c r="Q72" s="109"/>
      <c r="R72" s="5"/>
      <c r="S72" s="5"/>
      <c r="T72" s="5"/>
      <c r="U72" s="5"/>
      <c r="V72" s="5"/>
      <c r="W72" s="5"/>
      <c r="X72" s="5"/>
      <c r="Y72" s="5"/>
      <c r="Z72" s="150"/>
      <c r="AA72" s="103"/>
      <c r="AB72" s="103"/>
      <c r="AC72" s="103"/>
      <c r="AD72" s="103"/>
      <c r="AE72" s="103"/>
      <c r="AF72" s="103"/>
      <c r="AG72" s="103"/>
      <c r="AH72" s="103"/>
      <c r="AI72" s="103"/>
      <c r="AJ72" s="103"/>
      <c r="AK72" s="103"/>
      <c r="AL72" s="103"/>
      <c r="AM72" s="103"/>
      <c r="AN72" s="103"/>
      <c r="AO72" s="103"/>
      <c r="AP72" s="103"/>
      <c r="AQ72" s="103"/>
      <c r="AR72" s="103"/>
      <c r="AS72" s="103"/>
      <c r="AT72" s="103"/>
      <c r="AU72" s="103"/>
      <c r="AV72" s="103"/>
      <c r="AW72" s="103"/>
      <c r="AX72" s="103"/>
      <c r="AY72" s="103"/>
      <c r="AZ72" s="103"/>
      <c r="BA72" s="103"/>
      <c r="BB72" s="103"/>
      <c r="BC72" s="103"/>
      <c r="BD72" s="103"/>
      <c r="BE72" s="103"/>
      <c r="BF72" s="103"/>
      <c r="BG72" s="103"/>
      <c r="BH72" s="103"/>
      <c r="BI72" s="103"/>
      <c r="BJ72" s="103"/>
      <c r="BK72" s="103"/>
      <c r="BL72" s="103"/>
      <c r="BM72" s="103"/>
      <c r="BN72" s="103"/>
      <c r="BO72" s="103"/>
      <c r="BP72" s="103"/>
      <c r="BQ72" s="103"/>
      <c r="BR72" s="103"/>
      <c r="BS72" s="103"/>
      <c r="BT72" s="103"/>
      <c r="BU72" s="103"/>
      <c r="BV72" s="103"/>
      <c r="BW72" s="103"/>
      <c r="BX72" s="6"/>
      <c r="BY72" s="6"/>
      <c r="BZ72" s="103"/>
    </row>
    <row r="73" spans="1:78" x14ac:dyDescent="0.2">
      <c r="A73" s="13"/>
      <c r="B73" s="13"/>
      <c r="C73" s="13"/>
      <c r="D73" s="13"/>
      <c r="E73" s="59"/>
      <c r="F73" s="13"/>
      <c r="G73" s="13"/>
      <c r="H73" s="13"/>
      <c r="I73" s="13"/>
      <c r="J73" s="13"/>
      <c r="K73" s="13"/>
      <c r="L73" s="13"/>
      <c r="M73" s="4"/>
      <c r="N73" s="6"/>
      <c r="O73" s="6"/>
      <c r="P73" s="6"/>
      <c r="Q73" s="108"/>
      <c r="R73" s="5"/>
      <c r="S73" s="5"/>
      <c r="T73" s="5"/>
      <c r="U73" s="5"/>
      <c r="V73" s="5"/>
      <c r="W73" s="5"/>
      <c r="X73" s="5"/>
      <c r="Y73" s="5"/>
      <c r="Z73" s="150"/>
      <c r="AA73" s="103"/>
      <c r="AB73" s="103"/>
      <c r="AC73" s="103"/>
      <c r="AD73" s="103"/>
      <c r="AE73" s="103"/>
      <c r="AF73" s="103"/>
      <c r="AG73" s="103"/>
      <c r="AH73" s="103"/>
      <c r="AI73" s="103"/>
      <c r="AJ73" s="103"/>
      <c r="AK73" s="103"/>
      <c r="AL73" s="103"/>
      <c r="AM73" s="103"/>
      <c r="AN73" s="103"/>
      <c r="AO73" s="103"/>
      <c r="AP73" s="103"/>
      <c r="AQ73" s="103"/>
      <c r="AR73" s="103"/>
      <c r="AS73" s="103"/>
      <c r="AT73" s="103"/>
      <c r="AU73" s="103"/>
      <c r="AV73" s="103"/>
      <c r="AW73" s="103"/>
      <c r="AX73" s="103"/>
      <c r="AY73" s="103"/>
      <c r="AZ73" s="103"/>
      <c r="BA73" s="103"/>
      <c r="BB73" s="103"/>
      <c r="BC73" s="103"/>
      <c r="BD73" s="103"/>
      <c r="BE73" s="103"/>
      <c r="BF73" s="103"/>
      <c r="BG73" s="103"/>
      <c r="BH73" s="103"/>
      <c r="BI73" s="103"/>
      <c r="BJ73" s="103"/>
      <c r="BK73" s="103"/>
      <c r="BL73" s="103"/>
      <c r="BM73" s="103"/>
      <c r="BN73" s="103"/>
      <c r="BO73" s="103"/>
      <c r="BP73" s="103"/>
      <c r="BQ73" s="103"/>
      <c r="BR73" s="103"/>
      <c r="BS73" s="103"/>
      <c r="BT73" s="103"/>
      <c r="BU73" s="103"/>
      <c r="BV73" s="103"/>
      <c r="BW73" s="103"/>
      <c r="BX73" s="6"/>
      <c r="BY73" s="6"/>
      <c r="BZ73" s="103"/>
    </row>
    <row r="74" spans="1:78" x14ac:dyDescent="0.2">
      <c r="A74" s="13"/>
      <c r="B74" s="13"/>
      <c r="C74" s="13"/>
      <c r="D74" s="13"/>
      <c r="E74" s="59"/>
      <c r="F74" s="13"/>
      <c r="G74" s="13"/>
      <c r="H74" s="13"/>
      <c r="I74" s="13"/>
      <c r="J74" s="13"/>
      <c r="K74" s="13"/>
      <c r="L74" s="13"/>
      <c r="M74" s="4"/>
      <c r="N74" s="6"/>
      <c r="O74" s="6"/>
      <c r="P74" s="4"/>
      <c r="Q74" s="109"/>
      <c r="R74" s="5"/>
      <c r="S74" s="5"/>
      <c r="T74" s="5"/>
      <c r="U74" s="5"/>
      <c r="V74" s="5"/>
      <c r="W74" s="5"/>
      <c r="X74" s="5"/>
      <c r="Y74" s="5"/>
      <c r="Z74" s="150"/>
      <c r="AA74" s="103"/>
      <c r="AB74" s="103"/>
      <c r="AC74" s="103"/>
      <c r="AD74" s="103"/>
      <c r="AE74" s="103"/>
      <c r="AF74" s="103"/>
      <c r="AG74" s="103"/>
      <c r="AH74" s="103"/>
      <c r="AI74" s="103"/>
      <c r="AJ74" s="103"/>
      <c r="AK74" s="103"/>
      <c r="AL74" s="103"/>
      <c r="AM74" s="103"/>
      <c r="AN74" s="103"/>
      <c r="AO74" s="103"/>
      <c r="AP74" s="103"/>
      <c r="AQ74" s="103"/>
      <c r="AR74" s="103"/>
      <c r="AS74" s="103"/>
      <c r="AT74" s="103"/>
      <c r="AU74" s="103"/>
      <c r="AV74" s="103"/>
      <c r="AW74" s="103"/>
      <c r="AX74" s="103"/>
      <c r="AY74" s="103"/>
      <c r="AZ74" s="103"/>
      <c r="BA74" s="103"/>
      <c r="BB74" s="103"/>
      <c r="BC74" s="103"/>
      <c r="BD74" s="103"/>
      <c r="BE74" s="103"/>
      <c r="BF74" s="103"/>
      <c r="BG74" s="103"/>
      <c r="BH74" s="103"/>
      <c r="BI74" s="103"/>
      <c r="BJ74" s="103"/>
      <c r="BK74" s="103"/>
      <c r="BL74" s="103"/>
      <c r="BM74" s="103"/>
      <c r="BN74" s="103"/>
      <c r="BO74" s="103"/>
      <c r="BP74" s="103"/>
      <c r="BQ74" s="103"/>
      <c r="BR74" s="103"/>
      <c r="BS74" s="103"/>
      <c r="BT74" s="103"/>
      <c r="BU74" s="103"/>
      <c r="BV74" s="103"/>
      <c r="BW74" s="103"/>
      <c r="BX74" s="6"/>
      <c r="BY74" s="6"/>
      <c r="BZ74" s="103"/>
    </row>
    <row r="75" spans="1:78" x14ac:dyDescent="0.2">
      <c r="A75" s="13"/>
      <c r="B75" s="13"/>
      <c r="C75" s="13"/>
      <c r="D75" s="13"/>
      <c r="E75" s="59"/>
      <c r="F75" s="13"/>
      <c r="G75" s="13"/>
      <c r="H75" s="13"/>
      <c r="I75" s="13"/>
      <c r="J75" s="13"/>
      <c r="K75" s="13"/>
      <c r="L75" s="13"/>
      <c r="M75" s="4"/>
      <c r="N75" s="6"/>
      <c r="O75" s="6"/>
      <c r="P75" s="4"/>
      <c r="Q75" s="109"/>
      <c r="R75" s="5"/>
      <c r="S75" s="5"/>
      <c r="T75" s="5"/>
      <c r="U75" s="5"/>
      <c r="V75" s="5"/>
      <c r="W75" s="5"/>
      <c r="X75" s="5"/>
      <c r="Y75" s="5"/>
      <c r="Z75" s="150"/>
      <c r="AA75" s="103"/>
      <c r="AB75" s="103"/>
      <c r="AC75" s="103"/>
      <c r="AD75" s="103"/>
      <c r="AE75" s="103"/>
      <c r="AF75" s="103"/>
      <c r="AG75" s="103"/>
      <c r="AH75" s="103"/>
      <c r="AI75" s="103"/>
      <c r="AJ75" s="103"/>
      <c r="AK75" s="103"/>
      <c r="AL75" s="103"/>
      <c r="AM75" s="103"/>
      <c r="AN75" s="103"/>
      <c r="AO75" s="103"/>
      <c r="AP75" s="103"/>
      <c r="AQ75" s="103"/>
      <c r="AR75" s="103"/>
      <c r="AS75" s="103"/>
      <c r="AT75" s="103"/>
      <c r="AU75" s="103"/>
      <c r="AV75" s="103"/>
      <c r="AW75" s="103"/>
      <c r="AX75" s="103"/>
      <c r="AY75" s="103"/>
      <c r="AZ75" s="103"/>
      <c r="BA75" s="103"/>
      <c r="BB75" s="103"/>
      <c r="BC75" s="103"/>
      <c r="BD75" s="103"/>
      <c r="BE75" s="103"/>
      <c r="BF75" s="103"/>
      <c r="BG75" s="103"/>
      <c r="BH75" s="103"/>
      <c r="BI75" s="103"/>
      <c r="BJ75" s="103"/>
      <c r="BK75" s="103"/>
      <c r="BL75" s="103"/>
      <c r="BM75" s="103"/>
      <c r="BN75" s="103"/>
      <c r="BO75" s="103"/>
      <c r="BP75" s="103"/>
      <c r="BQ75" s="103"/>
      <c r="BR75" s="103"/>
      <c r="BS75" s="103"/>
      <c r="BT75" s="103"/>
      <c r="BU75" s="103"/>
      <c r="BV75" s="103"/>
      <c r="BW75" s="103"/>
      <c r="BX75" s="6"/>
      <c r="BY75" s="6"/>
      <c r="BZ75" s="103"/>
    </row>
    <row r="76" spans="1:78" x14ac:dyDescent="0.2">
      <c r="A76" s="12"/>
      <c r="B76" s="13"/>
      <c r="C76" s="13"/>
      <c r="D76" s="13"/>
      <c r="E76" s="59"/>
      <c r="F76" s="13"/>
      <c r="G76" s="13"/>
      <c r="H76" s="13"/>
      <c r="I76" s="13"/>
      <c r="J76" s="13"/>
      <c r="K76" s="97"/>
      <c r="L76" s="5"/>
      <c r="M76" s="4"/>
      <c r="N76" s="6"/>
      <c r="O76" s="6"/>
      <c r="P76" s="4"/>
      <c r="Q76" s="108"/>
      <c r="R76" s="5"/>
      <c r="S76" s="5"/>
      <c r="T76" s="5"/>
      <c r="U76" s="5"/>
      <c r="V76" s="5"/>
      <c r="W76" s="5"/>
      <c r="X76" s="5"/>
      <c r="Y76" s="5"/>
      <c r="Z76" s="150"/>
      <c r="AA76" s="103"/>
      <c r="AB76" s="103"/>
      <c r="AC76" s="103"/>
      <c r="AD76" s="103"/>
      <c r="AE76" s="103"/>
      <c r="AF76" s="103"/>
      <c r="AG76" s="103"/>
      <c r="AH76" s="103"/>
      <c r="AI76" s="103"/>
      <c r="AJ76" s="103"/>
      <c r="AK76" s="103"/>
      <c r="AL76" s="103"/>
      <c r="AM76" s="103"/>
      <c r="AN76" s="103"/>
      <c r="AO76" s="103"/>
      <c r="AP76" s="103"/>
      <c r="AQ76" s="103"/>
      <c r="AR76" s="103"/>
      <c r="AS76" s="103"/>
      <c r="AT76" s="103"/>
      <c r="AU76" s="103"/>
      <c r="AV76" s="103"/>
      <c r="AW76" s="103"/>
      <c r="AX76" s="103"/>
      <c r="AY76" s="103"/>
      <c r="AZ76" s="103"/>
      <c r="BA76" s="103"/>
      <c r="BB76" s="103"/>
      <c r="BC76" s="103"/>
      <c r="BD76" s="103"/>
      <c r="BE76" s="103"/>
      <c r="BF76" s="103"/>
      <c r="BG76" s="103"/>
      <c r="BH76" s="103"/>
      <c r="BI76" s="103"/>
      <c r="BJ76" s="103"/>
      <c r="BK76" s="103"/>
      <c r="BL76" s="103"/>
      <c r="BM76" s="103"/>
      <c r="BN76" s="103"/>
      <c r="BO76" s="103"/>
      <c r="BP76" s="103"/>
      <c r="BQ76" s="103"/>
      <c r="BR76" s="103"/>
      <c r="BS76" s="103"/>
      <c r="BT76" s="103"/>
      <c r="BU76" s="103"/>
      <c r="BV76" s="103"/>
      <c r="BW76" s="103"/>
      <c r="BX76" s="6"/>
      <c r="BY76" s="6"/>
      <c r="BZ76" s="103"/>
    </row>
    <row r="77" spans="1:78" x14ac:dyDescent="0.2">
      <c r="A77" s="13"/>
      <c r="B77" s="13"/>
      <c r="C77" s="13"/>
      <c r="D77" s="13"/>
      <c r="E77" s="59"/>
      <c r="F77" s="13"/>
      <c r="G77" s="13"/>
      <c r="H77" s="13"/>
      <c r="I77" s="13"/>
      <c r="J77" s="13"/>
      <c r="K77" s="97"/>
      <c r="L77" s="5"/>
      <c r="M77" s="6"/>
      <c r="N77" s="6"/>
      <c r="O77" s="6"/>
      <c r="P77" s="6"/>
      <c r="Q77" s="108"/>
      <c r="R77" s="5"/>
      <c r="S77" s="5"/>
      <c r="T77" s="5"/>
      <c r="U77" s="5"/>
      <c r="V77" s="5"/>
      <c r="W77" s="5"/>
      <c r="X77" s="5"/>
      <c r="Y77" s="5"/>
      <c r="Z77" s="150"/>
      <c r="AA77" s="103"/>
      <c r="AB77" s="103"/>
      <c r="AC77" s="103"/>
      <c r="AD77" s="103"/>
      <c r="AE77" s="103"/>
      <c r="AF77" s="103"/>
      <c r="AG77" s="103"/>
      <c r="AH77" s="103"/>
      <c r="AI77" s="103"/>
      <c r="AJ77" s="103"/>
      <c r="AK77" s="103"/>
      <c r="AL77" s="103"/>
      <c r="AM77" s="103"/>
      <c r="AN77" s="103"/>
      <c r="AO77" s="103"/>
      <c r="AP77" s="103"/>
      <c r="AQ77" s="103"/>
      <c r="AR77" s="103"/>
      <c r="AS77" s="103"/>
      <c r="AT77" s="103"/>
      <c r="AU77" s="103"/>
      <c r="AV77" s="103"/>
      <c r="AW77" s="103"/>
      <c r="AX77" s="103"/>
      <c r="AY77" s="103"/>
      <c r="AZ77" s="103"/>
      <c r="BA77" s="103"/>
      <c r="BB77" s="103"/>
      <c r="BC77" s="103"/>
      <c r="BD77" s="103"/>
      <c r="BE77" s="103"/>
      <c r="BF77" s="103"/>
      <c r="BG77" s="103"/>
      <c r="BH77" s="103"/>
      <c r="BI77" s="103"/>
      <c r="BJ77" s="103"/>
      <c r="BK77" s="103"/>
      <c r="BL77" s="103"/>
      <c r="BM77" s="103"/>
      <c r="BN77" s="103"/>
      <c r="BO77" s="103"/>
      <c r="BP77" s="103"/>
      <c r="BQ77" s="103"/>
      <c r="BR77" s="103"/>
      <c r="BS77" s="103"/>
      <c r="BT77" s="103"/>
      <c r="BU77" s="103"/>
      <c r="BV77" s="103"/>
      <c r="BW77" s="103"/>
      <c r="BX77" s="6"/>
      <c r="BY77" s="6"/>
      <c r="BZ77" s="103"/>
    </row>
    <row r="78" spans="1:78" x14ac:dyDescent="0.2">
      <c r="A78" s="13"/>
      <c r="B78" s="13"/>
      <c r="C78" s="13"/>
      <c r="D78" s="13"/>
      <c r="E78" s="59"/>
      <c r="F78" s="13"/>
      <c r="G78" s="13"/>
      <c r="H78" s="13"/>
      <c r="I78" s="13"/>
      <c r="J78" s="13"/>
      <c r="K78" s="97"/>
      <c r="L78" s="5"/>
      <c r="M78" s="6"/>
      <c r="N78" s="6"/>
      <c r="O78" s="6"/>
      <c r="P78" s="6"/>
      <c r="Q78" s="108"/>
      <c r="R78" s="5"/>
      <c r="S78" s="5"/>
      <c r="T78" s="5"/>
      <c r="U78" s="5"/>
      <c r="V78" s="5"/>
      <c r="W78" s="5"/>
      <c r="X78" s="5"/>
      <c r="Y78" s="5"/>
      <c r="Z78" s="150"/>
      <c r="AA78" s="103"/>
      <c r="AB78" s="103"/>
      <c r="AC78" s="103"/>
      <c r="AD78" s="103"/>
      <c r="AE78" s="103"/>
      <c r="AF78" s="103"/>
      <c r="AG78" s="103"/>
      <c r="AH78" s="103"/>
      <c r="AI78" s="103"/>
      <c r="AJ78" s="103"/>
      <c r="AK78" s="103"/>
      <c r="AL78" s="103"/>
      <c r="AM78" s="103"/>
      <c r="AN78" s="103"/>
      <c r="AO78" s="103"/>
      <c r="AP78" s="103"/>
      <c r="AQ78" s="103"/>
      <c r="AR78" s="103"/>
      <c r="AS78" s="103"/>
      <c r="AT78" s="103"/>
      <c r="AU78" s="103"/>
      <c r="AV78" s="103"/>
      <c r="AW78" s="103"/>
      <c r="AX78" s="103"/>
      <c r="AY78" s="103"/>
      <c r="AZ78" s="103"/>
      <c r="BA78" s="103"/>
      <c r="BB78" s="103"/>
      <c r="BC78" s="103"/>
      <c r="BD78" s="103"/>
      <c r="BE78" s="103"/>
      <c r="BF78" s="103"/>
      <c r="BG78" s="103"/>
      <c r="BH78" s="103"/>
      <c r="BI78" s="103"/>
      <c r="BJ78" s="103"/>
      <c r="BK78" s="103"/>
      <c r="BL78" s="103"/>
      <c r="BM78" s="103"/>
      <c r="BN78" s="103"/>
      <c r="BO78" s="103"/>
      <c r="BP78" s="103"/>
      <c r="BQ78" s="103"/>
      <c r="BR78" s="103"/>
      <c r="BS78" s="103"/>
      <c r="BT78" s="103"/>
      <c r="BU78" s="103"/>
      <c r="BV78" s="103"/>
      <c r="BW78" s="103"/>
      <c r="BX78" s="6"/>
      <c r="BY78" s="6"/>
      <c r="BZ78" s="103"/>
    </row>
    <row r="79" spans="1:78" x14ac:dyDescent="0.2">
      <c r="A79" s="13"/>
      <c r="B79" s="97"/>
      <c r="C79" s="97"/>
      <c r="D79" s="97"/>
      <c r="E79" s="97"/>
      <c r="F79" s="97"/>
      <c r="G79" s="97"/>
      <c r="H79" s="97"/>
      <c r="I79" s="97"/>
      <c r="J79" s="97"/>
      <c r="K79" s="97"/>
      <c r="L79" s="97"/>
      <c r="M79" s="6"/>
      <c r="N79" s="6"/>
      <c r="O79" s="6"/>
      <c r="P79" s="6"/>
      <c r="Q79" s="108"/>
      <c r="R79" s="5"/>
      <c r="S79" s="5"/>
      <c r="T79" s="5"/>
      <c r="U79" s="5"/>
      <c r="V79" s="5"/>
      <c r="W79" s="5"/>
      <c r="X79" s="5"/>
      <c r="Y79" s="5"/>
      <c r="Z79" s="150"/>
      <c r="AA79" s="103"/>
      <c r="AB79" s="103"/>
      <c r="AC79" s="103"/>
      <c r="AD79" s="103"/>
      <c r="AE79" s="103"/>
      <c r="AF79" s="103"/>
      <c r="AG79" s="103"/>
      <c r="AH79" s="103"/>
      <c r="AI79" s="103"/>
      <c r="AJ79" s="103"/>
      <c r="AK79" s="103"/>
      <c r="AL79" s="103"/>
      <c r="AM79" s="103"/>
      <c r="AN79" s="103"/>
      <c r="AO79" s="103"/>
      <c r="AP79" s="103"/>
      <c r="AQ79" s="103"/>
      <c r="AR79" s="103"/>
      <c r="AS79" s="103"/>
      <c r="AT79" s="103"/>
      <c r="AU79" s="103"/>
      <c r="AV79" s="103"/>
      <c r="AW79" s="103"/>
      <c r="AX79" s="103"/>
      <c r="AY79" s="103"/>
      <c r="AZ79" s="103"/>
      <c r="BA79" s="103"/>
      <c r="BB79" s="103"/>
      <c r="BC79" s="103"/>
      <c r="BD79" s="103"/>
      <c r="BE79" s="103"/>
      <c r="BF79" s="103"/>
      <c r="BG79" s="103"/>
      <c r="BH79" s="103"/>
      <c r="BI79" s="103"/>
      <c r="BJ79" s="103"/>
      <c r="BK79" s="103"/>
      <c r="BL79" s="103"/>
      <c r="BM79" s="103"/>
      <c r="BN79" s="103"/>
      <c r="BO79" s="103"/>
      <c r="BP79" s="103"/>
      <c r="BQ79" s="103"/>
      <c r="BR79" s="103"/>
      <c r="BS79" s="103"/>
      <c r="BT79" s="103"/>
      <c r="BU79" s="103"/>
      <c r="BV79" s="103"/>
      <c r="BW79" s="103"/>
      <c r="BX79" s="6"/>
      <c r="BY79" s="6"/>
      <c r="BZ79" s="103"/>
    </row>
    <row r="80" spans="1:78" x14ac:dyDescent="0.2">
      <c r="A80" s="12"/>
      <c r="B80" s="97"/>
      <c r="C80" s="97"/>
      <c r="D80" s="97"/>
      <c r="E80" s="97"/>
      <c r="F80" s="97"/>
      <c r="G80" s="97"/>
      <c r="H80" s="97"/>
      <c r="I80" s="97"/>
      <c r="J80" s="97"/>
      <c r="K80" s="97"/>
      <c r="L80" s="97"/>
      <c r="M80" s="6"/>
      <c r="N80" s="6"/>
      <c r="O80" s="6"/>
      <c r="P80" s="6"/>
      <c r="Q80" s="108"/>
      <c r="R80" s="5"/>
      <c r="S80" s="5"/>
      <c r="T80" s="5"/>
      <c r="U80" s="5"/>
      <c r="V80" s="5"/>
      <c r="W80" s="5"/>
      <c r="X80" s="5"/>
      <c r="Y80" s="5"/>
      <c r="Z80" s="150"/>
      <c r="AA80" s="103"/>
      <c r="AB80" s="103"/>
      <c r="AC80" s="103"/>
      <c r="AD80" s="103"/>
      <c r="AE80" s="103"/>
      <c r="AF80" s="103"/>
      <c r="AG80" s="103"/>
      <c r="AH80" s="103"/>
      <c r="AI80" s="103"/>
      <c r="AJ80" s="103"/>
      <c r="AK80" s="103"/>
      <c r="AL80" s="103"/>
      <c r="AM80" s="103"/>
      <c r="AN80" s="103"/>
      <c r="AO80" s="103"/>
      <c r="AP80" s="103"/>
      <c r="AQ80" s="103"/>
      <c r="AR80" s="103"/>
      <c r="AS80" s="103"/>
      <c r="AT80" s="103"/>
      <c r="AU80" s="103"/>
      <c r="AV80" s="103"/>
      <c r="AW80" s="103"/>
      <c r="AX80" s="103"/>
      <c r="AY80" s="103"/>
      <c r="AZ80" s="103"/>
      <c r="BA80" s="103"/>
      <c r="BB80" s="103"/>
      <c r="BC80" s="103"/>
      <c r="BD80" s="103"/>
      <c r="BE80" s="103"/>
      <c r="BF80" s="103"/>
      <c r="BG80" s="103"/>
      <c r="BH80" s="103"/>
      <c r="BI80" s="103"/>
      <c r="BJ80" s="103"/>
      <c r="BK80" s="103"/>
      <c r="BL80" s="103"/>
      <c r="BM80" s="103"/>
      <c r="BN80" s="103"/>
      <c r="BO80" s="103"/>
      <c r="BP80" s="103"/>
      <c r="BQ80" s="103"/>
      <c r="BR80" s="103"/>
      <c r="BS80" s="103"/>
      <c r="BT80" s="103"/>
      <c r="BU80" s="103"/>
      <c r="BV80" s="103"/>
      <c r="BW80" s="103"/>
      <c r="BX80" s="6"/>
      <c r="BY80" s="6"/>
      <c r="BZ80" s="103"/>
    </row>
    <row r="81" spans="1:78" x14ac:dyDescent="0.2">
      <c r="A81" s="13"/>
      <c r="B81" s="13"/>
      <c r="C81" s="13"/>
      <c r="D81" s="13"/>
      <c r="E81" s="59"/>
      <c r="F81" s="13"/>
      <c r="G81" s="13"/>
      <c r="H81" s="13"/>
      <c r="I81" s="13"/>
      <c r="J81" s="13"/>
      <c r="K81" s="97"/>
      <c r="L81" s="5"/>
      <c r="M81" s="6"/>
      <c r="N81" s="6"/>
      <c r="O81" s="6"/>
      <c r="P81" s="6"/>
      <c r="Q81" s="108"/>
      <c r="R81" s="5"/>
      <c r="S81" s="5"/>
      <c r="T81" s="5"/>
      <c r="U81" s="5"/>
      <c r="V81" s="5"/>
      <c r="W81" s="5"/>
      <c r="X81" s="5"/>
      <c r="Y81" s="5"/>
      <c r="Z81" s="150"/>
      <c r="AA81" s="103"/>
      <c r="AB81" s="103"/>
      <c r="AC81" s="103"/>
      <c r="AD81" s="103"/>
      <c r="AE81" s="103"/>
      <c r="AF81" s="103"/>
      <c r="AG81" s="103"/>
      <c r="AH81" s="103"/>
      <c r="AI81" s="103"/>
      <c r="AJ81" s="103"/>
      <c r="AK81" s="103"/>
      <c r="AL81" s="103"/>
      <c r="AM81" s="103"/>
      <c r="AN81" s="103"/>
      <c r="AO81" s="103"/>
      <c r="AP81" s="103"/>
      <c r="AQ81" s="103"/>
      <c r="AR81" s="103"/>
      <c r="AS81" s="103"/>
      <c r="AT81" s="103"/>
      <c r="AU81" s="103"/>
      <c r="AV81" s="103"/>
      <c r="AW81" s="103"/>
      <c r="AX81" s="103"/>
      <c r="AY81" s="103"/>
      <c r="AZ81" s="103"/>
      <c r="BA81" s="103"/>
      <c r="BB81" s="103"/>
      <c r="BC81" s="103"/>
      <c r="BD81" s="103"/>
      <c r="BE81" s="103"/>
      <c r="BF81" s="103"/>
      <c r="BG81" s="103"/>
      <c r="BH81" s="103"/>
      <c r="BI81" s="103"/>
      <c r="BJ81" s="103"/>
      <c r="BK81" s="103"/>
      <c r="BL81" s="103"/>
      <c r="BM81" s="103"/>
      <c r="BN81" s="103"/>
      <c r="BO81" s="103"/>
      <c r="BP81" s="103"/>
      <c r="BQ81" s="103"/>
      <c r="BR81" s="103"/>
      <c r="BS81" s="103"/>
      <c r="BT81" s="103"/>
      <c r="BU81" s="103"/>
      <c r="BV81" s="103"/>
      <c r="BW81" s="103"/>
      <c r="BX81" s="6"/>
      <c r="BY81" s="6"/>
      <c r="BZ81" s="103"/>
    </row>
    <row r="82" spans="1:78" x14ac:dyDescent="0.2">
      <c r="A82" s="13"/>
      <c r="B82" s="13"/>
      <c r="C82" s="13"/>
      <c r="D82" s="13"/>
      <c r="E82" s="59"/>
      <c r="F82" s="13"/>
      <c r="G82" s="13"/>
      <c r="H82" s="13"/>
      <c r="I82" s="13"/>
      <c r="J82" s="13"/>
      <c r="K82" s="97"/>
      <c r="L82" s="5"/>
      <c r="M82" s="6"/>
      <c r="N82" s="6"/>
      <c r="O82" s="6"/>
      <c r="P82" s="6"/>
      <c r="Q82" s="108"/>
      <c r="R82" s="5"/>
      <c r="S82" s="5"/>
      <c r="T82" s="5"/>
      <c r="U82" s="5"/>
      <c r="V82" s="5"/>
      <c r="W82" s="5"/>
      <c r="X82" s="5"/>
      <c r="Y82" s="5"/>
      <c r="Z82" s="150"/>
      <c r="AA82" s="103"/>
      <c r="AB82" s="103"/>
      <c r="AC82" s="103"/>
      <c r="AD82" s="103"/>
      <c r="AE82" s="103"/>
      <c r="AF82" s="103"/>
      <c r="AG82" s="103"/>
      <c r="AH82" s="103"/>
      <c r="AI82" s="103"/>
      <c r="AJ82" s="103"/>
      <c r="AK82" s="103"/>
      <c r="AL82" s="103"/>
      <c r="AM82" s="103"/>
      <c r="AN82" s="103"/>
      <c r="AO82" s="103"/>
      <c r="AP82" s="103"/>
      <c r="AQ82" s="103"/>
      <c r="AR82" s="103"/>
      <c r="AS82" s="103"/>
      <c r="AT82" s="103"/>
      <c r="AU82" s="103"/>
      <c r="AV82" s="103"/>
      <c r="AW82" s="103"/>
      <c r="AX82" s="103"/>
      <c r="AY82" s="103"/>
      <c r="AZ82" s="103"/>
      <c r="BA82" s="103"/>
      <c r="BB82" s="103"/>
      <c r="BC82" s="103"/>
      <c r="BD82" s="103"/>
      <c r="BE82" s="103"/>
      <c r="BF82" s="103"/>
      <c r="BG82" s="103"/>
      <c r="BH82" s="103"/>
      <c r="BI82" s="103"/>
      <c r="BJ82" s="103"/>
      <c r="BK82" s="103"/>
      <c r="BL82" s="103"/>
      <c r="BM82" s="103"/>
      <c r="BN82" s="103"/>
      <c r="BO82" s="103"/>
      <c r="BP82" s="103"/>
      <c r="BQ82" s="103"/>
      <c r="BR82" s="103"/>
      <c r="BS82" s="103"/>
      <c r="BT82" s="103"/>
      <c r="BU82" s="103"/>
      <c r="BV82" s="103"/>
      <c r="BW82" s="103"/>
      <c r="BX82" s="6"/>
      <c r="BY82" s="6"/>
      <c r="BZ82" s="103"/>
    </row>
    <row r="83" spans="1:78" x14ac:dyDescent="0.2">
      <c r="A83" s="13"/>
      <c r="B83" s="13"/>
      <c r="C83" s="13"/>
      <c r="D83" s="13"/>
      <c r="E83" s="59"/>
      <c r="F83" s="13"/>
      <c r="G83" s="13"/>
      <c r="H83" s="13"/>
      <c r="I83" s="13"/>
      <c r="J83" s="13"/>
      <c r="K83" s="97"/>
      <c r="L83" s="5"/>
      <c r="M83" s="6"/>
      <c r="N83" s="6"/>
      <c r="O83" s="6"/>
      <c r="P83" s="6"/>
      <c r="Q83" s="108"/>
      <c r="R83" s="5"/>
      <c r="S83" s="5"/>
      <c r="T83" s="5"/>
      <c r="U83" s="5"/>
      <c r="V83" s="5"/>
      <c r="W83" s="5"/>
      <c r="X83" s="5"/>
      <c r="Y83" s="5"/>
      <c r="Z83" s="150"/>
      <c r="AA83" s="103"/>
      <c r="AB83" s="103"/>
      <c r="AC83" s="103"/>
      <c r="AD83" s="103"/>
      <c r="AE83" s="103"/>
      <c r="AF83" s="103"/>
      <c r="AG83" s="103"/>
      <c r="AH83" s="103"/>
      <c r="AI83" s="103"/>
      <c r="AJ83" s="103"/>
      <c r="AK83" s="103"/>
      <c r="AL83" s="103"/>
      <c r="AM83" s="103"/>
      <c r="AN83" s="103"/>
      <c r="AO83" s="103"/>
      <c r="AP83" s="103"/>
      <c r="AQ83" s="103"/>
      <c r="AR83" s="103"/>
      <c r="AS83" s="103"/>
      <c r="AT83" s="103"/>
      <c r="AU83" s="103"/>
      <c r="AV83" s="103"/>
      <c r="AW83" s="103"/>
      <c r="AX83" s="103"/>
      <c r="AY83" s="103"/>
      <c r="AZ83" s="103"/>
      <c r="BA83" s="103"/>
      <c r="BB83" s="103"/>
      <c r="BC83" s="103"/>
      <c r="BD83" s="103"/>
      <c r="BE83" s="103"/>
      <c r="BF83" s="103"/>
      <c r="BG83" s="103"/>
      <c r="BH83" s="103"/>
      <c r="BI83" s="103"/>
      <c r="BJ83" s="103"/>
      <c r="BK83" s="103"/>
      <c r="BL83" s="103"/>
      <c r="BM83" s="103"/>
      <c r="BN83" s="103"/>
      <c r="BO83" s="103"/>
      <c r="BP83" s="103"/>
      <c r="BQ83" s="103"/>
      <c r="BR83" s="103"/>
      <c r="BS83" s="103"/>
      <c r="BT83" s="103"/>
      <c r="BU83" s="103"/>
      <c r="BV83" s="103"/>
      <c r="BW83" s="103"/>
      <c r="BX83" s="6"/>
      <c r="BY83" s="6"/>
      <c r="BZ83" s="103"/>
    </row>
    <row r="84" spans="1:78" x14ac:dyDescent="0.2">
      <c r="A84" s="13"/>
      <c r="B84" s="13"/>
      <c r="C84" s="13"/>
      <c r="D84" s="13"/>
      <c r="E84" s="59"/>
      <c r="F84" s="13"/>
      <c r="G84" s="13"/>
      <c r="H84" s="13"/>
      <c r="I84" s="13"/>
      <c r="J84" s="13"/>
      <c r="K84" s="97"/>
      <c r="L84" s="5"/>
      <c r="M84" s="6"/>
      <c r="N84" s="6"/>
      <c r="O84" s="6"/>
      <c r="P84" s="6"/>
      <c r="Q84" s="108"/>
      <c r="R84" s="5"/>
      <c r="S84" s="5"/>
      <c r="T84" s="5"/>
      <c r="U84" s="5"/>
      <c r="V84" s="5"/>
      <c r="W84" s="5"/>
      <c r="X84" s="5"/>
      <c r="Y84" s="5"/>
      <c r="Z84" s="150"/>
      <c r="AA84" s="103"/>
      <c r="AB84" s="103"/>
      <c r="AC84" s="103"/>
      <c r="AD84" s="103"/>
      <c r="AE84" s="103"/>
      <c r="AF84" s="103"/>
      <c r="AG84" s="103"/>
      <c r="AH84" s="103"/>
      <c r="AI84" s="103"/>
      <c r="AJ84" s="103"/>
      <c r="AK84" s="103"/>
      <c r="AL84" s="103"/>
      <c r="AM84" s="103"/>
      <c r="AN84" s="103"/>
      <c r="AO84" s="103"/>
      <c r="AP84" s="103"/>
      <c r="AQ84" s="103"/>
      <c r="AR84" s="103"/>
      <c r="AS84" s="103"/>
      <c r="AT84" s="103"/>
      <c r="AU84" s="103"/>
      <c r="AV84" s="103"/>
      <c r="AW84" s="103"/>
      <c r="AX84" s="103"/>
      <c r="AY84" s="103"/>
      <c r="AZ84" s="103"/>
      <c r="BA84" s="103"/>
      <c r="BB84" s="103"/>
      <c r="BC84" s="103"/>
      <c r="BD84" s="103"/>
      <c r="BE84" s="103"/>
      <c r="BF84" s="103"/>
      <c r="BG84" s="103"/>
      <c r="BH84" s="103"/>
      <c r="BI84" s="103"/>
      <c r="BJ84" s="103"/>
      <c r="BK84" s="103"/>
      <c r="BL84" s="103"/>
      <c r="BM84" s="103"/>
      <c r="BN84" s="103"/>
      <c r="BO84" s="103"/>
      <c r="BP84" s="103"/>
      <c r="BQ84" s="103"/>
      <c r="BR84" s="103"/>
      <c r="BS84" s="103"/>
      <c r="BT84" s="103"/>
      <c r="BU84" s="103"/>
      <c r="BV84" s="103"/>
      <c r="BW84" s="103"/>
      <c r="BX84" s="6"/>
      <c r="BY84" s="6"/>
      <c r="BZ84" s="103"/>
    </row>
    <row r="85" spans="1:78" x14ac:dyDescent="0.2">
      <c r="A85" s="5"/>
      <c r="B85" s="5"/>
      <c r="C85" s="5"/>
      <c r="D85" s="5"/>
      <c r="E85" s="5"/>
      <c r="F85" s="5"/>
      <c r="G85" s="5"/>
      <c r="H85" s="5"/>
      <c r="I85" s="5"/>
      <c r="J85" s="5"/>
      <c r="K85" s="35"/>
      <c r="L85" s="5"/>
      <c r="M85" s="6"/>
      <c r="N85" s="6"/>
      <c r="O85" s="6"/>
      <c r="P85" s="6"/>
      <c r="Q85" s="108"/>
      <c r="R85" s="5"/>
      <c r="S85" s="5"/>
      <c r="T85" s="5"/>
      <c r="U85" s="5"/>
      <c r="V85" s="5"/>
      <c r="W85" s="5"/>
      <c r="X85" s="5"/>
      <c r="Y85" s="5"/>
      <c r="Z85" s="150"/>
      <c r="AA85" s="103"/>
      <c r="AB85" s="103"/>
      <c r="AC85" s="103"/>
      <c r="AD85" s="103"/>
      <c r="AE85" s="103"/>
      <c r="AF85" s="103"/>
      <c r="AG85" s="103"/>
      <c r="AH85" s="103"/>
      <c r="AI85" s="103"/>
      <c r="AJ85" s="103"/>
      <c r="AK85" s="103"/>
      <c r="AL85" s="103"/>
      <c r="AM85" s="103"/>
      <c r="AN85" s="103"/>
      <c r="AO85" s="103"/>
      <c r="AP85" s="103"/>
      <c r="AQ85" s="103"/>
      <c r="AR85" s="103"/>
      <c r="AS85" s="103"/>
      <c r="AT85" s="103"/>
      <c r="AU85" s="103"/>
      <c r="AV85" s="103"/>
      <c r="AW85" s="103"/>
      <c r="AX85" s="103"/>
      <c r="AY85" s="103"/>
      <c r="AZ85" s="103"/>
      <c r="BA85" s="103"/>
      <c r="BB85" s="103"/>
      <c r="BC85" s="103"/>
      <c r="BD85" s="103"/>
      <c r="BE85" s="103"/>
      <c r="BF85" s="103"/>
      <c r="BG85" s="103"/>
      <c r="BH85" s="103"/>
      <c r="BI85" s="103"/>
      <c r="BJ85" s="103"/>
      <c r="BK85" s="103"/>
      <c r="BL85" s="103"/>
      <c r="BM85" s="103"/>
      <c r="BN85" s="103"/>
      <c r="BO85" s="103"/>
      <c r="BP85" s="103"/>
      <c r="BQ85" s="103"/>
      <c r="BR85" s="103"/>
      <c r="BS85" s="103"/>
      <c r="BT85" s="103"/>
      <c r="BU85" s="103"/>
      <c r="BV85" s="103"/>
      <c r="BW85" s="103"/>
      <c r="BX85" s="6"/>
      <c r="BY85" s="6"/>
      <c r="BZ85" s="103"/>
    </row>
    <row r="86" spans="1:78" x14ac:dyDescent="0.2">
      <c r="A86" s="13"/>
      <c r="B86" s="13"/>
      <c r="C86" s="13"/>
      <c r="D86" s="13"/>
      <c r="E86" s="59"/>
      <c r="F86" s="13"/>
      <c r="G86" s="13"/>
      <c r="H86" s="13"/>
      <c r="I86" s="13"/>
      <c r="J86" s="13"/>
      <c r="K86" s="97"/>
      <c r="L86" s="5"/>
      <c r="M86" s="6"/>
      <c r="N86" s="6"/>
      <c r="O86" s="6"/>
      <c r="P86" s="6"/>
      <c r="Q86" s="108"/>
      <c r="R86" s="5"/>
      <c r="S86" s="5"/>
      <c r="T86" s="5"/>
      <c r="U86" s="5"/>
      <c r="V86" s="5"/>
      <c r="W86" s="5"/>
      <c r="X86" s="5"/>
      <c r="Y86" s="5"/>
      <c r="Z86" s="150"/>
      <c r="AA86" s="103"/>
      <c r="AB86" s="103"/>
      <c r="AC86" s="103"/>
      <c r="AD86" s="10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103"/>
      <c r="BE86" s="103"/>
      <c r="BF86" s="103"/>
      <c r="BG86" s="103"/>
      <c r="BH86" s="103"/>
      <c r="BI86" s="103"/>
      <c r="BJ86" s="103"/>
      <c r="BK86" s="103"/>
      <c r="BL86" s="103"/>
      <c r="BM86" s="103"/>
      <c r="BN86" s="103"/>
      <c r="BO86" s="103"/>
      <c r="BP86" s="103"/>
      <c r="BQ86" s="103"/>
      <c r="BR86" s="103"/>
      <c r="BS86" s="103"/>
      <c r="BT86" s="103"/>
      <c r="BU86" s="103"/>
      <c r="BV86" s="103"/>
      <c r="BW86" s="103"/>
      <c r="BX86" s="6"/>
      <c r="BY86" s="6"/>
      <c r="BZ86" s="103"/>
    </row>
    <row r="87" spans="1:78" x14ac:dyDescent="0.2">
      <c r="A87" s="14"/>
      <c r="B87" s="13"/>
      <c r="C87" s="13"/>
      <c r="D87" s="13"/>
      <c r="E87" s="59"/>
      <c r="F87" s="13"/>
      <c r="G87" s="13"/>
      <c r="H87" s="13"/>
      <c r="I87" s="13"/>
      <c r="J87" s="13"/>
      <c r="K87" s="97"/>
      <c r="L87" s="5"/>
      <c r="M87" s="6"/>
      <c r="N87" s="6"/>
      <c r="O87" s="6"/>
      <c r="P87" s="6"/>
      <c r="Q87" s="108"/>
      <c r="R87" s="5"/>
      <c r="S87" s="5"/>
      <c r="T87" s="5"/>
      <c r="U87" s="5"/>
      <c r="V87" s="5"/>
      <c r="W87" s="5"/>
      <c r="X87" s="5"/>
      <c r="Y87" s="5"/>
      <c r="Z87" s="150"/>
      <c r="AA87" s="103"/>
      <c r="AB87" s="103"/>
      <c r="AC87" s="103"/>
      <c r="AD87" s="103"/>
      <c r="AE87" s="103"/>
      <c r="AF87" s="103"/>
      <c r="AG87" s="103"/>
      <c r="AH87" s="103"/>
      <c r="AI87" s="103"/>
      <c r="AJ87" s="103"/>
      <c r="AK87" s="103"/>
      <c r="AL87" s="103"/>
      <c r="AM87" s="103"/>
      <c r="AN87" s="103"/>
      <c r="AO87" s="103"/>
      <c r="AP87" s="103"/>
      <c r="AQ87" s="103"/>
      <c r="AR87" s="103"/>
      <c r="AS87" s="103"/>
      <c r="AT87" s="103"/>
      <c r="AU87" s="103"/>
      <c r="AV87" s="103"/>
      <c r="AW87" s="103"/>
      <c r="AX87" s="103"/>
      <c r="AY87" s="103"/>
      <c r="AZ87" s="103"/>
      <c r="BA87" s="103"/>
      <c r="BB87" s="103"/>
      <c r="BC87" s="103"/>
      <c r="BD87" s="103"/>
      <c r="BE87" s="103"/>
      <c r="BF87" s="103"/>
      <c r="BG87" s="103"/>
      <c r="BH87" s="103"/>
      <c r="BI87" s="103"/>
      <c r="BJ87" s="103"/>
      <c r="BK87" s="103"/>
      <c r="BL87" s="103"/>
      <c r="BM87" s="103"/>
      <c r="BN87" s="103"/>
      <c r="BO87" s="103"/>
      <c r="BP87" s="103"/>
      <c r="BQ87" s="103"/>
      <c r="BR87" s="103"/>
      <c r="BS87" s="103"/>
      <c r="BT87" s="103"/>
      <c r="BU87" s="103"/>
      <c r="BV87" s="103"/>
      <c r="BW87" s="103"/>
      <c r="BX87" s="6"/>
      <c r="BY87" s="6"/>
      <c r="BZ87" s="103"/>
    </row>
    <row r="88" spans="1:78" x14ac:dyDescent="0.2">
      <c r="A88" s="14"/>
      <c r="B88" s="13"/>
      <c r="C88" s="13"/>
      <c r="D88" s="13"/>
      <c r="E88" s="59"/>
      <c r="F88" s="13"/>
      <c r="G88" s="13"/>
      <c r="H88" s="13"/>
      <c r="I88" s="13"/>
      <c r="J88" s="13"/>
      <c r="K88" s="97"/>
      <c r="L88" s="5"/>
      <c r="M88" s="6"/>
      <c r="N88" s="6"/>
      <c r="O88" s="6"/>
      <c r="P88" s="6"/>
      <c r="Q88" s="108"/>
      <c r="R88" s="5"/>
      <c r="S88" s="5"/>
      <c r="T88" s="5"/>
      <c r="U88" s="5"/>
      <c r="V88" s="5"/>
      <c r="W88" s="5"/>
      <c r="X88" s="5"/>
      <c r="Y88" s="5"/>
      <c r="Z88" s="150"/>
      <c r="AA88" s="103"/>
      <c r="AB88" s="103"/>
      <c r="AC88" s="103"/>
      <c r="AD88" s="103"/>
      <c r="AE88" s="103"/>
      <c r="AF88" s="103"/>
      <c r="AG88" s="103"/>
      <c r="AH88" s="103"/>
      <c r="AI88" s="103"/>
      <c r="AJ88" s="103"/>
      <c r="AK88" s="103"/>
      <c r="AL88" s="103"/>
      <c r="AM88" s="103"/>
      <c r="AN88" s="103"/>
      <c r="AO88" s="103"/>
      <c r="AP88" s="103"/>
      <c r="AQ88" s="103"/>
      <c r="AR88" s="103"/>
      <c r="AS88" s="103"/>
      <c r="AT88" s="103"/>
      <c r="AU88" s="103"/>
      <c r="AV88" s="103"/>
      <c r="AW88" s="103"/>
      <c r="AX88" s="103"/>
      <c r="AY88" s="103"/>
      <c r="AZ88" s="103"/>
      <c r="BA88" s="103"/>
      <c r="BB88" s="103"/>
      <c r="BC88" s="103"/>
      <c r="BD88" s="103"/>
      <c r="BE88" s="103"/>
      <c r="BF88" s="103"/>
      <c r="BG88" s="103"/>
      <c r="BH88" s="103"/>
      <c r="BI88" s="103"/>
      <c r="BJ88" s="103"/>
      <c r="BK88" s="103"/>
      <c r="BL88" s="103"/>
      <c r="BM88" s="103"/>
      <c r="BN88" s="103"/>
      <c r="BO88" s="103"/>
      <c r="BP88" s="103"/>
      <c r="BQ88" s="103"/>
      <c r="BR88" s="103"/>
      <c r="BS88" s="103"/>
      <c r="BT88" s="103"/>
      <c r="BU88" s="103"/>
      <c r="BV88" s="103"/>
      <c r="BW88" s="103"/>
      <c r="BX88" s="6"/>
      <c r="BY88" s="6"/>
      <c r="BZ88" s="103"/>
    </row>
    <row r="89" spans="1:78" x14ac:dyDescent="0.2">
      <c r="A89" s="5"/>
      <c r="B89" s="5"/>
      <c r="C89" s="5"/>
      <c r="D89" s="5"/>
      <c r="E89" s="5"/>
      <c r="F89" s="5"/>
      <c r="G89" s="5"/>
      <c r="H89" s="5"/>
      <c r="I89" s="5"/>
      <c r="J89" s="5"/>
      <c r="K89" s="5"/>
      <c r="L89" s="35"/>
      <c r="M89" s="6"/>
      <c r="N89" s="6"/>
      <c r="O89" s="6"/>
      <c r="P89" s="6"/>
      <c r="Q89" s="108"/>
      <c r="R89" s="5"/>
      <c r="S89" s="5"/>
      <c r="T89" s="5"/>
      <c r="U89" s="5"/>
      <c r="V89" s="5"/>
      <c r="W89" s="5"/>
      <c r="X89" s="5"/>
      <c r="Y89" s="5"/>
      <c r="Z89" s="150"/>
      <c r="AA89" s="103"/>
      <c r="AB89" s="103"/>
      <c r="AC89" s="103"/>
      <c r="AD89" s="103"/>
      <c r="AE89" s="103"/>
      <c r="AF89" s="103"/>
      <c r="AG89" s="103"/>
      <c r="AH89" s="103"/>
      <c r="AI89" s="103"/>
      <c r="AJ89" s="103"/>
      <c r="AK89" s="103"/>
      <c r="AL89" s="103"/>
      <c r="AM89" s="103"/>
      <c r="AN89" s="103"/>
      <c r="AO89" s="103"/>
      <c r="AP89" s="103"/>
      <c r="AQ89" s="103"/>
      <c r="AR89" s="103"/>
      <c r="AS89" s="103"/>
      <c r="AT89" s="103"/>
      <c r="AU89" s="103"/>
      <c r="AV89" s="103"/>
      <c r="AW89" s="103"/>
      <c r="AX89" s="103"/>
      <c r="AY89" s="103"/>
      <c r="AZ89" s="103"/>
      <c r="BA89" s="103"/>
      <c r="BB89" s="103"/>
      <c r="BC89" s="103"/>
      <c r="BD89" s="103"/>
      <c r="BE89" s="103"/>
      <c r="BF89" s="103"/>
      <c r="BG89" s="103"/>
      <c r="BH89" s="103"/>
      <c r="BI89" s="103"/>
      <c r="BJ89" s="103"/>
      <c r="BK89" s="103"/>
      <c r="BL89" s="103"/>
      <c r="BM89" s="103"/>
      <c r="BN89" s="103"/>
      <c r="BO89" s="103"/>
      <c r="BP89" s="103"/>
      <c r="BQ89" s="103"/>
      <c r="BR89" s="103"/>
      <c r="BS89" s="103"/>
      <c r="BT89" s="103"/>
      <c r="BU89" s="103"/>
      <c r="BV89" s="103"/>
      <c r="BW89" s="103"/>
      <c r="BX89" s="6"/>
      <c r="BY89" s="6"/>
      <c r="BZ89" s="103"/>
    </row>
    <row r="90" spans="1:78" x14ac:dyDescent="0.2">
      <c r="A90" s="8"/>
      <c r="B90" s="5"/>
      <c r="C90" s="5"/>
      <c r="D90" s="5"/>
      <c r="E90" s="60"/>
      <c r="F90" s="5"/>
      <c r="G90" s="5"/>
      <c r="H90" s="5"/>
      <c r="I90" s="5"/>
      <c r="J90" s="5"/>
      <c r="K90" s="97"/>
      <c r="L90" s="5"/>
      <c r="M90" s="4"/>
      <c r="N90" s="6"/>
      <c r="O90" s="6"/>
      <c r="P90" s="6"/>
      <c r="Q90" s="109"/>
      <c r="R90" s="5"/>
      <c r="S90" s="5"/>
      <c r="T90" s="5"/>
      <c r="U90" s="5"/>
      <c r="V90" s="5"/>
      <c r="W90" s="5"/>
      <c r="X90" s="5"/>
      <c r="Y90" s="5"/>
      <c r="Z90" s="150"/>
      <c r="AA90" s="103"/>
      <c r="AB90" s="103"/>
      <c r="AC90" s="103"/>
      <c r="AD90" s="103"/>
      <c r="AE90" s="103"/>
      <c r="AF90" s="103"/>
      <c r="AG90" s="103"/>
      <c r="AH90" s="103"/>
      <c r="AI90" s="103"/>
      <c r="AJ90" s="103"/>
      <c r="AK90" s="103"/>
      <c r="AL90" s="103"/>
      <c r="AM90" s="103"/>
      <c r="AN90" s="103"/>
      <c r="AO90" s="103"/>
      <c r="AP90" s="103"/>
      <c r="AQ90" s="103"/>
      <c r="AR90" s="103"/>
      <c r="AS90" s="103"/>
      <c r="AT90" s="103"/>
      <c r="AU90" s="103"/>
      <c r="AV90" s="103"/>
      <c r="AW90" s="103"/>
      <c r="AX90" s="103"/>
      <c r="AY90" s="103"/>
      <c r="AZ90" s="103"/>
      <c r="BA90" s="103"/>
      <c r="BB90" s="103"/>
      <c r="BC90" s="103"/>
      <c r="BD90" s="103"/>
      <c r="BE90" s="103"/>
      <c r="BF90" s="103"/>
      <c r="BG90" s="103"/>
      <c r="BH90" s="103"/>
      <c r="BI90" s="103"/>
      <c r="BJ90" s="103"/>
      <c r="BK90" s="103"/>
      <c r="BL90" s="103"/>
      <c r="BM90" s="103"/>
      <c r="BN90" s="103"/>
      <c r="BO90" s="103"/>
      <c r="BP90" s="103"/>
      <c r="BQ90" s="103"/>
      <c r="BR90" s="103"/>
      <c r="BS90" s="103"/>
      <c r="BT90" s="103"/>
      <c r="BU90" s="103"/>
      <c r="BV90" s="103"/>
      <c r="BW90" s="103"/>
      <c r="BX90" s="6"/>
      <c r="BY90" s="6"/>
      <c r="BZ90" s="103"/>
    </row>
    <row r="91" spans="1:78" x14ac:dyDescent="0.2">
      <c r="A91" s="5"/>
      <c r="B91" s="5"/>
      <c r="C91" s="5"/>
      <c r="D91" s="5"/>
      <c r="E91" s="60"/>
      <c r="F91" s="5"/>
      <c r="G91" s="5"/>
      <c r="H91" s="13"/>
      <c r="I91" s="5"/>
      <c r="J91" s="5"/>
      <c r="K91" s="97"/>
      <c r="L91" s="5"/>
      <c r="M91" s="4"/>
      <c r="N91" s="6"/>
      <c r="O91" s="6"/>
      <c r="P91" s="6"/>
      <c r="Q91" s="109"/>
      <c r="R91" s="5"/>
      <c r="S91" s="5"/>
      <c r="T91" s="5"/>
      <c r="U91" s="5"/>
      <c r="V91" s="5"/>
      <c r="W91" s="5"/>
      <c r="X91" s="5"/>
      <c r="Y91" s="5"/>
      <c r="Z91" s="150"/>
      <c r="AA91" s="103"/>
      <c r="AB91" s="103"/>
      <c r="AC91" s="103"/>
      <c r="AD91" s="103"/>
      <c r="AE91" s="103"/>
      <c r="AF91" s="103"/>
      <c r="AG91" s="103"/>
      <c r="AH91" s="103"/>
      <c r="AI91" s="103"/>
      <c r="AJ91" s="103"/>
      <c r="AK91" s="103"/>
      <c r="AL91" s="103"/>
      <c r="AM91" s="103"/>
      <c r="AN91" s="103"/>
      <c r="AO91" s="103"/>
      <c r="AP91" s="103"/>
      <c r="AQ91" s="103"/>
      <c r="AR91" s="103"/>
      <c r="AS91" s="103"/>
      <c r="AT91" s="103"/>
      <c r="AU91" s="103"/>
      <c r="AV91" s="103"/>
      <c r="AW91" s="103"/>
      <c r="AX91" s="103"/>
      <c r="AY91" s="103"/>
      <c r="AZ91" s="103"/>
      <c r="BA91" s="103"/>
      <c r="BB91" s="103"/>
      <c r="BC91" s="103"/>
      <c r="BD91" s="103"/>
      <c r="BE91" s="103"/>
      <c r="BF91" s="103"/>
      <c r="BG91" s="103"/>
      <c r="BH91" s="103"/>
      <c r="BI91" s="103"/>
      <c r="BJ91" s="103"/>
      <c r="BK91" s="103"/>
      <c r="BL91" s="103"/>
      <c r="BM91" s="103"/>
      <c r="BN91" s="103"/>
      <c r="BO91" s="103"/>
      <c r="BP91" s="103"/>
      <c r="BQ91" s="103"/>
      <c r="BR91" s="103"/>
      <c r="BS91" s="103"/>
      <c r="BT91" s="103"/>
      <c r="BU91" s="103"/>
      <c r="BV91" s="103"/>
      <c r="BW91" s="103"/>
      <c r="BX91" s="6"/>
      <c r="BY91" s="6"/>
      <c r="BZ91" s="103"/>
    </row>
    <row r="92" spans="1:78" x14ac:dyDescent="0.2">
      <c r="A92" s="5"/>
      <c r="B92" s="5"/>
      <c r="C92" s="5"/>
      <c r="D92" s="5"/>
      <c r="E92" s="60"/>
      <c r="F92" s="5"/>
      <c r="G92" s="5"/>
      <c r="H92" s="13"/>
      <c r="I92" s="5"/>
      <c r="J92" s="5"/>
      <c r="K92" s="97"/>
      <c r="L92" s="5"/>
      <c r="M92" s="4"/>
      <c r="N92" s="6"/>
      <c r="O92" s="6"/>
      <c r="P92" s="6"/>
      <c r="Q92" s="109"/>
      <c r="R92" s="5"/>
      <c r="S92" s="5"/>
      <c r="T92" s="5"/>
      <c r="U92" s="5"/>
      <c r="V92" s="5"/>
      <c r="W92" s="5"/>
      <c r="X92" s="5"/>
      <c r="Y92" s="5"/>
      <c r="Z92" s="150"/>
      <c r="AA92" s="103"/>
      <c r="AB92" s="103"/>
      <c r="AC92" s="103"/>
      <c r="AD92" s="103"/>
      <c r="AE92" s="103"/>
      <c r="AF92" s="103"/>
      <c r="AG92" s="103"/>
      <c r="AH92" s="103"/>
      <c r="AI92" s="103"/>
      <c r="AJ92" s="103"/>
      <c r="AK92" s="103"/>
      <c r="AL92" s="103"/>
      <c r="AM92" s="103"/>
      <c r="AN92" s="103"/>
      <c r="AO92" s="103"/>
      <c r="AP92" s="103"/>
      <c r="AQ92" s="103"/>
      <c r="AR92" s="103"/>
      <c r="AS92" s="103"/>
      <c r="AT92" s="103"/>
      <c r="AU92" s="103"/>
      <c r="AV92" s="103"/>
      <c r="AW92" s="103"/>
      <c r="AX92" s="103"/>
      <c r="AY92" s="103"/>
      <c r="AZ92" s="103"/>
      <c r="BA92" s="103"/>
      <c r="BB92" s="103"/>
      <c r="BC92" s="103"/>
      <c r="BD92" s="103"/>
      <c r="BE92" s="103"/>
      <c r="BF92" s="103"/>
      <c r="BG92" s="103"/>
      <c r="BH92" s="103"/>
      <c r="BI92" s="103"/>
      <c r="BJ92" s="103"/>
      <c r="BK92" s="103"/>
      <c r="BL92" s="103"/>
      <c r="BM92" s="103"/>
      <c r="BN92" s="103"/>
      <c r="BO92" s="103"/>
      <c r="BP92" s="103"/>
      <c r="BQ92" s="103"/>
      <c r="BR92" s="103"/>
      <c r="BS92" s="103"/>
      <c r="BT92" s="103"/>
      <c r="BU92" s="103"/>
      <c r="BV92" s="103"/>
      <c r="BW92" s="103"/>
      <c r="BX92" s="6"/>
      <c r="BY92" s="6"/>
      <c r="BZ92" s="103"/>
    </row>
    <row r="93" spans="1:78" x14ac:dyDescent="0.2">
      <c r="A93" s="5"/>
      <c r="B93" s="5"/>
      <c r="C93" s="5"/>
      <c r="D93" s="5"/>
      <c r="E93" s="60"/>
      <c r="F93" s="5"/>
      <c r="G93" s="5"/>
      <c r="H93" s="13"/>
      <c r="I93" s="5"/>
      <c r="J93" s="5"/>
      <c r="K93" s="97"/>
      <c r="L93" s="5"/>
      <c r="M93" s="4"/>
      <c r="N93" s="6"/>
      <c r="O93" s="6"/>
      <c r="P93" s="6"/>
      <c r="Q93" s="109"/>
      <c r="R93" s="5"/>
      <c r="S93" s="5"/>
      <c r="T93" s="5"/>
      <c r="U93" s="5"/>
      <c r="V93" s="5"/>
      <c r="W93" s="5"/>
      <c r="X93" s="5"/>
      <c r="Y93" s="5"/>
      <c r="Z93" s="150"/>
      <c r="AA93" s="103"/>
      <c r="AB93" s="103"/>
      <c r="AC93" s="103"/>
      <c r="AD93" s="103"/>
      <c r="AE93" s="103"/>
      <c r="AF93" s="103"/>
      <c r="AG93" s="103"/>
      <c r="AH93" s="103"/>
      <c r="AI93" s="103"/>
      <c r="AJ93" s="103"/>
      <c r="AK93" s="103"/>
      <c r="AL93" s="103"/>
      <c r="AM93" s="103"/>
      <c r="AN93" s="103"/>
      <c r="AO93" s="103"/>
      <c r="AP93" s="103"/>
      <c r="AQ93" s="103"/>
      <c r="AR93" s="103"/>
      <c r="AS93" s="103"/>
      <c r="AT93" s="103"/>
      <c r="AU93" s="103"/>
      <c r="AV93" s="103"/>
      <c r="AW93" s="103"/>
      <c r="AX93" s="103"/>
      <c r="AY93" s="103"/>
      <c r="AZ93" s="103"/>
      <c r="BA93" s="103"/>
      <c r="BB93" s="103"/>
      <c r="BC93" s="103"/>
      <c r="BD93" s="103"/>
      <c r="BE93" s="103"/>
      <c r="BF93" s="103"/>
      <c r="BG93" s="103"/>
      <c r="BH93" s="103"/>
      <c r="BI93" s="103"/>
      <c r="BJ93" s="103"/>
      <c r="BK93" s="103"/>
      <c r="BL93" s="103"/>
      <c r="BM93" s="103"/>
      <c r="BN93" s="103"/>
      <c r="BO93" s="103"/>
      <c r="BP93" s="103"/>
      <c r="BQ93" s="103"/>
      <c r="BR93" s="103"/>
      <c r="BS93" s="103"/>
      <c r="BT93" s="103"/>
      <c r="BU93" s="103"/>
      <c r="BV93" s="103"/>
      <c r="BW93" s="103"/>
      <c r="BX93" s="6"/>
      <c r="BY93" s="6"/>
      <c r="BZ93" s="103"/>
    </row>
    <row r="94" spans="1:78" x14ac:dyDescent="0.2">
      <c r="A94" s="5"/>
      <c r="B94" s="5"/>
      <c r="C94" s="5"/>
      <c r="D94" s="5"/>
      <c r="E94" s="60"/>
      <c r="F94" s="5"/>
      <c r="G94" s="5"/>
      <c r="H94" s="13"/>
      <c r="I94" s="5"/>
      <c r="J94" s="5"/>
      <c r="K94" s="97"/>
      <c r="L94" s="5"/>
      <c r="M94" s="4"/>
      <c r="N94" s="6"/>
      <c r="O94" s="6"/>
      <c r="P94" s="6"/>
      <c r="Q94" s="109"/>
      <c r="R94" s="5"/>
      <c r="S94" s="5"/>
      <c r="T94" s="5"/>
      <c r="U94" s="5"/>
      <c r="V94" s="5"/>
      <c r="W94" s="5"/>
      <c r="X94" s="5"/>
      <c r="Y94" s="5"/>
      <c r="Z94" s="150"/>
      <c r="AA94" s="103"/>
      <c r="AB94" s="103"/>
      <c r="AC94" s="103"/>
      <c r="AD94" s="103"/>
      <c r="AE94" s="103"/>
      <c r="AF94" s="103"/>
      <c r="AG94" s="103"/>
      <c r="AH94" s="103"/>
      <c r="AI94" s="103"/>
      <c r="AJ94" s="103"/>
      <c r="AK94" s="103"/>
      <c r="AL94" s="103"/>
      <c r="AM94" s="103"/>
      <c r="AN94" s="103"/>
      <c r="AO94" s="103"/>
      <c r="AP94" s="103"/>
      <c r="AQ94" s="103"/>
      <c r="AR94" s="103"/>
      <c r="AS94" s="103"/>
      <c r="AT94" s="103"/>
      <c r="AU94" s="103"/>
      <c r="AV94" s="103"/>
      <c r="AW94" s="103"/>
      <c r="AX94" s="103"/>
      <c r="AY94" s="103"/>
      <c r="AZ94" s="103"/>
      <c r="BA94" s="103"/>
      <c r="BB94" s="103"/>
      <c r="BC94" s="103"/>
      <c r="BD94" s="103"/>
      <c r="BE94" s="103"/>
      <c r="BF94" s="103"/>
      <c r="BG94" s="103"/>
      <c r="BH94" s="103"/>
      <c r="BI94" s="103"/>
      <c r="BJ94" s="103"/>
      <c r="BK94" s="103"/>
      <c r="BL94" s="103"/>
      <c r="BM94" s="103"/>
      <c r="BN94" s="103"/>
      <c r="BO94" s="103"/>
      <c r="BP94" s="103"/>
      <c r="BQ94" s="103"/>
      <c r="BR94" s="103"/>
      <c r="BS94" s="103"/>
      <c r="BT94" s="103"/>
      <c r="BU94" s="103"/>
      <c r="BV94" s="103"/>
      <c r="BW94" s="103"/>
      <c r="BX94" s="6"/>
      <c r="BY94" s="6"/>
      <c r="BZ94" s="103"/>
    </row>
    <row r="95" spans="1:78" x14ac:dyDescent="0.2">
      <c r="A95" s="5"/>
      <c r="B95" s="5"/>
      <c r="C95" s="5"/>
      <c r="D95" s="5"/>
      <c r="E95" s="60"/>
      <c r="F95" s="5"/>
      <c r="G95" s="5"/>
      <c r="H95" s="13"/>
      <c r="I95" s="5"/>
      <c r="J95" s="5"/>
      <c r="K95" s="97"/>
      <c r="L95" s="5"/>
      <c r="M95" s="4"/>
      <c r="N95" s="6"/>
      <c r="O95" s="6"/>
      <c r="P95" s="6"/>
      <c r="Q95" s="109"/>
      <c r="R95" s="5"/>
      <c r="S95" s="5"/>
      <c r="T95" s="5"/>
      <c r="U95" s="5"/>
      <c r="V95" s="5"/>
      <c r="W95" s="5"/>
      <c r="X95" s="5"/>
      <c r="Y95" s="5"/>
      <c r="Z95" s="150"/>
      <c r="AA95" s="103"/>
      <c r="AB95" s="103"/>
      <c r="AC95" s="103"/>
      <c r="AD95" s="103"/>
      <c r="AE95" s="103"/>
      <c r="AF95" s="103"/>
      <c r="AG95" s="103"/>
      <c r="AH95" s="103"/>
      <c r="AI95" s="103"/>
      <c r="AJ95" s="103"/>
      <c r="AK95" s="103"/>
      <c r="AL95" s="103"/>
      <c r="AM95" s="103"/>
      <c r="AN95" s="103"/>
      <c r="AO95" s="103"/>
      <c r="AP95" s="103"/>
      <c r="AQ95" s="103"/>
      <c r="AR95" s="103"/>
      <c r="AS95" s="103"/>
      <c r="AT95" s="103"/>
      <c r="AU95" s="103"/>
      <c r="AV95" s="103"/>
      <c r="AW95" s="103"/>
      <c r="AX95" s="103"/>
      <c r="AY95" s="103"/>
      <c r="AZ95" s="103"/>
      <c r="BA95" s="103"/>
      <c r="BB95" s="103"/>
      <c r="BC95" s="103"/>
      <c r="BD95" s="103"/>
      <c r="BE95" s="103"/>
      <c r="BF95" s="103"/>
      <c r="BG95" s="103"/>
      <c r="BH95" s="103"/>
      <c r="BI95" s="103"/>
      <c r="BJ95" s="103"/>
      <c r="BK95" s="103"/>
      <c r="BL95" s="103"/>
      <c r="BM95" s="103"/>
      <c r="BN95" s="103"/>
      <c r="BO95" s="103"/>
      <c r="BP95" s="103"/>
      <c r="BQ95" s="103"/>
      <c r="BR95" s="103"/>
      <c r="BS95" s="103"/>
      <c r="BT95" s="103"/>
      <c r="BU95" s="103"/>
      <c r="BV95" s="103"/>
      <c r="BW95" s="103"/>
      <c r="BX95" s="6"/>
      <c r="BY95" s="6"/>
      <c r="BZ95" s="103"/>
    </row>
    <row r="96" spans="1:78" x14ac:dyDescent="0.2">
      <c r="A96" s="5"/>
      <c r="B96" s="5"/>
      <c r="C96" s="5"/>
      <c r="D96" s="5"/>
      <c r="E96" s="5"/>
      <c r="F96" s="5"/>
      <c r="G96" s="5"/>
      <c r="H96" s="5"/>
      <c r="I96" s="5"/>
      <c r="J96" s="5"/>
      <c r="K96" s="5"/>
      <c r="L96" s="35"/>
      <c r="M96" s="6"/>
      <c r="N96" s="6"/>
      <c r="O96" s="6"/>
      <c r="P96" s="6"/>
      <c r="Q96" s="108"/>
      <c r="R96" s="5"/>
      <c r="S96" s="5"/>
      <c r="T96" s="5"/>
      <c r="U96" s="5"/>
      <c r="V96" s="5"/>
      <c r="W96" s="5"/>
      <c r="X96" s="5"/>
      <c r="Y96" s="5"/>
      <c r="Z96" s="150"/>
      <c r="AA96" s="103"/>
      <c r="AB96" s="103"/>
      <c r="AC96" s="103"/>
      <c r="AD96" s="103"/>
      <c r="AE96" s="103"/>
      <c r="AF96" s="103"/>
      <c r="AG96" s="103"/>
      <c r="AH96" s="103"/>
      <c r="AI96" s="103"/>
      <c r="AJ96" s="103"/>
      <c r="AK96" s="103"/>
      <c r="AL96" s="103"/>
      <c r="AM96" s="103"/>
      <c r="AN96" s="103"/>
      <c r="AO96" s="103"/>
      <c r="AP96" s="103"/>
      <c r="AQ96" s="103"/>
      <c r="AR96" s="103"/>
      <c r="AS96" s="103"/>
      <c r="AT96" s="103"/>
      <c r="AU96" s="103"/>
      <c r="AV96" s="103"/>
      <c r="AW96" s="103"/>
      <c r="AX96" s="103"/>
      <c r="AY96" s="103"/>
      <c r="AZ96" s="103"/>
      <c r="BA96" s="103"/>
      <c r="BB96" s="103"/>
      <c r="BC96" s="103"/>
      <c r="BD96" s="103"/>
      <c r="BE96" s="103"/>
      <c r="BF96" s="103"/>
      <c r="BG96" s="103"/>
      <c r="BH96" s="103"/>
      <c r="BI96" s="103"/>
      <c r="BJ96" s="103"/>
      <c r="BK96" s="103"/>
      <c r="BL96" s="103"/>
      <c r="BM96" s="103"/>
      <c r="BN96" s="103"/>
      <c r="BO96" s="103"/>
      <c r="BP96" s="103"/>
      <c r="BQ96" s="103"/>
      <c r="BR96" s="103"/>
      <c r="BS96" s="103"/>
      <c r="BT96" s="103"/>
      <c r="BU96" s="103"/>
      <c r="BV96" s="103"/>
      <c r="BW96" s="103"/>
      <c r="BX96" s="103"/>
      <c r="BY96" s="103"/>
      <c r="BZ96" s="103"/>
    </row>
    <row r="97" spans="1:78" x14ac:dyDescent="0.2">
      <c r="A97" s="5"/>
      <c r="B97" s="5"/>
      <c r="C97" s="5"/>
      <c r="D97" s="5"/>
      <c r="E97" s="5"/>
      <c r="F97" s="5"/>
      <c r="G97" s="5"/>
      <c r="H97" s="5"/>
      <c r="I97" s="5"/>
      <c r="J97" s="5"/>
      <c r="K97" s="5"/>
      <c r="L97" s="35"/>
      <c r="M97" s="6"/>
      <c r="N97" s="6"/>
      <c r="O97" s="6"/>
      <c r="P97" s="6"/>
      <c r="Q97" s="108"/>
      <c r="R97" s="5"/>
      <c r="S97" s="5"/>
      <c r="T97" s="5"/>
      <c r="U97" s="5"/>
      <c r="V97" s="5"/>
      <c r="W97" s="5"/>
      <c r="X97" s="5"/>
      <c r="Y97" s="5"/>
      <c r="Z97" s="150"/>
      <c r="AA97" s="103"/>
      <c r="AB97" s="103"/>
      <c r="AC97" s="103"/>
      <c r="AD97" s="103"/>
      <c r="AE97" s="103"/>
      <c r="AF97" s="103"/>
      <c r="AG97" s="103"/>
      <c r="AH97" s="103"/>
      <c r="AI97" s="103"/>
      <c r="AJ97" s="103"/>
      <c r="AK97" s="103"/>
      <c r="AL97" s="103"/>
      <c r="AM97" s="103"/>
      <c r="AN97" s="103"/>
      <c r="AO97" s="103"/>
      <c r="AP97" s="103"/>
      <c r="AQ97" s="103"/>
      <c r="AR97" s="103"/>
      <c r="AS97" s="103"/>
      <c r="AT97" s="103"/>
      <c r="AU97" s="103"/>
      <c r="AV97" s="103"/>
      <c r="AW97" s="103"/>
      <c r="AX97" s="103"/>
      <c r="AY97" s="103"/>
      <c r="AZ97" s="103"/>
      <c r="BA97" s="103"/>
      <c r="BB97" s="103"/>
      <c r="BC97" s="103"/>
      <c r="BD97" s="103"/>
      <c r="BE97" s="103"/>
      <c r="BF97" s="103"/>
      <c r="BG97" s="103"/>
      <c r="BH97" s="103"/>
      <c r="BI97" s="103"/>
      <c r="BJ97" s="103"/>
      <c r="BK97" s="103"/>
      <c r="BL97" s="103"/>
      <c r="BM97" s="103"/>
      <c r="BN97" s="103"/>
      <c r="BO97" s="103"/>
      <c r="BP97" s="103"/>
      <c r="BQ97" s="103"/>
      <c r="BR97" s="103"/>
      <c r="BS97" s="103"/>
      <c r="BT97" s="103"/>
      <c r="BU97" s="103"/>
      <c r="BV97" s="103"/>
      <c r="BW97" s="103"/>
      <c r="BX97" s="103"/>
      <c r="BY97" s="103"/>
      <c r="BZ97" s="103"/>
    </row>
    <row r="98" spans="1:78" x14ac:dyDescent="0.2">
      <c r="A98" s="5"/>
      <c r="B98" s="5"/>
      <c r="C98" s="5"/>
      <c r="D98" s="5"/>
      <c r="E98" s="5"/>
      <c r="F98" s="5"/>
      <c r="G98" s="5"/>
      <c r="H98" s="5"/>
      <c r="I98" s="5"/>
      <c r="J98" s="5"/>
      <c r="K98" s="5"/>
      <c r="L98" s="35"/>
      <c r="M98" s="6"/>
      <c r="N98" s="6"/>
      <c r="O98" s="6"/>
      <c r="P98" s="6"/>
      <c r="Q98" s="108"/>
      <c r="R98" s="5"/>
      <c r="S98" s="5"/>
      <c r="T98" s="5"/>
      <c r="U98" s="5"/>
      <c r="V98" s="5"/>
      <c r="W98" s="5"/>
      <c r="X98" s="5"/>
      <c r="Y98" s="5"/>
      <c r="Z98" s="150"/>
      <c r="AA98" s="103"/>
      <c r="AB98" s="103"/>
      <c r="AC98" s="103"/>
      <c r="AD98" s="103"/>
      <c r="AE98" s="103"/>
      <c r="AF98" s="103"/>
      <c r="AG98" s="103"/>
      <c r="AH98" s="103"/>
      <c r="AI98" s="103"/>
      <c r="AJ98" s="103"/>
      <c r="AK98" s="103"/>
      <c r="AL98" s="103"/>
      <c r="AM98" s="103"/>
      <c r="AN98" s="103"/>
      <c r="AO98" s="103"/>
      <c r="AP98" s="103"/>
      <c r="AQ98" s="103"/>
      <c r="AR98" s="103"/>
      <c r="AS98" s="103"/>
      <c r="AT98" s="103"/>
      <c r="AU98" s="103"/>
      <c r="AV98" s="103"/>
      <c r="AW98" s="103"/>
      <c r="AX98" s="103"/>
      <c r="AY98" s="103"/>
      <c r="AZ98" s="103"/>
      <c r="BA98" s="103"/>
      <c r="BB98" s="103"/>
      <c r="BC98" s="103"/>
      <c r="BD98" s="103"/>
      <c r="BE98" s="103"/>
      <c r="BF98" s="103"/>
      <c r="BG98" s="103"/>
      <c r="BH98" s="103"/>
      <c r="BI98" s="103"/>
      <c r="BJ98" s="103"/>
      <c r="BK98" s="103"/>
      <c r="BL98" s="103"/>
      <c r="BM98" s="103"/>
      <c r="BN98" s="103"/>
      <c r="BO98" s="103"/>
      <c r="BP98" s="103"/>
      <c r="BQ98" s="103"/>
      <c r="BR98" s="103"/>
      <c r="BS98" s="103"/>
      <c r="BT98" s="103"/>
      <c r="BU98" s="103"/>
      <c r="BV98" s="103"/>
      <c r="BW98" s="103"/>
      <c r="BX98" s="103"/>
      <c r="BY98" s="103"/>
      <c r="BZ98" s="103"/>
    </row>
    <row r="99" spans="1:78" x14ac:dyDescent="0.2">
      <c r="A99" s="5"/>
      <c r="B99" s="5"/>
      <c r="C99" s="5"/>
      <c r="D99" s="5"/>
      <c r="E99" s="5"/>
      <c r="F99" s="5"/>
      <c r="G99" s="5"/>
      <c r="H99" s="5"/>
      <c r="I99" s="5"/>
      <c r="J99" s="5"/>
      <c r="K99" s="5"/>
      <c r="L99" s="35"/>
      <c r="M99" s="6"/>
      <c r="N99" s="6"/>
      <c r="O99" s="6"/>
      <c r="P99" s="6"/>
      <c r="Q99" s="108"/>
      <c r="R99" s="5"/>
      <c r="S99" s="5"/>
      <c r="T99" s="5"/>
      <c r="U99" s="5"/>
      <c r="V99" s="5"/>
      <c r="W99" s="5"/>
      <c r="X99" s="5"/>
      <c r="Y99" s="5"/>
      <c r="Z99" s="150"/>
      <c r="AA99" s="103"/>
      <c r="AB99" s="103"/>
      <c r="AC99" s="103"/>
      <c r="AD99" s="103"/>
      <c r="AE99" s="103"/>
      <c r="AF99" s="103"/>
      <c r="AG99" s="103"/>
      <c r="AH99" s="103"/>
      <c r="AI99" s="103"/>
      <c r="AJ99" s="103"/>
      <c r="AK99" s="103"/>
      <c r="AL99" s="103"/>
      <c r="AM99" s="103"/>
      <c r="AN99" s="103"/>
      <c r="AO99" s="103"/>
      <c r="AP99" s="103"/>
      <c r="AQ99" s="103"/>
      <c r="AR99" s="103"/>
      <c r="AS99" s="103"/>
      <c r="AT99" s="103"/>
      <c r="AU99" s="103"/>
      <c r="AV99" s="103"/>
      <c r="AW99" s="103"/>
      <c r="AX99" s="103"/>
      <c r="AY99" s="103"/>
      <c r="AZ99" s="103"/>
      <c r="BA99" s="103"/>
      <c r="BB99" s="103"/>
      <c r="BC99" s="103"/>
      <c r="BD99" s="103"/>
      <c r="BE99" s="103"/>
      <c r="BF99" s="103"/>
      <c r="BG99" s="103"/>
      <c r="BH99" s="103"/>
      <c r="BI99" s="103"/>
      <c r="BJ99" s="103"/>
      <c r="BK99" s="103"/>
      <c r="BL99" s="103"/>
      <c r="BM99" s="103"/>
      <c r="BN99" s="103"/>
      <c r="BO99" s="103"/>
      <c r="BP99" s="103"/>
      <c r="BQ99" s="103"/>
      <c r="BR99" s="103"/>
      <c r="BS99" s="103"/>
      <c r="BT99" s="103"/>
      <c r="BU99" s="103"/>
      <c r="BV99" s="103"/>
      <c r="BW99" s="103"/>
      <c r="BX99" s="103"/>
      <c r="BY99" s="103"/>
      <c r="BZ99" s="103"/>
    </row>
    <row r="100" spans="1:78" x14ac:dyDescent="0.2">
      <c r="A100" s="5"/>
      <c r="B100" s="5"/>
      <c r="C100" s="5"/>
      <c r="D100" s="5"/>
      <c r="E100" s="5"/>
      <c r="F100" s="5"/>
      <c r="G100" s="5"/>
      <c r="H100" s="5"/>
      <c r="I100" s="5"/>
      <c r="J100" s="5"/>
      <c r="K100" s="5"/>
      <c r="L100" s="35"/>
      <c r="M100" s="6"/>
      <c r="N100" s="6"/>
      <c r="O100" s="6"/>
      <c r="P100" s="6"/>
      <c r="Q100" s="108"/>
      <c r="R100" s="5"/>
      <c r="S100" s="5"/>
      <c r="T100" s="5"/>
      <c r="U100" s="5"/>
      <c r="V100" s="5"/>
      <c r="W100" s="5"/>
      <c r="X100" s="5"/>
      <c r="Y100" s="5"/>
      <c r="Z100" s="150"/>
      <c r="AA100" s="103"/>
      <c r="AB100" s="103"/>
      <c r="AC100" s="103"/>
      <c r="AD100" s="103"/>
      <c r="AE100" s="103"/>
      <c r="AF100" s="103"/>
      <c r="AG100" s="103"/>
      <c r="AH100" s="103"/>
      <c r="AI100" s="103"/>
      <c r="AJ100" s="103"/>
      <c r="AK100" s="103"/>
      <c r="AL100" s="103"/>
      <c r="AM100" s="103"/>
      <c r="AN100" s="103"/>
      <c r="AO100" s="103"/>
      <c r="AP100" s="103"/>
      <c r="AQ100" s="103"/>
      <c r="AR100" s="103"/>
      <c r="AS100" s="103"/>
      <c r="AT100" s="103"/>
      <c r="AU100" s="103"/>
      <c r="AV100" s="103"/>
      <c r="AW100" s="103"/>
      <c r="AX100" s="103"/>
      <c r="AY100" s="103"/>
      <c r="AZ100" s="103"/>
      <c r="BA100" s="103"/>
      <c r="BB100" s="103"/>
      <c r="BC100" s="103"/>
      <c r="BD100" s="103"/>
      <c r="BE100" s="103"/>
      <c r="BF100" s="103"/>
      <c r="BG100" s="103"/>
      <c r="BH100" s="103"/>
      <c r="BI100" s="103"/>
      <c r="BJ100" s="103"/>
      <c r="BK100" s="103"/>
      <c r="BL100" s="103"/>
      <c r="BM100" s="103"/>
      <c r="BN100" s="103"/>
      <c r="BO100" s="103"/>
      <c r="BP100" s="103"/>
      <c r="BQ100" s="103"/>
      <c r="BR100" s="103"/>
      <c r="BS100" s="103"/>
      <c r="BT100" s="103"/>
      <c r="BU100" s="103"/>
      <c r="BV100" s="103"/>
      <c r="BW100" s="103"/>
      <c r="BX100" s="103"/>
      <c r="BY100" s="103"/>
      <c r="BZ100" s="103"/>
    </row>
    <row r="101" spans="1:78" x14ac:dyDescent="0.2">
      <c r="A101" s="5"/>
      <c r="B101" s="5"/>
      <c r="C101" s="5"/>
      <c r="D101" s="5"/>
      <c r="E101" s="5"/>
      <c r="F101" s="5"/>
      <c r="G101" s="5"/>
      <c r="H101" s="5"/>
      <c r="I101" s="5"/>
      <c r="J101" s="5"/>
      <c r="K101" s="5"/>
      <c r="L101" s="35"/>
      <c r="M101" s="6"/>
      <c r="N101" s="6"/>
      <c r="O101" s="6"/>
      <c r="P101" s="6"/>
      <c r="Q101" s="108"/>
      <c r="R101" s="5"/>
      <c r="S101" s="5"/>
      <c r="T101" s="5"/>
      <c r="U101" s="5"/>
      <c r="V101" s="5"/>
      <c r="W101" s="5"/>
      <c r="X101" s="5"/>
      <c r="Y101" s="5"/>
      <c r="Z101" s="150"/>
      <c r="AA101" s="103"/>
      <c r="AB101" s="103"/>
      <c r="AC101" s="103"/>
      <c r="AD101" s="103"/>
      <c r="AE101" s="103"/>
      <c r="AF101" s="103"/>
      <c r="AG101" s="103"/>
      <c r="AH101" s="103"/>
      <c r="AI101" s="103"/>
      <c r="AJ101" s="103"/>
      <c r="AK101" s="103"/>
      <c r="AL101" s="103"/>
      <c r="AM101" s="103"/>
      <c r="AN101" s="103"/>
      <c r="AO101" s="103"/>
      <c r="AP101" s="103"/>
      <c r="AQ101" s="103"/>
      <c r="AR101" s="103"/>
      <c r="AS101" s="103"/>
      <c r="AT101" s="103"/>
      <c r="AU101" s="103"/>
      <c r="AV101" s="103"/>
      <c r="AW101" s="103"/>
      <c r="AX101" s="103"/>
      <c r="AY101" s="103"/>
      <c r="AZ101" s="103"/>
      <c r="BA101" s="103"/>
      <c r="BB101" s="103"/>
      <c r="BC101" s="103"/>
      <c r="BD101" s="103"/>
      <c r="BE101" s="103"/>
      <c r="BF101" s="103"/>
      <c r="BG101" s="103"/>
      <c r="BH101" s="103"/>
      <c r="BI101" s="103"/>
      <c r="BJ101" s="103"/>
      <c r="BK101" s="103"/>
      <c r="BL101" s="103"/>
      <c r="BM101" s="103"/>
      <c r="BN101" s="103"/>
      <c r="BO101" s="103"/>
      <c r="BP101" s="103"/>
      <c r="BQ101" s="103"/>
      <c r="BR101" s="103"/>
      <c r="BS101" s="103"/>
      <c r="BT101" s="103"/>
      <c r="BU101" s="103"/>
      <c r="BV101" s="103"/>
      <c r="BW101" s="103"/>
      <c r="BX101" s="103"/>
      <c r="BY101" s="103"/>
      <c r="BZ101" s="103"/>
    </row>
    <row r="102" spans="1:78" x14ac:dyDescent="0.2">
      <c r="A102" s="5"/>
      <c r="B102" s="5"/>
      <c r="C102" s="5"/>
      <c r="D102" s="5"/>
      <c r="E102" s="5"/>
      <c r="F102" s="5"/>
      <c r="G102" s="5"/>
      <c r="H102" s="5"/>
      <c r="I102" s="5"/>
      <c r="J102" s="5"/>
      <c r="K102" s="5"/>
      <c r="L102" s="35"/>
      <c r="M102" s="6"/>
      <c r="N102" s="6"/>
      <c r="O102" s="6"/>
      <c r="P102" s="6"/>
      <c r="Q102" s="108"/>
      <c r="R102" s="5"/>
      <c r="S102" s="5"/>
      <c r="T102" s="5"/>
      <c r="U102" s="5"/>
      <c r="V102" s="5"/>
      <c r="W102" s="5"/>
      <c r="X102" s="5"/>
      <c r="Y102" s="5"/>
      <c r="Z102" s="150"/>
      <c r="AA102" s="103"/>
      <c r="AB102" s="103"/>
      <c r="AC102" s="103"/>
      <c r="AD102" s="103"/>
      <c r="AE102" s="103"/>
      <c r="AF102" s="103"/>
      <c r="AG102" s="103"/>
      <c r="AH102" s="103"/>
      <c r="AI102" s="103"/>
      <c r="AJ102" s="103"/>
      <c r="AK102" s="103"/>
      <c r="AL102" s="103"/>
      <c r="AM102" s="103"/>
      <c r="AN102" s="103"/>
      <c r="AO102" s="103"/>
      <c r="AP102" s="103"/>
      <c r="AQ102" s="103"/>
      <c r="AR102" s="103"/>
      <c r="AS102" s="103"/>
      <c r="AT102" s="103"/>
      <c r="AU102" s="103"/>
      <c r="AV102" s="103"/>
      <c r="AW102" s="103"/>
      <c r="AX102" s="103"/>
      <c r="AY102" s="103"/>
      <c r="AZ102" s="103"/>
      <c r="BA102" s="103"/>
      <c r="BB102" s="103"/>
      <c r="BC102" s="103"/>
      <c r="BD102" s="103"/>
      <c r="BE102" s="103"/>
      <c r="BF102" s="103"/>
      <c r="BG102" s="103"/>
      <c r="BH102" s="103"/>
      <c r="BI102" s="103"/>
      <c r="BJ102" s="103"/>
      <c r="BK102" s="103"/>
      <c r="BL102" s="103"/>
      <c r="BM102" s="103"/>
      <c r="BN102" s="103"/>
      <c r="BO102" s="103"/>
      <c r="BP102" s="103"/>
      <c r="BQ102" s="103"/>
      <c r="BR102" s="103"/>
      <c r="BS102" s="103"/>
      <c r="BT102" s="103"/>
      <c r="BU102" s="103"/>
      <c r="BV102" s="103"/>
      <c r="BW102" s="103"/>
      <c r="BX102" s="103"/>
      <c r="BY102" s="103"/>
      <c r="BZ102" s="103"/>
    </row>
    <row r="103" spans="1:78" x14ac:dyDescent="0.2">
      <c r="A103" s="5"/>
      <c r="B103" s="5"/>
      <c r="C103" s="5"/>
      <c r="D103" s="5"/>
      <c r="E103" s="5"/>
      <c r="F103" s="5"/>
      <c r="G103" s="5"/>
      <c r="H103" s="5"/>
      <c r="I103" s="5"/>
      <c r="J103" s="5"/>
      <c r="K103" s="5"/>
      <c r="L103" s="35"/>
      <c r="M103" s="6"/>
      <c r="N103" s="6"/>
      <c r="O103" s="6"/>
      <c r="P103" s="6"/>
      <c r="Q103" s="108"/>
      <c r="R103" s="5"/>
      <c r="S103" s="5"/>
      <c r="T103" s="5"/>
      <c r="U103" s="5"/>
      <c r="V103" s="5"/>
      <c r="W103" s="5"/>
      <c r="X103" s="5"/>
      <c r="Y103" s="5"/>
      <c r="Z103" s="150"/>
      <c r="AA103" s="103"/>
      <c r="AB103" s="103"/>
      <c r="AC103" s="103"/>
      <c r="AD103" s="103"/>
      <c r="AE103" s="103"/>
      <c r="AF103" s="103"/>
      <c r="AG103" s="103"/>
      <c r="AH103" s="103"/>
      <c r="AI103" s="103"/>
      <c r="AJ103" s="103"/>
      <c r="AK103" s="103"/>
      <c r="AL103" s="103"/>
      <c r="AM103" s="103"/>
      <c r="AN103" s="103"/>
      <c r="AO103" s="103"/>
      <c r="AP103" s="103"/>
      <c r="AQ103" s="103"/>
      <c r="AR103" s="103"/>
      <c r="AS103" s="103"/>
      <c r="AT103" s="103"/>
      <c r="AU103" s="103"/>
      <c r="AV103" s="103"/>
      <c r="AW103" s="103"/>
      <c r="AX103" s="103"/>
      <c r="AY103" s="103"/>
      <c r="AZ103" s="103"/>
      <c r="BA103" s="103"/>
      <c r="BB103" s="103"/>
      <c r="BC103" s="103"/>
      <c r="BD103" s="103"/>
      <c r="BE103" s="103"/>
      <c r="BF103" s="103"/>
      <c r="BG103" s="103"/>
      <c r="BH103" s="103"/>
      <c r="BI103" s="103"/>
      <c r="BJ103" s="103"/>
      <c r="BK103" s="103"/>
      <c r="BL103" s="103"/>
      <c r="BM103" s="103"/>
      <c r="BN103" s="103"/>
      <c r="BO103" s="103"/>
      <c r="BP103" s="103"/>
      <c r="BQ103" s="103"/>
      <c r="BR103" s="103"/>
      <c r="BS103" s="103"/>
      <c r="BT103" s="103"/>
      <c r="BU103" s="103"/>
      <c r="BV103" s="103"/>
      <c r="BW103" s="103"/>
      <c r="BX103" s="103"/>
      <c r="BY103" s="103"/>
      <c r="BZ103" s="103"/>
    </row>
    <row r="104" spans="1:78" x14ac:dyDescent="0.2">
      <c r="A104" s="5"/>
      <c r="B104" s="5"/>
      <c r="C104" s="5"/>
      <c r="D104" s="5"/>
      <c r="E104" s="5"/>
      <c r="F104" s="5"/>
      <c r="G104" s="5"/>
      <c r="H104" s="5"/>
      <c r="I104" s="5"/>
      <c r="J104" s="5"/>
      <c r="K104" s="5"/>
      <c r="L104" s="35"/>
      <c r="M104" s="6"/>
      <c r="N104" s="6"/>
      <c r="O104" s="6"/>
      <c r="P104" s="6"/>
      <c r="Q104" s="108"/>
      <c r="R104" s="5"/>
      <c r="S104" s="5"/>
      <c r="T104" s="5"/>
      <c r="U104" s="5"/>
      <c r="V104" s="5"/>
      <c r="W104" s="5"/>
      <c r="X104" s="5"/>
      <c r="Y104" s="5"/>
      <c r="Z104" s="150"/>
      <c r="AA104" s="103"/>
      <c r="AB104" s="103"/>
      <c r="AC104" s="103"/>
      <c r="AD104" s="103"/>
      <c r="AE104" s="103"/>
      <c r="AF104" s="103"/>
      <c r="AG104" s="103"/>
      <c r="AH104" s="103"/>
      <c r="AI104" s="103"/>
      <c r="AJ104" s="103"/>
      <c r="AK104" s="103"/>
      <c r="AL104" s="103"/>
      <c r="AM104" s="103"/>
      <c r="AN104" s="103"/>
      <c r="AO104" s="103"/>
      <c r="AP104" s="103"/>
      <c r="AQ104" s="103"/>
      <c r="AR104" s="103"/>
      <c r="AS104" s="103"/>
      <c r="AT104" s="103"/>
      <c r="AU104" s="103"/>
      <c r="AV104" s="103"/>
      <c r="AW104" s="103"/>
      <c r="AX104" s="103"/>
      <c r="AY104" s="103"/>
      <c r="AZ104" s="103"/>
      <c r="BA104" s="103"/>
      <c r="BB104" s="103"/>
      <c r="BC104" s="103"/>
      <c r="BD104" s="103"/>
      <c r="BE104" s="103"/>
      <c r="BF104" s="103"/>
      <c r="BG104" s="103"/>
      <c r="BH104" s="103"/>
      <c r="BI104" s="103"/>
      <c r="BJ104" s="103"/>
      <c r="BK104" s="103"/>
      <c r="BL104" s="103"/>
      <c r="BM104" s="103"/>
      <c r="BN104" s="103"/>
      <c r="BO104" s="103"/>
      <c r="BP104" s="103"/>
      <c r="BQ104" s="103"/>
      <c r="BR104" s="103"/>
      <c r="BS104" s="103"/>
      <c r="BT104" s="103"/>
      <c r="BU104" s="103"/>
      <c r="BV104" s="103"/>
      <c r="BW104" s="103"/>
      <c r="BX104" s="103"/>
      <c r="BY104" s="103"/>
      <c r="BZ104" s="103"/>
    </row>
    <row r="105" spans="1:78" x14ac:dyDescent="0.2">
      <c r="A105" s="5"/>
      <c r="B105" s="5"/>
      <c r="C105" s="5"/>
      <c r="D105" s="5"/>
      <c r="E105" s="5"/>
      <c r="F105" s="5"/>
      <c r="G105" s="5"/>
      <c r="H105" s="5"/>
      <c r="I105" s="5"/>
      <c r="J105" s="5"/>
      <c r="K105" s="5"/>
      <c r="L105" s="35"/>
      <c r="M105" s="6"/>
      <c r="N105" s="6"/>
      <c r="O105" s="6"/>
      <c r="P105" s="6"/>
      <c r="Q105" s="108"/>
      <c r="R105" s="5"/>
      <c r="S105" s="5"/>
      <c r="T105" s="5"/>
      <c r="U105" s="5"/>
      <c r="V105" s="5"/>
      <c r="W105" s="5"/>
      <c r="X105" s="5"/>
      <c r="Y105" s="5"/>
      <c r="Z105" s="150"/>
      <c r="AA105" s="103"/>
      <c r="AB105" s="103"/>
      <c r="AC105" s="103"/>
      <c r="AD105" s="103"/>
      <c r="AE105" s="103"/>
      <c r="AF105" s="103"/>
      <c r="AG105" s="103"/>
      <c r="AH105" s="103"/>
      <c r="AI105" s="103"/>
      <c r="AJ105" s="103"/>
      <c r="AK105" s="103"/>
      <c r="AL105" s="103"/>
      <c r="AM105" s="103"/>
      <c r="AN105" s="103"/>
      <c r="AO105" s="103"/>
      <c r="AP105" s="103"/>
      <c r="AQ105" s="103"/>
      <c r="AR105" s="103"/>
      <c r="AS105" s="103"/>
      <c r="AT105" s="103"/>
      <c r="AU105" s="103"/>
      <c r="AV105" s="103"/>
      <c r="AW105" s="103"/>
      <c r="AX105" s="103"/>
      <c r="AY105" s="103"/>
      <c r="AZ105" s="103"/>
      <c r="BA105" s="103"/>
      <c r="BB105" s="103"/>
      <c r="BC105" s="103"/>
      <c r="BD105" s="103"/>
      <c r="BE105" s="103"/>
      <c r="BF105" s="103"/>
      <c r="BG105" s="103"/>
      <c r="BH105" s="103"/>
      <c r="BI105" s="103"/>
      <c r="BJ105" s="103"/>
      <c r="BK105" s="103"/>
      <c r="BL105" s="103"/>
      <c r="BM105" s="103"/>
      <c r="BN105" s="103"/>
      <c r="BO105" s="103"/>
      <c r="BP105" s="103"/>
      <c r="BQ105" s="103"/>
      <c r="BR105" s="103"/>
      <c r="BS105" s="103"/>
      <c r="BT105" s="103"/>
      <c r="BU105" s="103"/>
      <c r="BV105" s="103"/>
      <c r="BW105" s="103"/>
      <c r="BX105" s="103"/>
      <c r="BY105" s="103"/>
      <c r="BZ105" s="103"/>
    </row>
    <row r="106" spans="1:78" x14ac:dyDescent="0.2">
      <c r="A106" s="5"/>
      <c r="B106" s="5"/>
      <c r="C106" s="5"/>
      <c r="D106" s="5"/>
      <c r="E106" s="5"/>
      <c r="F106" s="5"/>
      <c r="G106" s="5"/>
      <c r="H106" s="5"/>
      <c r="I106" s="5"/>
      <c r="J106" s="5"/>
      <c r="K106" s="5"/>
      <c r="L106" s="35"/>
      <c r="M106" s="6"/>
      <c r="N106" s="6"/>
      <c r="O106" s="6"/>
      <c r="P106" s="6"/>
      <c r="Q106" s="108"/>
      <c r="R106" s="5"/>
      <c r="S106" s="5"/>
      <c r="T106" s="5"/>
      <c r="U106" s="5"/>
      <c r="V106" s="5"/>
      <c r="W106" s="5"/>
      <c r="X106" s="5"/>
      <c r="Y106" s="5"/>
      <c r="Z106" s="150"/>
      <c r="AA106" s="103"/>
      <c r="AB106" s="103"/>
      <c r="AC106" s="103"/>
      <c r="AD106" s="103"/>
      <c r="AE106" s="103"/>
      <c r="AF106" s="103"/>
      <c r="AG106" s="103"/>
      <c r="AH106" s="103"/>
      <c r="AI106" s="103"/>
      <c r="AJ106" s="103"/>
      <c r="AK106" s="103"/>
      <c r="AL106" s="103"/>
      <c r="AM106" s="103"/>
      <c r="AN106" s="103"/>
      <c r="AO106" s="103"/>
      <c r="AP106" s="103"/>
      <c r="AQ106" s="103"/>
      <c r="AR106" s="103"/>
      <c r="AS106" s="103"/>
      <c r="AT106" s="103"/>
      <c r="AU106" s="103"/>
      <c r="AV106" s="103"/>
      <c r="AW106" s="103"/>
      <c r="AX106" s="103"/>
      <c r="AY106" s="103"/>
      <c r="AZ106" s="103"/>
      <c r="BA106" s="103"/>
      <c r="BB106" s="103"/>
      <c r="BC106" s="103"/>
      <c r="BD106" s="103"/>
      <c r="BE106" s="103"/>
      <c r="BF106" s="103"/>
      <c r="BG106" s="103"/>
      <c r="BH106" s="103"/>
      <c r="BI106" s="103"/>
      <c r="BJ106" s="103"/>
      <c r="BK106" s="103"/>
      <c r="BL106" s="103"/>
      <c r="BM106" s="103"/>
      <c r="BN106" s="103"/>
      <c r="BO106" s="103"/>
      <c r="BP106" s="103"/>
      <c r="BQ106" s="103"/>
      <c r="BR106" s="103"/>
      <c r="BS106" s="103"/>
      <c r="BT106" s="103"/>
      <c r="BU106" s="103"/>
      <c r="BV106" s="103"/>
      <c r="BW106" s="103"/>
      <c r="BX106" s="103"/>
      <c r="BY106" s="103"/>
      <c r="BZ106" s="103"/>
    </row>
    <row r="107" spans="1:78" x14ac:dyDescent="0.2">
      <c r="A107" s="5"/>
      <c r="B107" s="5"/>
      <c r="C107" s="5"/>
      <c r="D107" s="5"/>
      <c r="E107" s="5"/>
      <c r="F107" s="5"/>
      <c r="G107" s="5"/>
      <c r="H107" s="5"/>
      <c r="I107" s="5"/>
      <c r="J107" s="5"/>
      <c r="K107" s="5"/>
      <c r="L107" s="35"/>
      <c r="M107" s="6"/>
      <c r="N107" s="6"/>
      <c r="O107" s="6"/>
      <c r="P107" s="6"/>
      <c r="Q107" s="108"/>
      <c r="R107" s="5"/>
      <c r="S107" s="5"/>
      <c r="T107" s="5"/>
      <c r="U107" s="5"/>
      <c r="V107" s="5"/>
      <c r="W107" s="5"/>
      <c r="X107" s="5"/>
      <c r="Y107" s="5"/>
      <c r="Z107" s="150"/>
      <c r="AA107" s="103"/>
      <c r="AB107" s="103"/>
      <c r="AC107" s="103"/>
      <c r="AD107" s="103"/>
      <c r="AE107" s="103"/>
      <c r="AF107" s="103"/>
      <c r="AG107" s="103"/>
      <c r="AH107" s="103"/>
      <c r="AI107" s="103"/>
      <c r="AJ107" s="103"/>
      <c r="AK107" s="103"/>
      <c r="AL107" s="103"/>
      <c r="AM107" s="103"/>
      <c r="AN107" s="103"/>
      <c r="AO107" s="103"/>
      <c r="AP107" s="103"/>
      <c r="AQ107" s="103"/>
      <c r="AR107" s="103"/>
      <c r="AS107" s="103"/>
      <c r="AT107" s="103"/>
      <c r="AU107" s="103"/>
      <c r="AV107" s="103"/>
      <c r="AW107" s="103"/>
      <c r="AX107" s="103"/>
      <c r="AY107" s="103"/>
      <c r="AZ107" s="103"/>
      <c r="BA107" s="103"/>
      <c r="BB107" s="103"/>
      <c r="BC107" s="103"/>
      <c r="BD107" s="103"/>
      <c r="BE107" s="103"/>
      <c r="BF107" s="103"/>
      <c r="BG107" s="103"/>
      <c r="BH107" s="103"/>
      <c r="BI107" s="103"/>
      <c r="BJ107" s="103"/>
      <c r="BK107" s="103"/>
      <c r="BL107" s="103"/>
      <c r="BM107" s="103"/>
      <c r="BN107" s="103"/>
      <c r="BO107" s="103"/>
      <c r="BP107" s="103"/>
      <c r="BQ107" s="103"/>
      <c r="BR107" s="103"/>
      <c r="BS107" s="103"/>
      <c r="BT107" s="103"/>
      <c r="BU107" s="103"/>
      <c r="BV107" s="103"/>
      <c r="BW107" s="103"/>
      <c r="BX107" s="103"/>
      <c r="BY107" s="103"/>
      <c r="BZ107" s="103"/>
    </row>
    <row r="108" spans="1:78" x14ac:dyDescent="0.2">
      <c r="A108" s="5"/>
      <c r="B108" s="5"/>
      <c r="C108" s="5"/>
      <c r="D108" s="5"/>
      <c r="E108" s="5"/>
      <c r="F108" s="5"/>
      <c r="G108" s="5"/>
      <c r="H108" s="5"/>
      <c r="I108" s="5"/>
      <c r="J108" s="5"/>
      <c r="K108" s="5"/>
      <c r="L108" s="35"/>
      <c r="M108" s="6"/>
      <c r="N108" s="6"/>
      <c r="O108" s="6"/>
      <c r="P108" s="6"/>
      <c r="Q108" s="108"/>
      <c r="R108" s="5"/>
      <c r="S108" s="5"/>
      <c r="T108" s="5"/>
      <c r="U108" s="5"/>
      <c r="V108" s="5"/>
      <c r="W108" s="5"/>
      <c r="X108" s="5"/>
      <c r="Y108" s="5"/>
      <c r="Z108" s="150"/>
      <c r="AA108" s="103"/>
      <c r="AB108" s="103"/>
      <c r="AC108" s="103"/>
      <c r="AD108" s="103"/>
      <c r="AE108" s="103"/>
      <c r="AF108" s="103"/>
      <c r="AG108" s="103"/>
      <c r="AH108" s="103"/>
      <c r="AI108" s="103"/>
      <c r="AJ108" s="103"/>
      <c r="AK108" s="103"/>
      <c r="AL108" s="103"/>
      <c r="AM108" s="103"/>
      <c r="AN108" s="103"/>
      <c r="AO108" s="103"/>
      <c r="AP108" s="103"/>
      <c r="AQ108" s="103"/>
      <c r="AR108" s="103"/>
      <c r="AS108" s="103"/>
      <c r="AT108" s="103"/>
      <c r="AU108" s="103"/>
      <c r="AV108" s="103"/>
      <c r="AW108" s="103"/>
      <c r="AX108" s="103"/>
      <c r="AY108" s="103"/>
      <c r="AZ108" s="103"/>
      <c r="BA108" s="103"/>
      <c r="BB108" s="103"/>
      <c r="BC108" s="103"/>
      <c r="BD108" s="103"/>
      <c r="BE108" s="103"/>
      <c r="BF108" s="103"/>
      <c r="BG108" s="103"/>
      <c r="BH108" s="103"/>
      <c r="BI108" s="103"/>
      <c r="BJ108" s="103"/>
      <c r="BK108" s="103"/>
      <c r="BL108" s="103"/>
      <c r="BM108" s="103"/>
      <c r="BN108" s="103"/>
      <c r="BO108" s="103"/>
      <c r="BP108" s="103"/>
      <c r="BQ108" s="103"/>
      <c r="BR108" s="103"/>
      <c r="BS108" s="103"/>
      <c r="BT108" s="103"/>
      <c r="BU108" s="103"/>
      <c r="BV108" s="103"/>
      <c r="BW108" s="103"/>
      <c r="BX108" s="103"/>
      <c r="BY108" s="103"/>
      <c r="BZ108" s="103"/>
    </row>
    <row r="109" spans="1:78" x14ac:dyDescent="0.2">
      <c r="A109" s="5"/>
      <c r="B109" s="5"/>
      <c r="C109" s="5"/>
      <c r="D109" s="5"/>
      <c r="E109" s="5"/>
      <c r="F109" s="5"/>
      <c r="G109" s="5"/>
      <c r="H109" s="5"/>
      <c r="I109" s="5"/>
      <c r="J109" s="5"/>
      <c r="K109" s="5"/>
      <c r="L109" s="35"/>
      <c r="M109" s="6"/>
      <c r="N109" s="6"/>
      <c r="O109" s="6"/>
      <c r="P109" s="6"/>
      <c r="Q109" s="108"/>
      <c r="R109" s="5"/>
      <c r="S109" s="5"/>
      <c r="T109" s="5"/>
      <c r="U109" s="5"/>
      <c r="V109" s="5"/>
      <c r="W109" s="5"/>
      <c r="X109" s="5"/>
      <c r="Y109" s="5"/>
      <c r="Z109" s="150"/>
      <c r="AA109" s="103"/>
      <c r="AB109" s="103"/>
      <c r="AC109" s="103"/>
      <c r="AD109" s="103"/>
      <c r="AE109" s="103"/>
      <c r="AF109" s="103"/>
      <c r="AG109" s="103"/>
      <c r="AH109" s="103"/>
      <c r="AI109" s="103"/>
      <c r="AJ109" s="103"/>
      <c r="AK109" s="103"/>
      <c r="AL109" s="103"/>
      <c r="AM109" s="103"/>
      <c r="AN109" s="103"/>
      <c r="AO109" s="103"/>
      <c r="AP109" s="103"/>
      <c r="AQ109" s="103"/>
      <c r="AR109" s="103"/>
      <c r="AS109" s="103"/>
      <c r="AT109" s="103"/>
      <c r="AU109" s="103"/>
      <c r="AV109" s="103"/>
      <c r="AW109" s="103"/>
      <c r="AX109" s="103"/>
      <c r="AY109" s="103"/>
      <c r="AZ109" s="103"/>
      <c r="BA109" s="103"/>
      <c r="BB109" s="103"/>
      <c r="BC109" s="103"/>
      <c r="BD109" s="103"/>
      <c r="BE109" s="103"/>
      <c r="BF109" s="103"/>
      <c r="BG109" s="103"/>
      <c r="BH109" s="103"/>
      <c r="BI109" s="103"/>
      <c r="BJ109" s="103"/>
      <c r="BK109" s="103"/>
      <c r="BL109" s="103"/>
      <c r="BM109" s="103"/>
      <c r="BN109" s="103"/>
      <c r="BO109" s="103"/>
      <c r="BP109" s="103"/>
      <c r="BQ109" s="103"/>
      <c r="BR109" s="103"/>
      <c r="BS109" s="103"/>
      <c r="BT109" s="103"/>
      <c r="BU109" s="103"/>
      <c r="BV109" s="103"/>
      <c r="BW109" s="103"/>
      <c r="BX109" s="103"/>
      <c r="BY109" s="103"/>
      <c r="BZ109" s="103"/>
    </row>
    <row r="110" spans="1:78" x14ac:dyDescent="0.2">
      <c r="A110" s="5"/>
      <c r="B110" s="5"/>
      <c r="C110" s="5"/>
      <c r="D110" s="5"/>
      <c r="E110" s="5"/>
      <c r="F110" s="5"/>
      <c r="G110" s="5"/>
      <c r="H110" s="5"/>
      <c r="I110" s="5"/>
      <c r="J110" s="5"/>
      <c r="K110" s="5"/>
      <c r="L110" s="35"/>
      <c r="M110" s="6"/>
      <c r="N110" s="6"/>
      <c r="O110" s="6"/>
      <c r="P110" s="6"/>
      <c r="Q110" s="108"/>
      <c r="R110" s="5"/>
      <c r="S110" s="5"/>
      <c r="T110" s="5"/>
      <c r="U110" s="5"/>
      <c r="V110" s="5"/>
      <c r="W110" s="5"/>
      <c r="X110" s="5"/>
      <c r="Y110" s="5"/>
      <c r="Z110" s="150"/>
      <c r="AA110" s="103"/>
      <c r="AB110" s="103"/>
      <c r="AC110" s="103"/>
      <c r="AD110" s="103"/>
      <c r="AE110" s="103"/>
      <c r="AF110" s="103"/>
      <c r="AG110" s="103"/>
      <c r="AH110" s="103"/>
      <c r="AI110" s="103"/>
      <c r="AJ110" s="103"/>
      <c r="AK110" s="103"/>
      <c r="AL110" s="103"/>
      <c r="AM110" s="103"/>
      <c r="AN110" s="103"/>
      <c r="AO110" s="103"/>
      <c r="AP110" s="103"/>
      <c r="AQ110" s="103"/>
      <c r="AR110" s="103"/>
      <c r="AS110" s="103"/>
      <c r="AT110" s="103"/>
      <c r="AU110" s="103"/>
      <c r="AV110" s="103"/>
      <c r="AW110" s="103"/>
      <c r="AX110" s="103"/>
      <c r="AY110" s="103"/>
      <c r="AZ110" s="103"/>
      <c r="BA110" s="103"/>
      <c r="BB110" s="103"/>
      <c r="BC110" s="103"/>
      <c r="BD110" s="103"/>
      <c r="BE110" s="103"/>
      <c r="BF110" s="103"/>
      <c r="BG110" s="103"/>
      <c r="BH110" s="103"/>
      <c r="BI110" s="103"/>
      <c r="BJ110" s="103"/>
      <c r="BK110" s="103"/>
      <c r="BL110" s="103"/>
      <c r="BM110" s="103"/>
      <c r="BN110" s="103"/>
      <c r="BO110" s="103"/>
      <c r="BP110" s="103"/>
      <c r="BQ110" s="103"/>
      <c r="BR110" s="103"/>
      <c r="BS110" s="103"/>
      <c r="BT110" s="103"/>
      <c r="BU110" s="103"/>
      <c r="BV110" s="103"/>
      <c r="BW110" s="103"/>
      <c r="BX110" s="103"/>
      <c r="BY110" s="103"/>
      <c r="BZ110" s="103"/>
    </row>
    <row r="111" spans="1:78" x14ac:dyDescent="0.2">
      <c r="A111" s="5"/>
      <c r="B111" s="5"/>
      <c r="C111" s="5"/>
      <c r="D111" s="5"/>
      <c r="E111" s="5"/>
      <c r="F111" s="5"/>
      <c r="G111" s="5"/>
      <c r="H111" s="5"/>
      <c r="I111" s="5"/>
      <c r="J111" s="5"/>
      <c r="K111" s="5"/>
      <c r="L111" s="35"/>
      <c r="M111" s="6"/>
      <c r="N111" s="6"/>
      <c r="O111" s="6"/>
      <c r="P111" s="6"/>
      <c r="Q111" s="108"/>
      <c r="R111" s="5"/>
      <c r="S111" s="5"/>
      <c r="T111" s="5"/>
      <c r="U111" s="5"/>
      <c r="V111" s="5"/>
      <c r="W111" s="5"/>
      <c r="X111" s="5"/>
      <c r="Y111" s="5"/>
      <c r="Z111" s="150"/>
      <c r="AA111" s="103"/>
      <c r="AB111" s="103"/>
      <c r="AC111" s="103"/>
      <c r="AD111" s="103"/>
      <c r="AE111" s="103"/>
      <c r="AF111" s="103"/>
      <c r="AG111" s="103"/>
      <c r="AH111" s="103"/>
      <c r="AI111" s="103"/>
      <c r="AJ111" s="103"/>
      <c r="AK111" s="103"/>
      <c r="AL111" s="103"/>
      <c r="AM111" s="103"/>
      <c r="AN111" s="103"/>
      <c r="AO111" s="103"/>
      <c r="AP111" s="103"/>
      <c r="AQ111" s="103"/>
      <c r="AR111" s="103"/>
      <c r="AS111" s="103"/>
      <c r="AT111" s="103"/>
      <c r="AU111" s="103"/>
      <c r="AV111" s="103"/>
      <c r="AW111" s="103"/>
      <c r="AX111" s="103"/>
      <c r="AY111" s="103"/>
      <c r="AZ111" s="103"/>
      <c r="BA111" s="103"/>
      <c r="BB111" s="103"/>
      <c r="BC111" s="103"/>
      <c r="BD111" s="103"/>
      <c r="BE111" s="103"/>
      <c r="BF111" s="103"/>
      <c r="BG111" s="103"/>
      <c r="BH111" s="103"/>
      <c r="BI111" s="103"/>
      <c r="BJ111" s="103"/>
      <c r="BK111" s="103"/>
      <c r="BL111" s="103"/>
      <c r="BM111" s="103"/>
      <c r="BN111" s="103"/>
      <c r="BO111" s="103"/>
      <c r="BP111" s="103"/>
      <c r="BQ111" s="103"/>
      <c r="BR111" s="103"/>
      <c r="BS111" s="103"/>
      <c r="BT111" s="103"/>
      <c r="BU111" s="103"/>
      <c r="BV111" s="103"/>
      <c r="BW111" s="103"/>
      <c r="BX111" s="103"/>
      <c r="BY111" s="103"/>
      <c r="BZ111" s="103"/>
    </row>
    <row r="112" spans="1:78" x14ac:dyDescent="0.2">
      <c r="A112" s="5"/>
      <c r="B112" s="5"/>
      <c r="C112" s="5"/>
      <c r="D112" s="5"/>
      <c r="E112" s="5"/>
      <c r="F112" s="5"/>
      <c r="G112" s="5"/>
      <c r="H112" s="5"/>
      <c r="I112" s="5"/>
      <c r="J112" s="5"/>
      <c r="K112" s="5"/>
      <c r="L112" s="35"/>
      <c r="M112" s="6"/>
      <c r="N112" s="6"/>
      <c r="O112" s="6"/>
      <c r="P112" s="6"/>
      <c r="Q112" s="108"/>
      <c r="R112" s="5"/>
      <c r="S112" s="5"/>
      <c r="T112" s="5"/>
      <c r="U112" s="5"/>
      <c r="V112" s="5"/>
      <c r="W112" s="5"/>
      <c r="X112" s="5"/>
      <c r="Y112" s="5"/>
      <c r="Z112" s="150"/>
      <c r="AA112" s="103"/>
      <c r="AB112" s="103"/>
      <c r="AC112" s="103"/>
      <c r="AD112" s="103"/>
      <c r="AE112" s="103"/>
      <c r="AF112" s="103"/>
      <c r="AG112" s="103"/>
      <c r="AH112" s="103"/>
      <c r="AI112" s="103"/>
      <c r="AJ112" s="103"/>
      <c r="AK112" s="103"/>
      <c r="AL112" s="103"/>
      <c r="AM112" s="103"/>
      <c r="AN112" s="103"/>
      <c r="AO112" s="103"/>
      <c r="AP112" s="103"/>
      <c r="AQ112" s="103"/>
      <c r="AR112" s="103"/>
      <c r="AS112" s="103"/>
      <c r="AT112" s="103"/>
      <c r="AU112" s="103"/>
      <c r="AV112" s="103"/>
      <c r="AW112" s="103"/>
      <c r="AX112" s="103"/>
      <c r="AY112" s="103"/>
      <c r="AZ112" s="103"/>
      <c r="BA112" s="103"/>
      <c r="BB112" s="103"/>
      <c r="BC112" s="103"/>
      <c r="BD112" s="103"/>
      <c r="BE112" s="103"/>
      <c r="BF112" s="103"/>
      <c r="BG112" s="103"/>
      <c r="BH112" s="103"/>
      <c r="BI112" s="103"/>
      <c r="BJ112" s="103"/>
      <c r="BK112" s="103"/>
      <c r="BL112" s="103"/>
      <c r="BM112" s="103"/>
      <c r="BN112" s="103"/>
      <c r="BO112" s="103"/>
      <c r="BP112" s="103"/>
      <c r="BQ112" s="103"/>
      <c r="BR112" s="103"/>
      <c r="BS112" s="103"/>
      <c r="BT112" s="103"/>
      <c r="BU112" s="103"/>
      <c r="BV112" s="103"/>
      <c r="BW112" s="103"/>
      <c r="BX112" s="103"/>
      <c r="BY112" s="103"/>
      <c r="BZ112" s="103"/>
    </row>
    <row r="113" spans="1:78" x14ac:dyDescent="0.2">
      <c r="A113" s="5"/>
      <c r="B113" s="5"/>
      <c r="C113" s="5"/>
      <c r="D113" s="5"/>
      <c r="E113" s="5"/>
      <c r="F113" s="5"/>
      <c r="G113" s="5"/>
      <c r="H113" s="5"/>
      <c r="I113" s="5"/>
      <c r="J113" s="5"/>
      <c r="K113" s="5"/>
      <c r="L113" s="35"/>
      <c r="M113" s="6"/>
      <c r="N113" s="6"/>
      <c r="O113" s="6"/>
      <c r="P113" s="6"/>
      <c r="Q113" s="108"/>
      <c r="R113" s="5"/>
      <c r="S113" s="5"/>
      <c r="T113" s="5"/>
      <c r="U113" s="5"/>
      <c r="V113" s="5"/>
      <c r="W113" s="5"/>
      <c r="X113" s="5"/>
      <c r="Y113" s="5"/>
      <c r="Z113" s="150"/>
      <c r="AA113" s="103"/>
      <c r="AB113" s="103"/>
      <c r="AC113" s="103"/>
      <c r="AD113" s="103"/>
      <c r="AE113" s="103"/>
      <c r="AF113" s="103"/>
      <c r="AG113" s="103"/>
      <c r="AH113" s="103"/>
      <c r="AI113" s="103"/>
      <c r="AJ113" s="103"/>
      <c r="AK113" s="103"/>
      <c r="AL113" s="103"/>
      <c r="AM113" s="103"/>
      <c r="AN113" s="103"/>
      <c r="AO113" s="103"/>
      <c r="AP113" s="103"/>
      <c r="AQ113" s="103"/>
      <c r="AR113" s="103"/>
      <c r="AS113" s="103"/>
      <c r="AT113" s="103"/>
      <c r="AU113" s="103"/>
      <c r="AV113" s="103"/>
      <c r="AW113" s="103"/>
      <c r="AX113" s="103"/>
      <c r="AY113" s="103"/>
      <c r="AZ113" s="103"/>
      <c r="BA113" s="103"/>
      <c r="BB113" s="103"/>
      <c r="BC113" s="103"/>
      <c r="BD113" s="103"/>
      <c r="BE113" s="103"/>
      <c r="BF113" s="103"/>
      <c r="BG113" s="103"/>
      <c r="BH113" s="103"/>
      <c r="BI113" s="103"/>
      <c r="BJ113" s="103"/>
      <c r="BK113" s="103"/>
      <c r="BL113" s="103"/>
      <c r="BM113" s="103"/>
      <c r="BN113" s="103"/>
      <c r="BO113" s="103"/>
      <c r="BP113" s="103"/>
      <c r="BQ113" s="103"/>
      <c r="BR113" s="103"/>
      <c r="BS113" s="103"/>
      <c r="BT113" s="103"/>
      <c r="BU113" s="103"/>
      <c r="BV113" s="103"/>
      <c r="BW113" s="103"/>
      <c r="BX113" s="103"/>
      <c r="BY113" s="103"/>
      <c r="BZ113" s="103"/>
    </row>
    <row r="114" spans="1:78" x14ac:dyDescent="0.2">
      <c r="A114" s="5"/>
      <c r="B114" s="5"/>
      <c r="C114" s="5"/>
      <c r="D114" s="5"/>
      <c r="E114" s="5"/>
      <c r="F114" s="5"/>
      <c r="G114" s="5"/>
      <c r="H114" s="5"/>
      <c r="I114" s="5"/>
      <c r="J114" s="5"/>
      <c r="K114" s="5"/>
      <c r="L114" s="35"/>
      <c r="M114" s="6"/>
      <c r="N114" s="6"/>
      <c r="O114" s="6"/>
      <c r="P114" s="6"/>
      <c r="Q114" s="108"/>
      <c r="R114" s="5"/>
      <c r="S114" s="5"/>
      <c r="T114" s="5"/>
      <c r="U114" s="5"/>
      <c r="V114" s="5"/>
      <c r="W114" s="5"/>
      <c r="X114" s="5"/>
      <c r="Y114" s="5"/>
      <c r="Z114" s="150"/>
      <c r="AA114" s="103"/>
      <c r="AB114" s="103"/>
      <c r="AC114" s="103"/>
      <c r="AD114" s="103"/>
      <c r="AE114" s="103"/>
      <c r="AF114" s="103"/>
      <c r="AG114" s="103"/>
      <c r="AH114" s="103"/>
      <c r="AI114" s="103"/>
      <c r="AJ114" s="103"/>
      <c r="AK114" s="103"/>
      <c r="AL114" s="103"/>
      <c r="AM114" s="103"/>
      <c r="AN114" s="103"/>
      <c r="AO114" s="103"/>
      <c r="AP114" s="103"/>
      <c r="AQ114" s="103"/>
      <c r="AR114" s="103"/>
      <c r="AS114" s="103"/>
      <c r="AT114" s="103"/>
      <c r="AU114" s="103"/>
      <c r="AV114" s="103"/>
      <c r="AW114" s="103"/>
      <c r="AX114" s="103"/>
      <c r="AY114" s="103"/>
      <c r="AZ114" s="103"/>
      <c r="BA114" s="103"/>
      <c r="BB114" s="103"/>
      <c r="BC114" s="103"/>
      <c r="BD114" s="103"/>
      <c r="BE114" s="103"/>
      <c r="BF114" s="103"/>
      <c r="BG114" s="103"/>
      <c r="BH114" s="103"/>
      <c r="BI114" s="103"/>
      <c r="BJ114" s="103"/>
      <c r="BK114" s="103"/>
      <c r="BL114" s="103"/>
      <c r="BM114" s="103"/>
      <c r="BN114" s="103"/>
      <c r="BO114" s="103"/>
      <c r="BP114" s="103"/>
      <c r="BQ114" s="103"/>
      <c r="BR114" s="103"/>
      <c r="BS114" s="103"/>
      <c r="BT114" s="103"/>
      <c r="BU114" s="103"/>
      <c r="BV114" s="103"/>
      <c r="BW114" s="103"/>
      <c r="BX114" s="103"/>
      <c r="BY114" s="103"/>
      <c r="BZ114" s="103"/>
    </row>
    <row r="115" spans="1:78" x14ac:dyDescent="0.2">
      <c r="A115" s="5"/>
      <c r="B115" s="5"/>
      <c r="C115" s="5"/>
      <c r="D115" s="5"/>
      <c r="E115" s="5"/>
      <c r="F115" s="5"/>
      <c r="G115" s="5"/>
      <c r="H115" s="5"/>
      <c r="I115" s="5"/>
      <c r="J115" s="5"/>
      <c r="K115" s="5"/>
      <c r="L115" s="35"/>
      <c r="M115" s="6"/>
      <c r="N115" s="6"/>
      <c r="O115" s="6"/>
      <c r="P115" s="6"/>
      <c r="Q115" s="108"/>
      <c r="R115" s="5"/>
      <c r="S115" s="5"/>
      <c r="T115" s="5"/>
      <c r="U115" s="5"/>
      <c r="V115" s="5"/>
      <c r="W115" s="5"/>
      <c r="X115" s="5"/>
      <c r="Y115" s="5"/>
      <c r="Z115" s="150"/>
      <c r="AA115" s="103"/>
      <c r="AB115" s="103"/>
      <c r="AC115" s="103"/>
      <c r="AD115" s="103"/>
      <c r="AE115" s="103"/>
      <c r="AF115" s="103"/>
      <c r="AG115" s="103"/>
      <c r="AH115" s="103"/>
      <c r="AI115" s="103"/>
      <c r="AJ115" s="103"/>
      <c r="AK115" s="103"/>
      <c r="AL115" s="103"/>
      <c r="AM115" s="103"/>
      <c r="AN115" s="103"/>
      <c r="AO115" s="103"/>
      <c r="AP115" s="103"/>
      <c r="AQ115" s="103"/>
      <c r="AR115" s="103"/>
      <c r="AS115" s="103"/>
      <c r="AT115" s="103"/>
      <c r="AU115" s="103"/>
      <c r="AV115" s="103"/>
      <c r="AW115" s="103"/>
      <c r="AX115" s="103"/>
      <c r="AY115" s="103"/>
      <c r="AZ115" s="103"/>
      <c r="BA115" s="103"/>
      <c r="BB115" s="103"/>
      <c r="BC115" s="103"/>
      <c r="BD115" s="103"/>
      <c r="BE115" s="103"/>
      <c r="BF115" s="103"/>
      <c r="BG115" s="103"/>
      <c r="BH115" s="103"/>
      <c r="BI115" s="103"/>
      <c r="BJ115" s="103"/>
      <c r="BK115" s="103"/>
      <c r="BL115" s="103"/>
      <c r="BM115" s="103"/>
      <c r="BN115" s="103"/>
      <c r="BO115" s="103"/>
      <c r="BP115" s="103"/>
      <c r="BQ115" s="103"/>
      <c r="BR115" s="103"/>
      <c r="BS115" s="103"/>
      <c r="BT115" s="103"/>
      <c r="BU115" s="103"/>
      <c r="BV115" s="103"/>
      <c r="BW115" s="103"/>
      <c r="BX115" s="103"/>
      <c r="BY115" s="103"/>
      <c r="BZ115" s="103"/>
    </row>
    <row r="116" spans="1:78" x14ac:dyDescent="0.2">
      <c r="A116" s="5"/>
      <c r="B116" s="5"/>
      <c r="C116" s="5"/>
      <c r="D116" s="5"/>
      <c r="E116" s="5"/>
      <c r="F116" s="5"/>
      <c r="G116" s="5"/>
      <c r="H116" s="5"/>
      <c r="I116" s="5"/>
      <c r="J116" s="5"/>
      <c r="K116" s="5"/>
      <c r="L116" s="35"/>
      <c r="M116" s="6"/>
      <c r="N116" s="6"/>
      <c r="O116" s="6"/>
      <c r="P116" s="6"/>
      <c r="Q116" s="108"/>
      <c r="R116" s="5"/>
      <c r="S116" s="5"/>
      <c r="T116" s="5"/>
      <c r="U116" s="5"/>
      <c r="V116" s="5"/>
      <c r="W116" s="5"/>
      <c r="X116" s="5"/>
      <c r="Y116" s="5"/>
      <c r="Z116" s="150"/>
      <c r="AA116" s="103"/>
      <c r="AB116" s="103"/>
      <c r="AC116" s="103"/>
      <c r="AD116" s="103"/>
      <c r="AE116" s="103"/>
      <c r="AF116" s="103"/>
      <c r="AG116" s="103"/>
      <c r="AH116" s="103"/>
      <c r="AI116" s="103"/>
      <c r="AJ116" s="103"/>
      <c r="AK116" s="103"/>
      <c r="AL116" s="103"/>
      <c r="AM116" s="103"/>
      <c r="AN116" s="103"/>
      <c r="AO116" s="103"/>
      <c r="AP116" s="103"/>
      <c r="AQ116" s="103"/>
      <c r="AR116" s="103"/>
      <c r="AS116" s="103"/>
      <c r="AT116" s="103"/>
      <c r="AU116" s="103"/>
      <c r="AV116" s="103"/>
      <c r="AW116" s="103"/>
      <c r="AX116" s="103"/>
      <c r="AY116" s="103"/>
      <c r="AZ116" s="103"/>
      <c r="BA116" s="103"/>
      <c r="BB116" s="103"/>
      <c r="BC116" s="103"/>
      <c r="BD116" s="103"/>
      <c r="BE116" s="103"/>
      <c r="BF116" s="103"/>
      <c r="BG116" s="103"/>
      <c r="BH116" s="103"/>
      <c r="BI116" s="103"/>
      <c r="BJ116" s="103"/>
      <c r="BK116" s="103"/>
      <c r="BL116" s="103"/>
      <c r="BM116" s="103"/>
      <c r="BN116" s="103"/>
      <c r="BO116" s="103"/>
      <c r="BP116" s="103"/>
      <c r="BQ116" s="103"/>
      <c r="BR116" s="103"/>
      <c r="BS116" s="103"/>
      <c r="BT116" s="103"/>
      <c r="BU116" s="103"/>
      <c r="BV116" s="103"/>
      <c r="BW116" s="103"/>
      <c r="BX116" s="103"/>
      <c r="BY116" s="103"/>
      <c r="BZ116" s="103"/>
    </row>
    <row r="117" spans="1:78" x14ac:dyDescent="0.2">
      <c r="A117" s="5"/>
      <c r="B117" s="5"/>
      <c r="C117" s="5"/>
      <c r="D117" s="5"/>
      <c r="E117" s="5"/>
      <c r="F117" s="5"/>
      <c r="G117" s="5"/>
      <c r="H117" s="5"/>
      <c r="I117" s="5"/>
      <c r="J117" s="5"/>
      <c r="K117" s="5"/>
      <c r="L117" s="35"/>
      <c r="M117" s="6"/>
      <c r="N117" s="6"/>
      <c r="O117" s="6"/>
      <c r="P117" s="6"/>
      <c r="Q117" s="108"/>
      <c r="R117" s="5"/>
      <c r="S117" s="5"/>
      <c r="T117" s="5"/>
      <c r="U117" s="5"/>
      <c r="V117" s="5"/>
      <c r="W117" s="5"/>
      <c r="X117" s="5"/>
      <c r="Y117" s="5"/>
      <c r="Z117" s="150"/>
      <c r="AA117" s="103"/>
      <c r="AB117" s="103"/>
      <c r="AC117" s="103"/>
      <c r="AD117" s="103"/>
      <c r="AE117" s="103"/>
      <c r="AF117" s="103"/>
      <c r="AG117" s="103"/>
      <c r="AH117" s="103"/>
      <c r="AI117" s="103"/>
      <c r="AJ117" s="103"/>
      <c r="AK117" s="103"/>
      <c r="AL117" s="103"/>
      <c r="AM117" s="103"/>
      <c r="AN117" s="103"/>
      <c r="AO117" s="103"/>
      <c r="AP117" s="103"/>
      <c r="AQ117" s="103"/>
      <c r="AR117" s="103"/>
      <c r="AS117" s="103"/>
      <c r="AT117" s="103"/>
      <c r="AU117" s="103"/>
      <c r="AV117" s="103"/>
      <c r="AW117" s="103"/>
      <c r="AX117" s="103"/>
      <c r="AY117" s="103"/>
      <c r="AZ117" s="103"/>
      <c r="BA117" s="103"/>
      <c r="BB117" s="103"/>
      <c r="BC117" s="103"/>
      <c r="BD117" s="103"/>
      <c r="BE117" s="103"/>
      <c r="BF117" s="103"/>
      <c r="BG117" s="103"/>
      <c r="BH117" s="103"/>
      <c r="BI117" s="103"/>
      <c r="BJ117" s="103"/>
      <c r="BK117" s="103"/>
      <c r="BL117" s="103"/>
      <c r="BM117" s="103"/>
      <c r="BN117" s="103"/>
      <c r="BO117" s="103"/>
      <c r="BP117" s="103"/>
      <c r="BQ117" s="103"/>
      <c r="BR117" s="103"/>
      <c r="BS117" s="103"/>
      <c r="BT117" s="103"/>
      <c r="BU117" s="103"/>
      <c r="BV117" s="103"/>
      <c r="BW117" s="103"/>
      <c r="BX117" s="103"/>
      <c r="BY117" s="103"/>
      <c r="BZ117" s="103"/>
    </row>
    <row r="118" spans="1:78" x14ac:dyDescent="0.2">
      <c r="A118" s="5"/>
      <c r="B118" s="5"/>
      <c r="C118" s="5"/>
      <c r="D118" s="5"/>
      <c r="E118" s="5"/>
      <c r="F118" s="5"/>
      <c r="G118" s="5"/>
      <c r="H118" s="5"/>
      <c r="I118" s="5"/>
      <c r="J118" s="5"/>
      <c r="K118" s="5"/>
      <c r="L118" s="35"/>
      <c r="M118" s="6"/>
      <c r="N118" s="6"/>
      <c r="O118" s="6"/>
      <c r="P118" s="6"/>
      <c r="Q118" s="108"/>
      <c r="R118" s="5"/>
      <c r="S118" s="5"/>
      <c r="T118" s="5"/>
      <c r="U118" s="5"/>
      <c r="V118" s="5"/>
      <c r="W118" s="5"/>
      <c r="X118" s="5"/>
      <c r="Y118" s="5"/>
      <c r="Z118" s="150"/>
      <c r="AA118" s="103"/>
      <c r="AB118" s="103"/>
      <c r="AC118" s="103"/>
      <c r="AD118" s="103"/>
      <c r="AE118" s="103"/>
      <c r="AF118" s="103"/>
      <c r="AG118" s="103"/>
      <c r="AH118" s="103"/>
      <c r="AI118" s="103"/>
      <c r="AJ118" s="103"/>
      <c r="AK118" s="103"/>
      <c r="AL118" s="103"/>
      <c r="AM118" s="103"/>
      <c r="AN118" s="103"/>
      <c r="AO118" s="103"/>
      <c r="AP118" s="103"/>
      <c r="AQ118" s="103"/>
      <c r="AR118" s="103"/>
      <c r="AS118" s="103"/>
      <c r="AT118" s="103"/>
      <c r="AU118" s="103"/>
      <c r="AV118" s="103"/>
      <c r="AW118" s="103"/>
      <c r="AX118" s="103"/>
      <c r="AY118" s="103"/>
      <c r="AZ118" s="103"/>
      <c r="BA118" s="103"/>
      <c r="BB118" s="103"/>
      <c r="BC118" s="103"/>
      <c r="BD118" s="103"/>
      <c r="BE118" s="103"/>
      <c r="BF118" s="103"/>
      <c r="BG118" s="103"/>
      <c r="BH118" s="103"/>
      <c r="BI118" s="103"/>
      <c r="BJ118" s="103"/>
      <c r="BK118" s="103"/>
      <c r="BL118" s="103"/>
      <c r="BM118" s="103"/>
      <c r="BN118" s="103"/>
      <c r="BO118" s="103"/>
      <c r="BP118" s="103"/>
      <c r="BQ118" s="103"/>
      <c r="BR118" s="103"/>
      <c r="BS118" s="103"/>
      <c r="BT118" s="103"/>
      <c r="BU118" s="103"/>
      <c r="BV118" s="103"/>
      <c r="BW118" s="103"/>
      <c r="BX118" s="103"/>
      <c r="BY118" s="103"/>
      <c r="BZ118" s="103"/>
    </row>
    <row r="119" spans="1:78" x14ac:dyDescent="0.2">
      <c r="A119" s="5"/>
      <c r="B119" s="5"/>
      <c r="C119" s="5"/>
      <c r="D119" s="5"/>
      <c r="E119" s="5"/>
      <c r="F119" s="5"/>
      <c r="G119" s="5"/>
      <c r="H119" s="5"/>
      <c r="I119" s="5"/>
      <c r="J119" s="5"/>
      <c r="K119" s="5"/>
      <c r="L119" s="35"/>
      <c r="M119" s="6"/>
      <c r="N119" s="6"/>
      <c r="O119" s="6"/>
      <c r="P119" s="6"/>
      <c r="Q119" s="108"/>
      <c r="R119" s="5"/>
      <c r="S119" s="5"/>
      <c r="T119" s="5"/>
      <c r="U119" s="5"/>
      <c r="V119" s="5"/>
      <c r="W119" s="5"/>
      <c r="X119" s="5"/>
      <c r="Y119" s="5"/>
      <c r="Z119" s="150"/>
      <c r="AA119" s="103"/>
      <c r="AB119" s="103"/>
      <c r="AC119" s="103"/>
      <c r="AD119" s="103"/>
      <c r="AE119" s="103"/>
      <c r="AF119" s="103"/>
      <c r="AG119" s="103"/>
      <c r="AH119" s="103"/>
      <c r="AI119" s="103"/>
      <c r="AJ119" s="103"/>
      <c r="AK119" s="103"/>
      <c r="AL119" s="103"/>
      <c r="AM119" s="103"/>
      <c r="AN119" s="103"/>
      <c r="AO119" s="103"/>
      <c r="AP119" s="103"/>
      <c r="AQ119" s="103"/>
      <c r="AR119" s="103"/>
      <c r="AS119" s="103"/>
      <c r="AT119" s="103"/>
      <c r="AU119" s="103"/>
      <c r="AV119" s="103"/>
      <c r="AW119" s="103"/>
      <c r="AX119" s="103"/>
      <c r="AY119" s="103"/>
      <c r="AZ119" s="103"/>
      <c r="BA119" s="103"/>
      <c r="BB119" s="103"/>
      <c r="BC119" s="103"/>
      <c r="BD119" s="103"/>
      <c r="BE119" s="103"/>
      <c r="BF119" s="103"/>
      <c r="BG119" s="103"/>
      <c r="BH119" s="103"/>
      <c r="BI119" s="103"/>
      <c r="BJ119" s="103"/>
      <c r="BK119" s="103"/>
      <c r="BL119" s="103"/>
      <c r="BM119" s="103"/>
      <c r="BN119" s="103"/>
      <c r="BO119" s="103"/>
      <c r="BP119" s="103"/>
      <c r="BQ119" s="103"/>
      <c r="BR119" s="103"/>
      <c r="BS119" s="103"/>
      <c r="BT119" s="103"/>
      <c r="BU119" s="103"/>
      <c r="BV119" s="103"/>
      <c r="BW119" s="103"/>
      <c r="BX119" s="103"/>
      <c r="BY119" s="103"/>
      <c r="BZ119" s="103"/>
    </row>
    <row r="120" spans="1:78" x14ac:dyDescent="0.2">
      <c r="A120" s="5"/>
      <c r="B120" s="5"/>
      <c r="C120" s="5"/>
      <c r="D120" s="5"/>
      <c r="E120" s="5"/>
      <c r="F120" s="5"/>
      <c r="G120" s="5"/>
      <c r="H120" s="5"/>
      <c r="I120" s="5"/>
      <c r="J120" s="5"/>
      <c r="K120" s="5"/>
      <c r="L120" s="35"/>
      <c r="M120" s="6"/>
      <c r="N120" s="6"/>
      <c r="O120" s="6"/>
      <c r="P120" s="6"/>
      <c r="Q120" s="108"/>
      <c r="R120" s="5"/>
      <c r="S120" s="5"/>
      <c r="T120" s="5"/>
      <c r="U120" s="5"/>
      <c r="V120" s="5"/>
      <c r="W120" s="5"/>
      <c r="X120" s="5"/>
      <c r="Y120" s="5"/>
      <c r="Z120" s="150"/>
      <c r="AA120" s="103"/>
      <c r="AB120" s="103"/>
      <c r="AC120" s="103"/>
      <c r="AD120" s="103"/>
      <c r="AE120" s="103"/>
      <c r="AF120" s="103"/>
      <c r="AG120" s="103"/>
      <c r="AH120" s="103"/>
      <c r="AI120" s="103"/>
      <c r="AJ120" s="103"/>
      <c r="AK120" s="103"/>
      <c r="AL120" s="103"/>
      <c r="AM120" s="103"/>
      <c r="AN120" s="103"/>
      <c r="AO120" s="103"/>
      <c r="AP120" s="103"/>
      <c r="AQ120" s="103"/>
      <c r="AR120" s="103"/>
      <c r="AS120" s="103"/>
      <c r="AT120" s="103"/>
      <c r="AU120" s="103"/>
      <c r="AV120" s="103"/>
      <c r="AW120" s="103"/>
      <c r="AX120" s="103"/>
      <c r="AY120" s="103"/>
      <c r="AZ120" s="103"/>
      <c r="BA120" s="103"/>
      <c r="BB120" s="103"/>
      <c r="BC120" s="103"/>
      <c r="BD120" s="103"/>
      <c r="BE120" s="103"/>
      <c r="BF120" s="103"/>
      <c r="BG120" s="103"/>
      <c r="BH120" s="103"/>
      <c r="BI120" s="103"/>
      <c r="BJ120" s="103"/>
      <c r="BK120" s="103"/>
      <c r="BL120" s="103"/>
      <c r="BM120" s="103"/>
      <c r="BN120" s="103"/>
      <c r="BO120" s="103"/>
      <c r="BP120" s="103"/>
      <c r="BQ120" s="103"/>
      <c r="BR120" s="103"/>
      <c r="BS120" s="103"/>
      <c r="BT120" s="103"/>
      <c r="BU120" s="103"/>
      <c r="BV120" s="103"/>
      <c r="BW120" s="103"/>
      <c r="BX120" s="103"/>
      <c r="BY120" s="103"/>
      <c r="BZ120" s="103"/>
    </row>
    <row r="121" spans="1:78" x14ac:dyDescent="0.2">
      <c r="A121" s="5"/>
      <c r="B121" s="5"/>
      <c r="C121" s="5"/>
      <c r="D121" s="5"/>
      <c r="E121" s="5"/>
      <c r="F121" s="5"/>
      <c r="G121" s="5"/>
      <c r="H121" s="5"/>
      <c r="I121" s="5"/>
      <c r="J121" s="5"/>
      <c r="K121" s="5"/>
      <c r="L121" s="35"/>
      <c r="M121" s="6"/>
      <c r="N121" s="6"/>
      <c r="O121" s="6"/>
      <c r="P121" s="6"/>
      <c r="Q121" s="108"/>
      <c r="R121" s="5"/>
      <c r="S121" s="5"/>
      <c r="T121" s="5"/>
      <c r="U121" s="5"/>
      <c r="V121" s="5"/>
      <c r="W121" s="5"/>
      <c r="X121" s="5"/>
      <c r="Y121" s="5"/>
      <c r="Z121" s="150"/>
      <c r="AA121" s="103"/>
      <c r="AB121" s="103"/>
      <c r="AC121" s="103"/>
      <c r="AD121" s="103"/>
      <c r="AE121" s="103"/>
      <c r="AF121" s="103"/>
      <c r="AG121" s="103"/>
      <c r="AH121" s="103"/>
      <c r="AI121" s="103"/>
      <c r="AJ121" s="103"/>
      <c r="AK121" s="103"/>
      <c r="AL121" s="103"/>
      <c r="AM121" s="103"/>
      <c r="AN121" s="103"/>
      <c r="AO121" s="103"/>
      <c r="AP121" s="103"/>
      <c r="AQ121" s="103"/>
      <c r="AR121" s="103"/>
      <c r="AS121" s="103"/>
      <c r="AT121" s="103"/>
      <c r="AU121" s="103"/>
      <c r="AV121" s="103"/>
      <c r="AW121" s="103"/>
      <c r="AX121" s="103"/>
      <c r="AY121" s="103"/>
      <c r="AZ121" s="103"/>
      <c r="BA121" s="103"/>
      <c r="BB121" s="103"/>
      <c r="BC121" s="103"/>
      <c r="BD121" s="103"/>
      <c r="BE121" s="103"/>
      <c r="BF121" s="103"/>
      <c r="BG121" s="103"/>
      <c r="BH121" s="103"/>
      <c r="BI121" s="103"/>
      <c r="BJ121" s="103"/>
      <c r="BK121" s="103"/>
      <c r="BL121" s="103"/>
      <c r="BM121" s="103"/>
      <c r="BN121" s="103"/>
      <c r="BO121" s="103"/>
      <c r="BP121" s="103"/>
      <c r="BQ121" s="103"/>
      <c r="BR121" s="103"/>
      <c r="BS121" s="103"/>
      <c r="BT121" s="103"/>
      <c r="BU121" s="103"/>
      <c r="BV121" s="103"/>
      <c r="BW121" s="103"/>
      <c r="BX121" s="103"/>
      <c r="BY121" s="103"/>
      <c r="BZ121" s="103"/>
    </row>
    <row r="122" spans="1:78" x14ac:dyDescent="0.2">
      <c r="A122" s="5"/>
      <c r="B122" s="5"/>
      <c r="C122" s="5"/>
      <c r="D122" s="5"/>
      <c r="E122" s="5"/>
      <c r="F122" s="5"/>
      <c r="G122" s="5"/>
      <c r="H122" s="5"/>
      <c r="I122" s="5"/>
      <c r="J122" s="5"/>
      <c r="K122" s="5"/>
      <c r="L122" s="35"/>
      <c r="M122" s="6"/>
      <c r="N122" s="6"/>
      <c r="O122" s="6"/>
      <c r="P122" s="6"/>
      <c r="Q122" s="108"/>
      <c r="R122" s="5"/>
      <c r="S122" s="5"/>
      <c r="T122" s="5"/>
      <c r="U122" s="5"/>
      <c r="V122" s="5"/>
      <c r="W122" s="5"/>
      <c r="X122" s="5"/>
      <c r="Y122" s="5"/>
      <c r="Z122" s="150"/>
      <c r="AA122" s="103"/>
      <c r="AB122" s="103"/>
      <c r="AC122" s="103"/>
      <c r="AD122" s="103"/>
      <c r="AE122" s="103"/>
      <c r="AF122" s="103"/>
      <c r="AG122" s="103"/>
      <c r="AH122" s="103"/>
      <c r="AI122" s="103"/>
      <c r="AJ122" s="103"/>
      <c r="AK122" s="103"/>
      <c r="AL122" s="103"/>
      <c r="AM122" s="103"/>
      <c r="AN122" s="103"/>
      <c r="AO122" s="103"/>
      <c r="AP122" s="103"/>
      <c r="AQ122" s="103"/>
      <c r="AR122" s="103"/>
      <c r="AS122" s="103"/>
      <c r="AT122" s="103"/>
      <c r="AU122" s="103"/>
      <c r="AV122" s="103"/>
      <c r="AW122" s="103"/>
      <c r="AX122" s="103"/>
      <c r="AY122" s="103"/>
      <c r="AZ122" s="103"/>
      <c r="BA122" s="103"/>
      <c r="BB122" s="103"/>
      <c r="BC122" s="103"/>
      <c r="BD122" s="103"/>
      <c r="BE122" s="103"/>
      <c r="BF122" s="103"/>
      <c r="BG122" s="103"/>
      <c r="BH122" s="103"/>
      <c r="BI122" s="103"/>
      <c r="BJ122" s="103"/>
      <c r="BK122" s="103"/>
      <c r="BL122" s="103"/>
      <c r="BM122" s="103"/>
      <c r="BN122" s="103"/>
      <c r="BO122" s="103"/>
      <c r="BP122" s="103"/>
      <c r="BQ122" s="103"/>
      <c r="BR122" s="103"/>
      <c r="BS122" s="103"/>
      <c r="BT122" s="103"/>
      <c r="BU122" s="103"/>
      <c r="BV122" s="103"/>
      <c r="BW122" s="103"/>
      <c r="BX122" s="103"/>
      <c r="BY122" s="103"/>
      <c r="BZ122" s="103"/>
    </row>
    <row r="123" spans="1:78" x14ac:dyDescent="0.2">
      <c r="A123" s="5"/>
      <c r="B123" s="5"/>
      <c r="C123" s="5"/>
      <c r="D123" s="5"/>
      <c r="E123" s="5"/>
      <c r="F123" s="5"/>
      <c r="G123" s="5"/>
      <c r="H123" s="5"/>
      <c r="I123" s="5"/>
      <c r="J123" s="5"/>
      <c r="K123" s="5"/>
      <c r="L123" s="35"/>
      <c r="M123" s="6"/>
      <c r="N123" s="6"/>
      <c r="O123" s="6"/>
      <c r="P123" s="6"/>
      <c r="Q123" s="108"/>
      <c r="R123" s="5"/>
      <c r="S123" s="5"/>
      <c r="T123" s="5"/>
      <c r="U123" s="5"/>
      <c r="V123" s="5"/>
      <c r="W123" s="5"/>
      <c r="X123" s="5"/>
      <c r="Y123" s="5"/>
      <c r="Z123" s="150"/>
      <c r="AA123" s="103"/>
      <c r="AB123" s="103"/>
      <c r="AC123" s="103"/>
      <c r="AD123" s="103"/>
      <c r="AE123" s="103"/>
      <c r="AF123" s="103"/>
      <c r="AG123" s="103"/>
      <c r="AH123" s="103"/>
      <c r="AI123" s="103"/>
      <c r="AJ123" s="103"/>
      <c r="AK123" s="103"/>
      <c r="AL123" s="103"/>
      <c r="AM123" s="103"/>
      <c r="AN123" s="103"/>
      <c r="AO123" s="103"/>
      <c r="AP123" s="103"/>
      <c r="AQ123" s="103"/>
      <c r="AR123" s="103"/>
      <c r="AS123" s="103"/>
      <c r="AT123" s="103"/>
      <c r="AU123" s="103"/>
      <c r="AV123" s="103"/>
      <c r="AW123" s="103"/>
      <c r="AX123" s="103"/>
      <c r="AY123" s="103"/>
      <c r="AZ123" s="103"/>
      <c r="BA123" s="103"/>
      <c r="BB123" s="103"/>
      <c r="BC123" s="103"/>
      <c r="BD123" s="103"/>
      <c r="BE123" s="103"/>
      <c r="BF123" s="103"/>
      <c r="BG123" s="103"/>
      <c r="BH123" s="103"/>
      <c r="BI123" s="103"/>
      <c r="BJ123" s="103"/>
      <c r="BK123" s="103"/>
      <c r="BL123" s="103"/>
      <c r="BM123" s="103"/>
      <c r="BN123" s="103"/>
      <c r="BO123" s="103"/>
      <c r="BP123" s="103"/>
      <c r="BQ123" s="103"/>
      <c r="BR123" s="103"/>
      <c r="BS123" s="103"/>
      <c r="BT123" s="103"/>
      <c r="BU123" s="103"/>
      <c r="BV123" s="103"/>
      <c r="BW123" s="103"/>
      <c r="BX123" s="103"/>
      <c r="BY123" s="103"/>
      <c r="BZ123" s="103"/>
    </row>
    <row r="124" spans="1:78" x14ac:dyDescent="0.2">
      <c r="A124" s="5"/>
      <c r="B124" s="5"/>
      <c r="C124" s="5"/>
      <c r="D124" s="5"/>
      <c r="E124" s="5"/>
      <c r="F124" s="5"/>
      <c r="G124" s="5"/>
      <c r="H124" s="5"/>
      <c r="I124" s="5"/>
      <c r="J124" s="5"/>
      <c r="K124" s="5"/>
      <c r="L124" s="35"/>
      <c r="M124" s="6"/>
      <c r="N124" s="6"/>
      <c r="O124" s="6"/>
      <c r="P124" s="6"/>
      <c r="Q124" s="108"/>
      <c r="R124" s="5"/>
      <c r="S124" s="5"/>
      <c r="T124" s="5"/>
      <c r="U124" s="5"/>
      <c r="V124" s="5"/>
      <c r="W124" s="5"/>
      <c r="X124" s="5"/>
      <c r="Y124" s="5"/>
      <c r="Z124" s="150"/>
      <c r="AA124" s="103"/>
      <c r="AB124" s="103"/>
      <c r="AC124" s="103"/>
      <c r="AD124" s="103"/>
      <c r="AE124" s="103"/>
      <c r="AF124" s="103"/>
      <c r="AG124" s="103"/>
      <c r="AH124" s="103"/>
      <c r="AI124" s="103"/>
      <c r="AJ124" s="103"/>
      <c r="AK124" s="103"/>
      <c r="AL124" s="103"/>
      <c r="AM124" s="103"/>
      <c r="AN124" s="103"/>
      <c r="AO124" s="103"/>
      <c r="AP124" s="103"/>
      <c r="AQ124" s="103"/>
      <c r="AR124" s="103"/>
      <c r="AS124" s="103"/>
      <c r="AT124" s="103"/>
      <c r="AU124" s="103"/>
      <c r="AV124" s="103"/>
      <c r="AW124" s="103"/>
      <c r="AX124" s="103"/>
      <c r="AY124" s="103"/>
      <c r="AZ124" s="103"/>
      <c r="BA124" s="103"/>
      <c r="BB124" s="103"/>
      <c r="BC124" s="103"/>
      <c r="BD124" s="103"/>
      <c r="BE124" s="103"/>
      <c r="BF124" s="103"/>
      <c r="BG124" s="103"/>
      <c r="BH124" s="103"/>
      <c r="BI124" s="103"/>
      <c r="BJ124" s="103"/>
      <c r="BK124" s="103"/>
      <c r="BL124" s="103"/>
      <c r="BM124" s="103"/>
      <c r="BN124" s="103"/>
      <c r="BO124" s="103"/>
      <c r="BP124" s="103"/>
      <c r="BQ124" s="103"/>
      <c r="BR124" s="103"/>
      <c r="BS124" s="103"/>
      <c r="BT124" s="103"/>
      <c r="BU124" s="103"/>
      <c r="BV124" s="103"/>
      <c r="BW124" s="103"/>
      <c r="BX124" s="103"/>
      <c r="BY124" s="103"/>
      <c r="BZ124" s="103"/>
    </row>
    <row r="125" spans="1:78" x14ac:dyDescent="0.2">
      <c r="A125" s="5"/>
      <c r="B125" s="5"/>
      <c r="C125" s="5"/>
      <c r="D125" s="5"/>
      <c r="E125" s="5"/>
      <c r="F125" s="5"/>
      <c r="G125" s="5"/>
      <c r="H125" s="5"/>
      <c r="I125" s="5"/>
      <c r="J125" s="5"/>
      <c r="K125" s="5"/>
      <c r="L125" s="35"/>
      <c r="M125" s="6"/>
      <c r="N125" s="6"/>
      <c r="O125" s="6"/>
      <c r="P125" s="6"/>
      <c r="Q125" s="108"/>
      <c r="R125" s="5"/>
      <c r="S125" s="5"/>
      <c r="T125" s="5"/>
      <c r="U125" s="5"/>
      <c r="V125" s="5"/>
      <c r="W125" s="5"/>
      <c r="X125" s="5"/>
      <c r="Y125" s="5"/>
      <c r="Z125" s="150"/>
      <c r="AA125" s="103"/>
      <c r="AB125" s="103"/>
      <c r="AC125" s="103"/>
      <c r="AD125" s="103"/>
      <c r="AE125" s="103"/>
      <c r="AF125" s="103"/>
      <c r="AG125" s="103"/>
      <c r="AH125" s="103"/>
      <c r="AI125" s="103"/>
      <c r="AJ125" s="103"/>
      <c r="AK125" s="103"/>
      <c r="AL125" s="103"/>
      <c r="AM125" s="103"/>
      <c r="AN125" s="103"/>
      <c r="AO125" s="103"/>
      <c r="AP125" s="103"/>
      <c r="AQ125" s="103"/>
      <c r="AR125" s="103"/>
      <c r="AS125" s="103"/>
      <c r="AT125" s="103"/>
      <c r="AU125" s="103"/>
      <c r="AV125" s="103"/>
      <c r="AW125" s="103"/>
      <c r="AX125" s="103"/>
      <c r="AY125" s="103"/>
      <c r="AZ125" s="103"/>
      <c r="BA125" s="103"/>
      <c r="BB125" s="103"/>
      <c r="BC125" s="103"/>
      <c r="BD125" s="103"/>
      <c r="BE125" s="103"/>
      <c r="BF125" s="103"/>
      <c r="BG125" s="103"/>
      <c r="BH125" s="103"/>
      <c r="BI125" s="103"/>
      <c r="BJ125" s="103"/>
      <c r="BK125" s="103"/>
      <c r="BL125" s="103"/>
      <c r="BM125" s="103"/>
      <c r="BN125" s="103"/>
      <c r="BO125" s="103"/>
      <c r="BP125" s="103"/>
      <c r="BQ125" s="103"/>
      <c r="BR125" s="103"/>
      <c r="BS125" s="103"/>
      <c r="BT125" s="103"/>
      <c r="BU125" s="103"/>
      <c r="BV125" s="103"/>
      <c r="BW125" s="103"/>
      <c r="BX125" s="103"/>
      <c r="BY125" s="103"/>
      <c r="BZ125" s="103"/>
    </row>
    <row r="126" spans="1:78" x14ac:dyDescent="0.2">
      <c r="A126" s="5"/>
      <c r="B126" s="5"/>
      <c r="C126" s="5"/>
      <c r="D126" s="5"/>
      <c r="E126" s="5"/>
      <c r="F126" s="5"/>
      <c r="G126" s="5"/>
      <c r="H126" s="5"/>
      <c r="I126" s="5"/>
      <c r="J126" s="5"/>
      <c r="K126" s="5"/>
      <c r="L126" s="35"/>
      <c r="M126" s="6"/>
      <c r="N126" s="6"/>
      <c r="O126" s="6"/>
      <c r="P126" s="6"/>
      <c r="Q126" s="108"/>
      <c r="R126" s="5"/>
      <c r="S126" s="5"/>
      <c r="T126" s="5"/>
      <c r="U126" s="5"/>
      <c r="V126" s="5"/>
      <c r="W126" s="5"/>
      <c r="X126" s="5"/>
      <c r="Y126" s="5"/>
      <c r="Z126" s="150"/>
      <c r="AA126" s="103"/>
      <c r="AB126" s="103"/>
      <c r="AC126" s="103"/>
      <c r="AD126" s="103"/>
      <c r="AE126" s="103"/>
      <c r="AF126" s="103"/>
      <c r="AG126" s="103"/>
      <c r="AH126" s="103"/>
      <c r="AI126" s="103"/>
      <c r="AJ126" s="103"/>
      <c r="AK126" s="103"/>
      <c r="AL126" s="103"/>
      <c r="AM126" s="103"/>
      <c r="AN126" s="103"/>
      <c r="AO126" s="103"/>
      <c r="AP126" s="103"/>
      <c r="AQ126" s="103"/>
      <c r="AR126" s="103"/>
      <c r="AS126" s="103"/>
      <c r="AT126" s="103"/>
      <c r="AU126" s="103"/>
      <c r="AV126" s="103"/>
      <c r="AW126" s="103"/>
      <c r="AX126" s="103"/>
      <c r="AY126" s="103"/>
      <c r="AZ126" s="103"/>
      <c r="BA126" s="103"/>
      <c r="BB126" s="103"/>
      <c r="BC126" s="103"/>
      <c r="BD126" s="103"/>
      <c r="BE126" s="103"/>
      <c r="BF126" s="103"/>
      <c r="BG126" s="103"/>
      <c r="BH126" s="103"/>
      <c r="BI126" s="103"/>
      <c r="BJ126" s="103"/>
      <c r="BK126" s="103"/>
      <c r="BL126" s="103"/>
      <c r="BM126" s="103"/>
      <c r="BN126" s="103"/>
      <c r="BO126" s="103"/>
      <c r="BP126" s="103"/>
      <c r="BQ126" s="103"/>
      <c r="BR126" s="103"/>
      <c r="BS126" s="103"/>
      <c r="BT126" s="103"/>
      <c r="BU126" s="103"/>
      <c r="BV126" s="103"/>
      <c r="BW126" s="103"/>
      <c r="BX126" s="103"/>
      <c r="BY126" s="103"/>
      <c r="BZ126" s="103"/>
    </row>
    <row r="127" spans="1:78" x14ac:dyDescent="0.2">
      <c r="R127" s="5"/>
      <c r="S127" s="5"/>
      <c r="T127" s="5"/>
      <c r="U127" s="5"/>
      <c r="V127" s="5"/>
      <c r="W127" s="5"/>
      <c r="X127" s="5"/>
      <c r="Y127" s="5"/>
    </row>
    <row r="128" spans="1:78" x14ac:dyDescent="0.2">
      <c r="R128" s="5"/>
      <c r="S128" s="5"/>
      <c r="T128" s="5"/>
      <c r="U128" s="5"/>
      <c r="V128" s="5"/>
      <c r="W128" s="5"/>
      <c r="X128" s="5"/>
      <c r="Y128" s="5"/>
    </row>
    <row r="129" spans="18:25" x14ac:dyDescent="0.2">
      <c r="R129" s="5"/>
      <c r="S129" s="5"/>
      <c r="T129" s="5"/>
      <c r="U129" s="5"/>
      <c r="V129" s="5"/>
      <c r="W129" s="5"/>
      <c r="X129" s="5"/>
      <c r="Y129" s="5"/>
    </row>
    <row r="130" spans="18:25" x14ac:dyDescent="0.2">
      <c r="R130" s="5"/>
      <c r="S130" s="5"/>
      <c r="T130" s="5"/>
      <c r="U130" s="5"/>
      <c r="V130" s="5"/>
      <c r="W130" s="5"/>
      <c r="X130" s="5"/>
      <c r="Y130" s="5"/>
    </row>
    <row r="131" spans="18:25" x14ac:dyDescent="0.2">
      <c r="R131" s="5"/>
      <c r="S131" s="5"/>
      <c r="T131" s="5"/>
      <c r="U131" s="5"/>
      <c r="V131" s="5"/>
      <c r="W131" s="5"/>
      <c r="X131" s="5"/>
      <c r="Y131" s="5"/>
    </row>
    <row r="132" spans="18:25" x14ac:dyDescent="0.2">
      <c r="R132" s="5"/>
      <c r="S132" s="5"/>
      <c r="T132" s="5"/>
      <c r="U132" s="5"/>
      <c r="V132" s="5"/>
      <c r="W132" s="5"/>
      <c r="X132" s="5"/>
      <c r="Y132" s="5"/>
    </row>
    <row r="133" spans="18:25" x14ac:dyDescent="0.2">
      <c r="R133" s="5"/>
      <c r="S133" s="5"/>
      <c r="T133" s="5"/>
      <c r="U133" s="5"/>
      <c r="V133" s="5"/>
      <c r="W133" s="5"/>
      <c r="X133" s="5"/>
      <c r="Y133" s="5"/>
    </row>
    <row r="134" spans="18:25" x14ac:dyDescent="0.2">
      <c r="R134" s="5"/>
      <c r="S134" s="5"/>
      <c r="T134" s="5"/>
      <c r="U134" s="5"/>
      <c r="V134" s="5"/>
      <c r="W134" s="5"/>
      <c r="X134" s="5"/>
      <c r="Y134" s="5"/>
    </row>
    <row r="135" spans="18:25" x14ac:dyDescent="0.2">
      <c r="R135" s="5"/>
      <c r="S135" s="5"/>
      <c r="T135" s="5"/>
      <c r="U135" s="5"/>
      <c r="V135" s="5"/>
      <c r="W135" s="5"/>
      <c r="X135" s="5"/>
      <c r="Y135" s="5"/>
    </row>
    <row r="136" spans="18:25" x14ac:dyDescent="0.2">
      <c r="R136" s="5"/>
      <c r="S136" s="5"/>
      <c r="T136" s="5"/>
      <c r="U136" s="5"/>
      <c r="V136" s="5"/>
      <c r="W136" s="5"/>
      <c r="X136" s="5"/>
      <c r="Y136" s="5"/>
    </row>
    <row r="137" spans="18:25" x14ac:dyDescent="0.2">
      <c r="R137" s="5"/>
      <c r="S137" s="5"/>
      <c r="T137" s="5"/>
      <c r="U137" s="5"/>
      <c r="V137" s="5"/>
      <c r="W137" s="5"/>
      <c r="X137" s="5"/>
      <c r="Y137" s="5"/>
    </row>
    <row r="138" spans="18:25" x14ac:dyDescent="0.2">
      <c r="R138" s="5"/>
      <c r="S138" s="5"/>
      <c r="T138" s="5"/>
      <c r="U138" s="5"/>
      <c r="V138" s="5"/>
      <c r="W138" s="5"/>
      <c r="X138" s="5"/>
      <c r="Y138" s="5"/>
    </row>
    <row r="139" spans="18:25" x14ac:dyDescent="0.2">
      <c r="R139" s="5"/>
      <c r="S139" s="5"/>
      <c r="T139" s="5"/>
      <c r="U139" s="5"/>
      <c r="V139" s="5"/>
      <c r="W139" s="5"/>
      <c r="X139" s="5"/>
      <c r="Y139" s="5"/>
    </row>
    <row r="140" spans="18:25" x14ac:dyDescent="0.2">
      <c r="R140" s="5"/>
      <c r="S140" s="5"/>
      <c r="T140" s="5"/>
      <c r="U140" s="5"/>
      <c r="V140" s="5"/>
      <c r="W140" s="5"/>
      <c r="X140" s="5"/>
      <c r="Y140" s="5"/>
    </row>
    <row r="141" spans="18:25" x14ac:dyDescent="0.2">
      <c r="R141" s="5"/>
      <c r="S141" s="5"/>
      <c r="T141" s="5"/>
      <c r="U141" s="5"/>
      <c r="V141" s="5"/>
      <c r="W141" s="5"/>
      <c r="X141" s="5"/>
      <c r="Y141" s="5"/>
    </row>
    <row r="142" spans="18:25" x14ac:dyDescent="0.2">
      <c r="R142" s="5"/>
      <c r="S142" s="5"/>
      <c r="T142" s="5"/>
      <c r="U142" s="5"/>
      <c r="V142" s="5"/>
      <c r="W142" s="5"/>
      <c r="X142" s="5"/>
      <c r="Y142" s="5"/>
    </row>
    <row r="143" spans="18:25" x14ac:dyDescent="0.2">
      <c r="R143" s="5"/>
      <c r="S143" s="5"/>
      <c r="T143" s="5"/>
      <c r="U143" s="5"/>
      <c r="V143" s="5"/>
      <c r="W143" s="5"/>
      <c r="X143" s="5"/>
      <c r="Y143" s="5"/>
    </row>
    <row r="144" spans="18:25" x14ac:dyDescent="0.2">
      <c r="R144" s="5"/>
      <c r="S144" s="5"/>
      <c r="T144" s="5"/>
      <c r="U144" s="5"/>
      <c r="V144" s="5"/>
      <c r="W144" s="5"/>
      <c r="X144" s="5"/>
      <c r="Y144" s="5"/>
    </row>
    <row r="145" spans="18:25" x14ac:dyDescent="0.2">
      <c r="R145" s="5"/>
      <c r="S145" s="5"/>
      <c r="T145" s="5"/>
      <c r="U145" s="5"/>
      <c r="V145" s="5"/>
      <c r="W145" s="5"/>
      <c r="X145" s="5"/>
      <c r="Y145" s="5"/>
    </row>
    <row r="146" spans="18:25" x14ac:dyDescent="0.2">
      <c r="R146" s="5"/>
      <c r="S146" s="5"/>
      <c r="T146" s="5"/>
      <c r="U146" s="5"/>
      <c r="V146" s="5"/>
      <c r="W146" s="5"/>
      <c r="X146" s="5"/>
      <c r="Y146" s="5"/>
    </row>
    <row r="147" spans="18:25" x14ac:dyDescent="0.2">
      <c r="R147" s="5"/>
      <c r="S147" s="5"/>
      <c r="T147" s="5"/>
      <c r="U147" s="5"/>
      <c r="V147" s="5"/>
      <c r="W147" s="5"/>
      <c r="X147" s="5"/>
      <c r="Y147" s="5"/>
    </row>
    <row r="148" spans="18:25" x14ac:dyDescent="0.2">
      <c r="R148" s="5"/>
      <c r="S148" s="5"/>
      <c r="T148" s="5"/>
      <c r="U148" s="5"/>
      <c r="V148" s="5"/>
      <c r="W148" s="5"/>
      <c r="X148" s="5"/>
      <c r="Y148" s="5"/>
    </row>
    <row r="149" spans="18:25" x14ac:dyDescent="0.2">
      <c r="R149" s="5"/>
      <c r="S149" s="5"/>
      <c r="T149" s="5"/>
      <c r="U149" s="5"/>
      <c r="V149" s="5"/>
      <c r="W149" s="5"/>
      <c r="X149" s="5"/>
      <c r="Y149" s="5"/>
    </row>
    <row r="150" spans="18:25" x14ac:dyDescent="0.2">
      <c r="R150" s="5"/>
      <c r="S150" s="5"/>
      <c r="T150" s="5"/>
      <c r="U150" s="5"/>
      <c r="V150" s="5"/>
      <c r="W150" s="5"/>
      <c r="X150" s="5"/>
      <c r="Y150" s="5"/>
    </row>
    <row r="151" spans="18:25" x14ac:dyDescent="0.2">
      <c r="R151" s="5"/>
      <c r="S151" s="5"/>
      <c r="T151" s="5"/>
      <c r="U151" s="5"/>
      <c r="V151" s="5"/>
      <c r="W151" s="5"/>
      <c r="X151" s="5"/>
      <c r="Y151" s="5"/>
    </row>
    <row r="152" spans="18:25" x14ac:dyDescent="0.2">
      <c r="R152" s="5"/>
      <c r="S152" s="5"/>
      <c r="T152" s="5"/>
      <c r="U152" s="5"/>
      <c r="V152" s="5"/>
      <c r="W152" s="5"/>
      <c r="X152" s="5"/>
      <c r="Y152" s="5"/>
    </row>
    <row r="153" spans="18:25" x14ac:dyDescent="0.2">
      <c r="R153" s="5"/>
      <c r="S153" s="5"/>
      <c r="T153" s="5"/>
      <c r="U153" s="5"/>
      <c r="V153" s="5"/>
      <c r="W153" s="5"/>
      <c r="X153" s="5"/>
      <c r="Y153" s="5"/>
    </row>
    <row r="154" spans="18:25" x14ac:dyDescent="0.2">
      <c r="R154" s="5"/>
      <c r="S154" s="5"/>
      <c r="T154" s="5"/>
      <c r="U154" s="5"/>
      <c r="V154" s="5"/>
      <c r="W154" s="5"/>
      <c r="X154" s="5"/>
      <c r="Y154" s="5"/>
    </row>
    <row r="155" spans="18:25" x14ac:dyDescent="0.2">
      <c r="R155" s="5"/>
      <c r="S155" s="5"/>
      <c r="T155" s="5"/>
      <c r="U155" s="5"/>
      <c r="V155" s="5"/>
      <c r="W155" s="5"/>
      <c r="X155" s="5"/>
      <c r="Y155" s="5"/>
    </row>
    <row r="156" spans="18:25" x14ac:dyDescent="0.2">
      <c r="R156" s="5"/>
      <c r="S156" s="5"/>
      <c r="T156" s="5"/>
      <c r="U156" s="5"/>
      <c r="V156" s="5"/>
      <c r="W156" s="5"/>
      <c r="X156" s="5"/>
      <c r="Y156" s="5"/>
    </row>
    <row r="157" spans="18:25" x14ac:dyDescent="0.2">
      <c r="R157" s="5"/>
      <c r="S157" s="5"/>
      <c r="T157" s="5"/>
      <c r="U157" s="5"/>
      <c r="V157" s="5"/>
      <c r="W157" s="5"/>
      <c r="X157" s="5"/>
      <c r="Y157" s="5"/>
    </row>
    <row r="158" spans="18:25" x14ac:dyDescent="0.2">
      <c r="R158" s="5"/>
      <c r="S158" s="5"/>
      <c r="T158" s="5"/>
      <c r="U158" s="5"/>
      <c r="V158" s="5"/>
      <c r="W158" s="5"/>
      <c r="X158" s="5"/>
      <c r="Y158" s="5"/>
    </row>
    <row r="159" spans="18:25" x14ac:dyDescent="0.2">
      <c r="R159" s="5"/>
      <c r="S159" s="5"/>
      <c r="T159" s="5"/>
      <c r="U159" s="5"/>
      <c r="V159" s="5"/>
      <c r="W159" s="5"/>
      <c r="X159" s="5"/>
      <c r="Y159" s="5"/>
    </row>
    <row r="160" spans="18:25" x14ac:dyDescent="0.2">
      <c r="R160" s="5"/>
      <c r="S160" s="5"/>
      <c r="T160" s="5"/>
      <c r="U160" s="5"/>
      <c r="V160" s="5"/>
      <c r="W160" s="5"/>
      <c r="X160" s="5"/>
      <c r="Y160" s="5"/>
    </row>
    <row r="161" spans="18:25" x14ac:dyDescent="0.2">
      <c r="R161" s="5"/>
      <c r="S161" s="5"/>
      <c r="T161" s="5"/>
      <c r="U161" s="5"/>
      <c r="V161" s="5"/>
      <c r="W161" s="5"/>
      <c r="X161" s="5"/>
      <c r="Y161" s="5"/>
    </row>
    <row r="162" spans="18:25" x14ac:dyDescent="0.2">
      <c r="R162" s="5"/>
      <c r="S162" s="5"/>
      <c r="T162" s="5"/>
      <c r="U162" s="5"/>
      <c r="V162" s="5"/>
      <c r="W162" s="5"/>
      <c r="X162" s="5"/>
      <c r="Y162" s="5"/>
    </row>
    <row r="163" spans="18:25" x14ac:dyDescent="0.2">
      <c r="R163" s="5"/>
      <c r="S163" s="5"/>
      <c r="T163" s="5"/>
      <c r="U163" s="5"/>
      <c r="V163" s="5"/>
      <c r="W163" s="5"/>
      <c r="X163" s="5"/>
      <c r="Y163" s="5"/>
    </row>
    <row r="164" spans="18:25" x14ac:dyDescent="0.2">
      <c r="R164" s="5"/>
      <c r="S164" s="5"/>
      <c r="T164" s="5"/>
      <c r="U164" s="5"/>
      <c r="V164" s="5"/>
      <c r="W164" s="5"/>
      <c r="X164" s="5"/>
      <c r="Y164" s="5"/>
    </row>
    <row r="165" spans="18:25" x14ac:dyDescent="0.2">
      <c r="R165" s="5"/>
      <c r="S165" s="5"/>
      <c r="T165" s="5"/>
      <c r="U165" s="5"/>
      <c r="V165" s="5"/>
      <c r="W165" s="5"/>
      <c r="X165" s="5"/>
      <c r="Y165" s="5"/>
    </row>
    <row r="166" spans="18:25" x14ac:dyDescent="0.2">
      <c r="R166" s="5"/>
      <c r="S166" s="5"/>
      <c r="T166" s="5"/>
      <c r="U166" s="5"/>
      <c r="V166" s="5"/>
      <c r="W166" s="5"/>
      <c r="X166" s="5"/>
      <c r="Y166" s="5"/>
    </row>
    <row r="167" spans="18:25" x14ac:dyDescent="0.2">
      <c r="R167" s="5"/>
      <c r="S167" s="5"/>
      <c r="T167" s="5"/>
      <c r="U167" s="5"/>
      <c r="V167" s="5"/>
      <c r="W167" s="5"/>
      <c r="X167" s="5"/>
      <c r="Y167" s="5"/>
    </row>
    <row r="168" spans="18:25" x14ac:dyDescent="0.2">
      <c r="R168" s="5"/>
      <c r="S168" s="5"/>
      <c r="T168" s="5"/>
      <c r="U168" s="5"/>
      <c r="V168" s="5"/>
      <c r="W168" s="5"/>
      <c r="X168" s="5"/>
      <c r="Y168" s="5"/>
    </row>
    <row r="169" spans="18:25" x14ac:dyDescent="0.2">
      <c r="R169" s="5"/>
      <c r="S169" s="5"/>
      <c r="T169" s="5"/>
      <c r="U169" s="5"/>
      <c r="V169" s="5"/>
      <c r="W169" s="5"/>
      <c r="X169" s="5"/>
      <c r="Y169" s="5"/>
    </row>
    <row r="170" spans="18:25" x14ac:dyDescent="0.2">
      <c r="R170" s="5"/>
      <c r="S170" s="5"/>
      <c r="T170" s="5"/>
      <c r="U170" s="5"/>
      <c r="V170" s="5"/>
      <c r="W170" s="5"/>
      <c r="X170" s="5"/>
      <c r="Y170" s="5"/>
    </row>
    <row r="171" spans="18:25" x14ac:dyDescent="0.2">
      <c r="R171" s="5"/>
      <c r="S171" s="5"/>
      <c r="T171" s="5"/>
      <c r="U171" s="5"/>
      <c r="V171" s="5"/>
      <c r="W171" s="5"/>
      <c r="X171" s="5"/>
      <c r="Y171" s="5"/>
    </row>
    <row r="172" spans="18:25" x14ac:dyDescent="0.2">
      <c r="R172" s="5"/>
      <c r="S172" s="5"/>
      <c r="T172" s="5"/>
      <c r="U172" s="5"/>
      <c r="V172" s="5"/>
      <c r="W172" s="5"/>
      <c r="X172" s="5"/>
      <c r="Y172" s="5"/>
    </row>
    <row r="173" spans="18:25" x14ac:dyDescent="0.2">
      <c r="R173" s="5"/>
      <c r="S173" s="5"/>
      <c r="T173" s="5"/>
      <c r="U173" s="5"/>
      <c r="V173" s="5"/>
      <c r="W173" s="5"/>
      <c r="X173" s="5"/>
      <c r="Y173" s="5"/>
    </row>
    <row r="174" spans="18:25" x14ac:dyDescent="0.2">
      <c r="R174" s="5"/>
      <c r="S174" s="5"/>
      <c r="T174" s="5"/>
      <c r="U174" s="5"/>
      <c r="V174" s="5"/>
      <c r="W174" s="5"/>
      <c r="X174" s="5"/>
      <c r="Y174" s="5"/>
    </row>
    <row r="175" spans="18:25" x14ac:dyDescent="0.2">
      <c r="R175" s="5"/>
      <c r="S175" s="5"/>
      <c r="T175" s="5"/>
      <c r="U175" s="5"/>
      <c r="V175" s="5"/>
      <c r="W175" s="5"/>
      <c r="X175" s="5"/>
      <c r="Y175" s="5"/>
    </row>
    <row r="176" spans="18:25" x14ac:dyDescent="0.2">
      <c r="R176" s="5"/>
      <c r="S176" s="5"/>
      <c r="T176" s="5"/>
      <c r="U176" s="5"/>
      <c r="V176" s="5"/>
      <c r="W176" s="5"/>
      <c r="X176" s="5"/>
      <c r="Y176" s="5"/>
    </row>
    <row r="177" spans="18:25" x14ac:dyDescent="0.2">
      <c r="R177" s="5"/>
      <c r="S177" s="5"/>
      <c r="T177" s="5"/>
      <c r="U177" s="5"/>
      <c r="V177" s="5"/>
      <c r="W177" s="5"/>
      <c r="X177" s="5"/>
      <c r="Y177" s="5"/>
    </row>
    <row r="178" spans="18:25" x14ac:dyDescent="0.2">
      <c r="R178" s="5"/>
      <c r="S178" s="5"/>
      <c r="T178" s="5"/>
      <c r="U178" s="5"/>
      <c r="V178" s="5"/>
      <c r="W178" s="5"/>
      <c r="X178" s="5"/>
      <c r="Y178" s="5"/>
    </row>
    <row r="179" spans="18:25" x14ac:dyDescent="0.2">
      <c r="R179" s="5"/>
      <c r="S179" s="5"/>
      <c r="T179" s="5"/>
      <c r="U179" s="5"/>
      <c r="V179" s="5"/>
      <c r="W179" s="5"/>
      <c r="X179" s="5"/>
      <c r="Y179" s="5"/>
    </row>
    <row r="180" spans="18:25" x14ac:dyDescent="0.2">
      <c r="R180" s="5"/>
      <c r="S180" s="5"/>
      <c r="T180" s="5"/>
      <c r="U180" s="5"/>
      <c r="V180" s="5"/>
      <c r="W180" s="5"/>
      <c r="X180" s="5"/>
      <c r="Y180" s="5"/>
    </row>
    <row r="181" spans="18:25" x14ac:dyDescent="0.2">
      <c r="R181" s="5"/>
      <c r="S181" s="5"/>
      <c r="T181" s="5"/>
      <c r="U181" s="5"/>
      <c r="V181" s="5"/>
      <c r="W181" s="5"/>
      <c r="X181" s="5"/>
      <c r="Y181" s="5"/>
    </row>
    <row r="182" spans="18:25" x14ac:dyDescent="0.2">
      <c r="R182" s="5"/>
      <c r="S182" s="5"/>
      <c r="T182" s="5"/>
      <c r="U182" s="5"/>
      <c r="V182" s="5"/>
      <c r="W182" s="5"/>
      <c r="X182" s="5"/>
      <c r="Y182" s="5"/>
    </row>
    <row r="183" spans="18:25" x14ac:dyDescent="0.2">
      <c r="R183" s="5"/>
      <c r="S183" s="5"/>
      <c r="T183" s="5"/>
      <c r="U183" s="5"/>
      <c r="V183" s="5"/>
      <c r="W183" s="5"/>
      <c r="X183" s="5"/>
      <c r="Y183" s="5"/>
    </row>
    <row r="184" spans="18:25" x14ac:dyDescent="0.2">
      <c r="R184" s="5"/>
      <c r="S184" s="5"/>
      <c r="T184" s="5"/>
      <c r="U184" s="5"/>
      <c r="V184" s="5"/>
      <c r="W184" s="5"/>
      <c r="X184" s="5"/>
      <c r="Y184" s="5"/>
    </row>
    <row r="185" spans="18:25" x14ac:dyDescent="0.2">
      <c r="R185" s="5"/>
      <c r="S185" s="5"/>
      <c r="T185" s="5"/>
      <c r="U185" s="5"/>
      <c r="V185" s="5"/>
      <c r="W185" s="5"/>
      <c r="X185" s="5"/>
      <c r="Y185" s="5"/>
    </row>
    <row r="186" spans="18:25" x14ac:dyDescent="0.2">
      <c r="R186" s="5"/>
      <c r="S186" s="5"/>
      <c r="T186" s="5"/>
      <c r="U186" s="5"/>
      <c r="V186" s="5"/>
      <c r="W186" s="5"/>
      <c r="X186" s="5"/>
      <c r="Y186" s="5"/>
    </row>
    <row r="187" spans="18:25" x14ac:dyDescent="0.2">
      <c r="R187" s="5"/>
      <c r="S187" s="5"/>
      <c r="T187" s="5"/>
      <c r="U187" s="5"/>
      <c r="V187" s="5"/>
      <c r="W187" s="5"/>
      <c r="X187" s="5"/>
      <c r="Y187" s="5"/>
    </row>
    <row r="188" spans="18:25" x14ac:dyDescent="0.2">
      <c r="R188" s="5"/>
      <c r="S188" s="5"/>
      <c r="T188" s="5"/>
      <c r="U188" s="5"/>
      <c r="V188" s="5"/>
      <c r="W188" s="5"/>
      <c r="X188" s="5"/>
      <c r="Y188" s="5"/>
    </row>
    <row r="189" spans="18:25" x14ac:dyDescent="0.2">
      <c r="R189" s="5"/>
      <c r="S189" s="5"/>
      <c r="T189" s="5"/>
      <c r="U189" s="5"/>
      <c r="V189" s="5"/>
      <c r="W189" s="5"/>
      <c r="X189" s="5"/>
      <c r="Y189" s="5"/>
    </row>
    <row r="190" spans="18:25" x14ac:dyDescent="0.2">
      <c r="R190" s="5"/>
      <c r="S190" s="5"/>
      <c r="T190" s="5"/>
      <c r="U190" s="5"/>
      <c r="V190" s="5"/>
      <c r="W190" s="5"/>
      <c r="X190" s="5"/>
      <c r="Y190" s="5"/>
    </row>
    <row r="191" spans="18:25" x14ac:dyDescent="0.2">
      <c r="R191" s="5"/>
      <c r="S191" s="5"/>
      <c r="T191" s="5"/>
      <c r="U191" s="5"/>
      <c r="V191" s="5"/>
      <c r="W191" s="5"/>
      <c r="X191" s="5"/>
      <c r="Y191" s="5"/>
    </row>
    <row r="192" spans="18:25" x14ac:dyDescent="0.2">
      <c r="R192" s="5"/>
      <c r="S192" s="5"/>
      <c r="T192" s="5"/>
      <c r="U192" s="5"/>
      <c r="V192" s="5"/>
      <c r="W192" s="5"/>
      <c r="X192" s="5"/>
      <c r="Y192" s="5"/>
    </row>
    <row r="193" spans="18:25" x14ac:dyDescent="0.2">
      <c r="R193" s="5"/>
      <c r="S193" s="5"/>
      <c r="T193" s="5"/>
      <c r="U193" s="5"/>
      <c r="V193" s="5"/>
      <c r="W193" s="5"/>
      <c r="X193" s="5"/>
      <c r="Y193" s="5"/>
    </row>
    <row r="194" spans="18:25" x14ac:dyDescent="0.2">
      <c r="R194" s="5"/>
      <c r="S194" s="5"/>
      <c r="T194" s="5"/>
      <c r="U194" s="5"/>
      <c r="V194" s="5"/>
      <c r="W194" s="5"/>
      <c r="X194" s="5"/>
      <c r="Y194" s="5"/>
    </row>
    <row r="195" spans="18:25" x14ac:dyDescent="0.2">
      <c r="R195" s="5"/>
      <c r="S195" s="5"/>
      <c r="T195" s="5"/>
      <c r="U195" s="5"/>
      <c r="V195" s="5"/>
      <c r="W195" s="5"/>
      <c r="X195" s="5"/>
      <c r="Y195" s="5"/>
    </row>
    <row r="196" spans="18:25" x14ac:dyDescent="0.2">
      <c r="R196" s="5"/>
      <c r="S196" s="5"/>
      <c r="T196" s="5"/>
      <c r="U196" s="5"/>
      <c r="V196" s="5"/>
      <c r="W196" s="5"/>
      <c r="X196" s="5"/>
      <c r="Y196" s="5"/>
    </row>
    <row r="197" spans="18:25" x14ac:dyDescent="0.2">
      <c r="R197" s="5"/>
      <c r="S197" s="5"/>
      <c r="T197" s="5"/>
      <c r="U197" s="5"/>
      <c r="V197" s="5"/>
      <c r="W197" s="5"/>
      <c r="X197" s="5"/>
      <c r="Y197" s="5"/>
    </row>
    <row r="198" spans="18:25" x14ac:dyDescent="0.2">
      <c r="R198" s="5"/>
      <c r="S198" s="5"/>
      <c r="T198" s="5"/>
      <c r="U198" s="5"/>
      <c r="V198" s="5"/>
      <c r="W198" s="5"/>
      <c r="X198" s="5"/>
      <c r="Y198" s="5"/>
    </row>
    <row r="199" spans="18:25" x14ac:dyDescent="0.2">
      <c r="R199" s="5"/>
      <c r="S199" s="5"/>
      <c r="T199" s="5"/>
      <c r="U199" s="5"/>
      <c r="V199" s="5"/>
      <c r="W199" s="5"/>
      <c r="X199" s="5"/>
      <c r="Y199" s="5"/>
    </row>
    <row r="200" spans="18:25" x14ac:dyDescent="0.2">
      <c r="R200" s="5"/>
      <c r="S200" s="5"/>
      <c r="T200" s="5"/>
      <c r="U200" s="5"/>
      <c r="V200" s="5"/>
      <c r="W200" s="5"/>
      <c r="X200" s="5"/>
      <c r="Y200" s="5"/>
    </row>
    <row r="201" spans="18:25" x14ac:dyDescent="0.2">
      <c r="R201" s="5"/>
      <c r="S201" s="5"/>
      <c r="T201" s="5"/>
      <c r="U201" s="5"/>
      <c r="V201" s="5"/>
      <c r="W201" s="5"/>
      <c r="X201" s="5"/>
      <c r="Y201" s="5"/>
    </row>
    <row r="202" spans="18:25" x14ac:dyDescent="0.2">
      <c r="R202" s="5"/>
      <c r="S202" s="5"/>
      <c r="T202" s="5"/>
      <c r="U202" s="5"/>
      <c r="V202" s="5"/>
      <c r="W202" s="5"/>
      <c r="X202" s="5"/>
      <c r="Y202" s="5"/>
    </row>
    <row r="203" spans="18:25" x14ac:dyDescent="0.2">
      <c r="R203" s="5"/>
      <c r="S203" s="5"/>
      <c r="T203" s="5"/>
      <c r="U203" s="5"/>
      <c r="V203" s="5"/>
      <c r="W203" s="5"/>
      <c r="X203" s="5"/>
      <c r="Y203" s="5"/>
    </row>
    <row r="204" spans="18:25" x14ac:dyDescent="0.2">
      <c r="R204" s="5"/>
      <c r="S204" s="5"/>
      <c r="T204" s="5"/>
      <c r="U204" s="5"/>
      <c r="V204" s="5"/>
      <c r="W204" s="5"/>
      <c r="X204" s="5"/>
      <c r="Y204" s="5"/>
    </row>
    <row r="205" spans="18:25" x14ac:dyDescent="0.2">
      <c r="R205" s="5"/>
      <c r="S205" s="5"/>
      <c r="T205" s="5"/>
      <c r="U205" s="5"/>
      <c r="V205" s="5"/>
      <c r="W205" s="5"/>
      <c r="X205" s="5"/>
      <c r="Y205" s="5"/>
    </row>
    <row r="206" spans="18:25" x14ac:dyDescent="0.2">
      <c r="R206" s="5"/>
      <c r="S206" s="5"/>
      <c r="T206" s="5"/>
      <c r="U206" s="5"/>
      <c r="V206" s="5"/>
      <c r="W206" s="5"/>
      <c r="X206" s="5"/>
      <c r="Y206" s="5"/>
    </row>
    <row r="207" spans="18:25" x14ac:dyDescent="0.2">
      <c r="R207" s="5"/>
      <c r="S207" s="5"/>
      <c r="T207" s="5"/>
      <c r="U207" s="5"/>
      <c r="V207" s="5"/>
      <c r="W207" s="5"/>
      <c r="X207" s="5"/>
      <c r="Y207" s="5"/>
    </row>
    <row r="208" spans="18:25" x14ac:dyDescent="0.2">
      <c r="R208" s="5"/>
      <c r="S208" s="5"/>
      <c r="T208" s="5"/>
      <c r="U208" s="5"/>
      <c r="V208" s="5"/>
      <c r="W208" s="5"/>
      <c r="X208" s="5"/>
      <c r="Y208" s="5"/>
    </row>
    <row r="209" spans="18:25" x14ac:dyDescent="0.2">
      <c r="R209" s="5"/>
      <c r="S209" s="5"/>
      <c r="T209" s="5"/>
      <c r="U209" s="5"/>
      <c r="V209" s="5"/>
      <c r="W209" s="5"/>
      <c r="X209" s="5"/>
      <c r="Y209" s="5"/>
    </row>
  </sheetData>
  <dataConsolidate/>
  <mergeCells count="77">
    <mergeCell ref="BZ8:BZ9"/>
    <mergeCell ref="AQ7:AT7"/>
    <mergeCell ref="AU7:AV7"/>
    <mergeCell ref="BW8:BW9"/>
    <mergeCell ref="BX8:BX9"/>
    <mergeCell ref="AU8:AU9"/>
    <mergeCell ref="BM8:BM9"/>
    <mergeCell ref="BK8:BK9"/>
    <mergeCell ref="AV8:AV9"/>
    <mergeCell ref="AW8:AW9"/>
    <mergeCell ref="BU8:BU9"/>
    <mergeCell ref="BL8:BL9"/>
    <mergeCell ref="BS8:BS9"/>
    <mergeCell ref="AK8:AK9"/>
    <mergeCell ref="AR8:AR9"/>
    <mergeCell ref="BG8:BG9"/>
    <mergeCell ref="AS8:AS9"/>
    <mergeCell ref="BC8:BC9"/>
    <mergeCell ref="BJ8:BJ9"/>
    <mergeCell ref="BT8:BT9"/>
    <mergeCell ref="A1:J1"/>
    <mergeCell ref="A2:J2"/>
    <mergeCell ref="D5:E5"/>
    <mergeCell ref="AB7:AD7"/>
    <mergeCell ref="Z6:BZ6"/>
    <mergeCell ref="L2:S2"/>
    <mergeCell ref="BT7:BV7"/>
    <mergeCell ref="BX7:BY7"/>
    <mergeCell ref="BK7:BL7"/>
    <mergeCell ref="A7:Y7"/>
    <mergeCell ref="BV8:BV9"/>
    <mergeCell ref="BY8:BY9"/>
    <mergeCell ref="L4:S5"/>
    <mergeCell ref="BM7:BR7"/>
    <mergeCell ref="BR8:BR9"/>
    <mergeCell ref="AF8:AF9"/>
    <mergeCell ref="BO8:BO9"/>
    <mergeCell ref="BP8:BP9"/>
    <mergeCell ref="AI8:AI9"/>
    <mergeCell ref="AJ8:AJ9"/>
    <mergeCell ref="A38:F38"/>
    <mergeCell ref="A29:G29"/>
    <mergeCell ref="A11:D11"/>
    <mergeCell ref="R8:Y8"/>
    <mergeCell ref="A37:C37"/>
    <mergeCell ref="A30:F30"/>
    <mergeCell ref="A21:D21"/>
    <mergeCell ref="A8:L8"/>
    <mergeCell ref="A22:F22"/>
    <mergeCell ref="A12:F12"/>
    <mergeCell ref="AO8:AO9"/>
    <mergeCell ref="AQ8:AQ9"/>
    <mergeCell ref="AC8:AC9"/>
    <mergeCell ref="BF8:BF9"/>
    <mergeCell ref="AG8:AG9"/>
    <mergeCell ref="AP8:AP9"/>
    <mergeCell ref="AM8:AM9"/>
    <mergeCell ref="BH8:BH9"/>
    <mergeCell ref="BE8:BE9"/>
    <mergeCell ref="BD8:BD9"/>
    <mergeCell ref="Z8:Z9"/>
    <mergeCell ref="AA8:AA9"/>
    <mergeCell ref="AB8:AB9"/>
    <mergeCell ref="AT8:AT9"/>
    <mergeCell ref="AE8:AE9"/>
    <mergeCell ref="AH8:AH9"/>
    <mergeCell ref="AN8:AN9"/>
    <mergeCell ref="BN8:BN9"/>
    <mergeCell ref="BQ8:BQ9"/>
    <mergeCell ref="AD8:AD9"/>
    <mergeCell ref="BD7:BF7"/>
    <mergeCell ref="BH7:BJ7"/>
    <mergeCell ref="AZ8:AZ9"/>
    <mergeCell ref="AY8:AY9"/>
    <mergeCell ref="BI8:BI9"/>
    <mergeCell ref="BA8:BA9"/>
    <mergeCell ref="BB8:BB9"/>
  </mergeCells>
  <phoneticPr fontId="21"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Sheet2.placeOrder">
                <anchor moveWithCells="1">
                  <from>
                    <xdr:col>0</xdr:col>
                    <xdr:colOff>1238250</xdr:colOff>
                    <xdr:row>1</xdr:row>
                    <xdr:rowOff>85725</xdr:rowOff>
                  </from>
                  <to>
                    <xdr:col>2</xdr:col>
                    <xdr:colOff>762000</xdr:colOff>
                    <xdr:row>1</xdr:row>
                    <xdr:rowOff>285750</xdr:rowOff>
                  </to>
                </anchor>
              </controlPr>
            </control>
          </mc:Choice>
        </mc:AlternateContent>
        <mc:AlternateContent xmlns:mc="http://schemas.openxmlformats.org/markup-compatibility/2006">
          <mc:Choice Requires="x14">
            <control shapeId="30722" r:id="rId5" name="Button 2">
              <controlPr defaultSize="0" print="0" autoFill="0" autoPict="0" macro="[0]!Sheet2.cancelOrder">
                <anchor moveWithCells="1">
                  <from>
                    <xdr:col>3</xdr:col>
                    <xdr:colOff>314325</xdr:colOff>
                    <xdr:row>1</xdr:row>
                    <xdr:rowOff>85725</xdr:rowOff>
                  </from>
                  <to>
                    <xdr:col>5</xdr:col>
                    <xdr:colOff>447675</xdr:colOff>
                    <xdr:row>1</xdr:row>
                    <xdr:rowOff>285750</xdr:rowOff>
                  </to>
                </anchor>
              </controlPr>
            </control>
          </mc:Choice>
        </mc:AlternateContent>
        <mc:AlternateContent xmlns:mc="http://schemas.openxmlformats.org/markup-compatibility/2006">
          <mc:Choice Requires="x14">
            <control shapeId="30723" r:id="rId6" name="Button 3">
              <controlPr defaultSize="0" print="0" autoFill="0" autoPict="0" macro="[0]!Sheet2.onShowError">
                <anchor moveWithCells="1">
                  <from>
                    <xdr:col>8</xdr:col>
                    <xdr:colOff>285750</xdr:colOff>
                    <xdr:row>1</xdr:row>
                    <xdr:rowOff>85725</xdr:rowOff>
                  </from>
                  <to>
                    <xdr:col>9</xdr:col>
                    <xdr:colOff>57150</xdr:colOff>
                    <xdr:row>1</xdr:row>
                    <xdr:rowOff>285750</xdr:rowOff>
                  </to>
                </anchor>
              </controlPr>
            </control>
          </mc:Choice>
        </mc:AlternateContent>
        <mc:AlternateContent xmlns:mc="http://schemas.openxmlformats.org/markup-compatibility/2006">
          <mc:Choice Requires="x14">
            <control shapeId="30724" r:id="rId7" name="Button 4">
              <controlPr defaultSize="0" print="0" autoFill="0" autoPict="0" macro="[0]!createComboLegs">
                <anchor moveWithCells="1">
                  <from>
                    <xdr:col>0</xdr:col>
                    <xdr:colOff>123825</xdr:colOff>
                    <xdr:row>1</xdr:row>
                    <xdr:rowOff>85725</xdr:rowOff>
                  </from>
                  <to>
                    <xdr:col>0</xdr:col>
                    <xdr:colOff>1000125</xdr:colOff>
                    <xdr:row>1</xdr:row>
                    <xdr:rowOff>285750</xdr:rowOff>
                  </to>
                </anchor>
              </controlPr>
            </control>
          </mc:Choice>
        </mc:AlternateContent>
        <mc:AlternateContent xmlns:mc="http://schemas.openxmlformats.org/markup-compatibility/2006">
          <mc:Choice Requires="x14">
            <control shapeId="30725" r:id="rId8" name="Button 5">
              <controlPr defaultSize="0" print="0" autoFill="0" autoPict="0" macro="[0]!Sheet2.applyTemplate">
                <anchor moveWithCells="1">
                  <from>
                    <xdr:col>6</xdr:col>
                    <xdr:colOff>114300</xdr:colOff>
                    <xdr:row>1</xdr:row>
                    <xdr:rowOff>85725</xdr:rowOff>
                  </from>
                  <to>
                    <xdr:col>8</xdr:col>
                    <xdr:colOff>133350</xdr:colOff>
                    <xdr:row>1</xdr:row>
                    <xdr:rowOff>285750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U209"/>
  <sheetViews>
    <sheetView zoomScale="80" zoomScaleNormal="80" workbookViewId="0">
      <selection activeCell="D5" sqref="D5:E5"/>
    </sheetView>
  </sheetViews>
  <sheetFormatPr defaultRowHeight="12.75" x14ac:dyDescent="0.2"/>
  <cols>
    <col min="3" max="3" width="14.7109375" customWidth="1"/>
    <col min="8" max="8" width="12" bestFit="1" customWidth="1"/>
    <col min="9" max="9" width="18.5703125" customWidth="1"/>
    <col min="10" max="10" width="18.140625" customWidth="1"/>
    <col min="11" max="11" width="8.5703125" bestFit="1" customWidth="1"/>
    <col min="15" max="15" width="7" customWidth="1"/>
    <col min="16" max="16" width="12.42578125" customWidth="1"/>
    <col min="17" max="17" width="5.5703125" customWidth="1"/>
    <col min="18" max="19" width="10.7109375" customWidth="1"/>
    <col min="20" max="20" width="20" customWidth="1"/>
  </cols>
  <sheetData>
    <row r="1" spans="1:21" x14ac:dyDescent="0.2">
      <c r="A1" s="342" t="s">
        <v>47</v>
      </c>
      <c r="B1" s="276"/>
      <c r="C1" s="276"/>
      <c r="D1" s="276"/>
      <c r="E1" s="277"/>
      <c r="F1" s="25"/>
    </row>
    <row r="2" spans="1:21" ht="28.5" customHeight="1" x14ac:dyDescent="0.2">
      <c r="A2" s="448"/>
      <c r="B2" s="279"/>
      <c r="C2" s="279"/>
      <c r="D2" s="279"/>
      <c r="E2" s="280"/>
      <c r="F2" s="25"/>
      <c r="J2" s="471" t="s">
        <v>371</v>
      </c>
      <c r="K2" s="472"/>
      <c r="L2" s="472"/>
      <c r="M2" s="472"/>
      <c r="N2" s="472"/>
      <c r="O2" s="473"/>
    </row>
    <row r="3" spans="1:21" ht="12.75" customHeight="1" x14ac:dyDescent="0.2">
      <c r="I3" s="26"/>
      <c r="K3" s="154"/>
      <c r="L3" s="154"/>
      <c r="M3" s="154"/>
    </row>
    <row r="4" spans="1:21" x14ac:dyDescent="0.2">
      <c r="A4" s="391" t="s">
        <v>51</v>
      </c>
      <c r="B4" s="415"/>
      <c r="C4" s="415"/>
      <c r="D4" s="415"/>
      <c r="E4" s="415"/>
      <c r="F4" s="415"/>
      <c r="G4" s="416"/>
      <c r="M4" s="154"/>
    </row>
    <row r="5" spans="1:21" x14ac:dyDescent="0.2">
      <c r="A5" s="308" t="s">
        <v>58</v>
      </c>
      <c r="B5" s="417"/>
      <c r="C5" s="356"/>
      <c r="D5" s="418"/>
      <c r="E5" s="419"/>
      <c r="F5" s="17"/>
      <c r="G5" s="18"/>
      <c r="M5" s="154"/>
    </row>
    <row r="7" spans="1:21" x14ac:dyDescent="0.2">
      <c r="A7" s="420" t="s">
        <v>309</v>
      </c>
      <c r="B7" s="267"/>
      <c r="C7" s="267"/>
      <c r="D7" s="267"/>
      <c r="E7" s="267"/>
      <c r="F7" s="267"/>
      <c r="G7" s="267"/>
      <c r="H7" s="267"/>
      <c r="I7" s="267"/>
      <c r="J7" s="267"/>
      <c r="K7" s="267"/>
      <c r="L7" s="267"/>
      <c r="M7" s="267"/>
      <c r="N7" s="267"/>
      <c r="O7" s="267"/>
      <c r="P7" s="267"/>
      <c r="Q7" s="459"/>
      <c r="S7" s="474" t="s">
        <v>128</v>
      </c>
      <c r="T7" s="474"/>
      <c r="U7" s="475"/>
    </row>
    <row r="8" spans="1:21" x14ac:dyDescent="0.2">
      <c r="A8" s="329" t="s">
        <v>93</v>
      </c>
      <c r="B8" s="330"/>
      <c r="C8" s="330"/>
      <c r="D8" s="330"/>
      <c r="E8" s="330"/>
      <c r="F8" s="330"/>
      <c r="G8" s="422"/>
      <c r="H8" s="255" t="s">
        <v>8</v>
      </c>
      <c r="I8" s="279"/>
      <c r="J8" s="279"/>
      <c r="K8" s="279"/>
      <c r="L8" s="279"/>
      <c r="M8" s="279"/>
      <c r="N8" s="279"/>
      <c r="O8" s="279"/>
      <c r="P8" s="279"/>
      <c r="Q8" s="280"/>
      <c r="S8" s="476"/>
      <c r="T8" s="417"/>
      <c r="U8" s="477"/>
    </row>
    <row r="9" spans="1:21" x14ac:dyDescent="0.2">
      <c r="A9" s="100" t="s">
        <v>9</v>
      </c>
      <c r="B9" s="100" t="s">
        <v>21</v>
      </c>
      <c r="C9" s="100" t="s">
        <v>497</v>
      </c>
      <c r="D9" s="100" t="s">
        <v>10</v>
      </c>
      <c r="E9" s="100" t="s">
        <v>23</v>
      </c>
      <c r="F9" s="100" t="s">
        <v>12</v>
      </c>
      <c r="G9" s="100" t="s">
        <v>40</v>
      </c>
      <c r="H9" s="100" t="s">
        <v>99</v>
      </c>
      <c r="I9" s="100" t="s">
        <v>100</v>
      </c>
      <c r="J9" s="207" t="s">
        <v>101</v>
      </c>
      <c r="K9" s="207" t="s">
        <v>72</v>
      </c>
      <c r="L9" s="209" t="s">
        <v>12</v>
      </c>
      <c r="M9" s="208" t="s">
        <v>102</v>
      </c>
      <c r="N9" s="209" t="s">
        <v>14</v>
      </c>
      <c r="O9" s="209" t="s">
        <v>34</v>
      </c>
      <c r="P9" s="207" t="s">
        <v>116</v>
      </c>
      <c r="Q9" s="223" t="s">
        <v>22</v>
      </c>
      <c r="S9" s="39" t="s">
        <v>132</v>
      </c>
      <c r="T9" s="38"/>
      <c r="U9" s="40"/>
    </row>
    <row r="10" spans="1:21" x14ac:dyDescent="0.2">
      <c r="A10" s="213"/>
      <c r="B10" s="213"/>
      <c r="C10" s="213"/>
      <c r="D10" s="213"/>
      <c r="E10" s="213"/>
      <c r="F10" s="213"/>
      <c r="G10" s="213"/>
      <c r="H10" s="5"/>
      <c r="I10" s="5"/>
      <c r="J10" s="5"/>
      <c r="K10" s="5"/>
      <c r="L10" s="5"/>
      <c r="M10" s="5"/>
      <c r="N10" s="5"/>
      <c r="O10" s="5"/>
      <c r="P10" s="5"/>
      <c r="Q10" s="5"/>
      <c r="S10" s="39" t="s">
        <v>127</v>
      </c>
      <c r="T10" s="34"/>
      <c r="U10" s="43"/>
    </row>
    <row r="11" spans="1:21" x14ac:dyDescent="0.2">
      <c r="A11" s="213"/>
      <c r="B11" s="213"/>
      <c r="C11" s="213"/>
      <c r="D11" s="213"/>
      <c r="E11" s="213"/>
      <c r="F11" s="213"/>
      <c r="G11" s="213"/>
      <c r="H11" s="5"/>
      <c r="I11" s="5"/>
      <c r="J11" s="5"/>
      <c r="K11" s="5"/>
      <c r="L11" s="5"/>
      <c r="M11" s="5"/>
      <c r="N11" s="5"/>
      <c r="O11" s="5"/>
      <c r="P11" s="5"/>
      <c r="Q11" s="5"/>
      <c r="S11" s="41" t="s">
        <v>129</v>
      </c>
      <c r="T11" s="34"/>
      <c r="U11" s="44" t="s">
        <v>133</v>
      </c>
    </row>
    <row r="12" spans="1:21" x14ac:dyDescent="0.2">
      <c r="A12" s="213"/>
      <c r="B12" s="213"/>
      <c r="C12" s="213"/>
      <c r="D12" s="213"/>
      <c r="E12" s="213"/>
      <c r="F12" s="213"/>
      <c r="G12" s="213"/>
      <c r="H12" s="5"/>
      <c r="I12" s="5"/>
      <c r="J12" s="5"/>
      <c r="K12" s="5"/>
      <c r="L12" s="5"/>
      <c r="M12" s="5"/>
      <c r="N12" s="5"/>
      <c r="O12" s="5"/>
      <c r="P12" s="5"/>
      <c r="Q12" s="5"/>
      <c r="S12" s="41" t="s">
        <v>101</v>
      </c>
      <c r="T12" s="45"/>
      <c r="U12" s="44" t="s">
        <v>134</v>
      </c>
    </row>
    <row r="13" spans="1:21" x14ac:dyDescent="0.2">
      <c r="A13" s="213"/>
      <c r="B13" s="213"/>
      <c r="C13" s="213"/>
      <c r="D13" s="213"/>
      <c r="E13" s="213"/>
      <c r="F13" s="213"/>
      <c r="G13" s="213"/>
      <c r="H13" s="5"/>
      <c r="I13" s="5"/>
      <c r="J13" s="5"/>
      <c r="K13" s="5"/>
      <c r="L13" s="5"/>
      <c r="M13" s="5"/>
      <c r="N13" s="5"/>
      <c r="O13" s="5"/>
      <c r="P13" s="5"/>
      <c r="Q13" s="5"/>
      <c r="S13" s="41" t="s">
        <v>9</v>
      </c>
      <c r="T13" s="34"/>
      <c r="U13" s="43"/>
    </row>
    <row r="14" spans="1:21" x14ac:dyDescent="0.2">
      <c r="A14" s="213"/>
      <c r="B14" s="213"/>
      <c r="C14" s="213"/>
      <c r="D14" s="213"/>
      <c r="E14" s="213"/>
      <c r="F14" s="213"/>
      <c r="G14" s="213"/>
      <c r="H14" s="5"/>
      <c r="I14" s="5"/>
      <c r="J14" s="5"/>
      <c r="K14" s="5"/>
      <c r="L14" s="5"/>
      <c r="M14" s="5"/>
      <c r="N14" s="5"/>
      <c r="O14" s="5"/>
      <c r="P14" s="5"/>
      <c r="Q14" s="5"/>
      <c r="S14" s="41" t="s">
        <v>64</v>
      </c>
      <c r="T14" s="34"/>
      <c r="U14" s="43"/>
    </row>
    <row r="15" spans="1:21" x14ac:dyDescent="0.2">
      <c r="A15" s="213"/>
      <c r="B15" s="213"/>
      <c r="C15" s="213"/>
      <c r="D15" s="213"/>
      <c r="E15" s="213"/>
      <c r="F15" s="213"/>
      <c r="G15" s="213"/>
      <c r="H15" s="5"/>
      <c r="I15" s="5"/>
      <c r="J15" s="5"/>
      <c r="K15" s="5"/>
      <c r="L15" s="5"/>
      <c r="M15" s="5"/>
      <c r="N15" s="5"/>
      <c r="O15" s="5"/>
      <c r="P15" s="5"/>
      <c r="Q15" s="5"/>
      <c r="S15" s="41" t="s">
        <v>12</v>
      </c>
      <c r="T15" s="34"/>
      <c r="U15" s="43"/>
    </row>
    <row r="16" spans="1:21" x14ac:dyDescent="0.2">
      <c r="A16" s="213"/>
      <c r="B16" s="213"/>
      <c r="C16" s="213"/>
      <c r="D16" s="213"/>
      <c r="E16" s="213"/>
      <c r="F16" s="213"/>
      <c r="G16" s="213"/>
      <c r="H16" s="5"/>
      <c r="I16" s="5"/>
      <c r="J16" s="5"/>
      <c r="K16" s="5"/>
      <c r="L16" s="5"/>
      <c r="M16" s="5"/>
      <c r="N16" s="5"/>
      <c r="O16" s="5"/>
      <c r="P16" s="5"/>
      <c r="Q16" s="5"/>
      <c r="S16" s="41" t="s">
        <v>13</v>
      </c>
      <c r="T16" s="34"/>
      <c r="U16" s="43"/>
    </row>
    <row r="17" spans="1:21" x14ac:dyDescent="0.2">
      <c r="A17" s="213"/>
      <c r="B17" s="213"/>
      <c r="C17" s="213"/>
      <c r="D17" s="213"/>
      <c r="E17" s="213"/>
      <c r="F17" s="213"/>
      <c r="G17" s="213"/>
      <c r="H17" s="5"/>
      <c r="I17" s="5"/>
      <c r="J17" s="5"/>
      <c r="K17" s="5"/>
      <c r="L17" s="5"/>
      <c r="M17" s="5"/>
      <c r="N17" s="5"/>
      <c r="O17" s="5"/>
      <c r="P17" s="5"/>
      <c r="Q17" s="5"/>
      <c r="S17" s="41"/>
      <c r="T17" s="42"/>
      <c r="U17" s="43"/>
    </row>
    <row r="18" spans="1:21" x14ac:dyDescent="0.2">
      <c r="A18" s="213"/>
      <c r="B18" s="213"/>
      <c r="C18" s="213"/>
      <c r="D18" s="213"/>
      <c r="E18" s="213"/>
      <c r="F18" s="213"/>
      <c r="G18" s="213"/>
      <c r="H18" s="5"/>
      <c r="I18" s="5"/>
      <c r="J18" s="5"/>
      <c r="K18" s="5"/>
      <c r="L18" s="5"/>
      <c r="M18" s="5"/>
      <c r="N18" s="5"/>
      <c r="O18" s="5"/>
      <c r="P18" s="5"/>
      <c r="Q18" s="5"/>
    </row>
    <row r="19" spans="1:21" x14ac:dyDescent="0.2">
      <c r="A19" s="213"/>
      <c r="B19" s="213"/>
      <c r="C19" s="213"/>
      <c r="D19" s="213"/>
      <c r="E19" s="213"/>
      <c r="F19" s="213"/>
      <c r="G19" s="213"/>
      <c r="H19" s="5"/>
      <c r="I19" s="5"/>
      <c r="J19" s="5"/>
      <c r="K19" s="5"/>
      <c r="L19" s="5"/>
      <c r="M19" s="5"/>
      <c r="N19" s="5"/>
      <c r="O19" s="5"/>
      <c r="P19" s="5"/>
      <c r="Q19" s="5"/>
    </row>
    <row r="20" spans="1:21" x14ac:dyDescent="0.2">
      <c r="A20" s="213"/>
      <c r="B20" s="213"/>
      <c r="C20" s="213"/>
      <c r="D20" s="213"/>
      <c r="E20" s="213"/>
      <c r="F20" s="213"/>
      <c r="G20" s="213"/>
      <c r="H20" s="5"/>
      <c r="I20" s="5"/>
      <c r="J20" s="5"/>
      <c r="K20" s="5"/>
      <c r="L20" s="5"/>
      <c r="M20" s="5"/>
      <c r="N20" s="5"/>
      <c r="O20" s="5"/>
      <c r="P20" s="5"/>
      <c r="Q20" s="5"/>
    </row>
    <row r="21" spans="1:21" x14ac:dyDescent="0.2">
      <c r="A21" s="213"/>
      <c r="B21" s="213"/>
      <c r="C21" s="213"/>
      <c r="D21" s="213"/>
      <c r="E21" s="213"/>
      <c r="F21" s="213"/>
      <c r="G21" s="213"/>
      <c r="H21" s="5"/>
      <c r="I21" s="5"/>
      <c r="J21" s="5"/>
      <c r="K21" s="5"/>
      <c r="L21" s="5"/>
      <c r="M21" s="5"/>
      <c r="N21" s="5"/>
      <c r="O21" s="5"/>
      <c r="P21" s="5"/>
      <c r="Q21" s="5"/>
    </row>
    <row r="22" spans="1:21" x14ac:dyDescent="0.2">
      <c r="A22" s="213"/>
      <c r="B22" s="213"/>
      <c r="C22" s="213"/>
      <c r="D22" s="213"/>
      <c r="E22" s="213"/>
      <c r="F22" s="213"/>
      <c r="G22" s="213"/>
      <c r="H22" s="5"/>
      <c r="I22" s="5"/>
      <c r="J22" s="5"/>
      <c r="K22" s="5"/>
      <c r="L22" s="5"/>
      <c r="M22" s="5"/>
      <c r="N22" s="5"/>
      <c r="O22" s="5"/>
      <c r="P22" s="5"/>
      <c r="Q22" s="5"/>
    </row>
    <row r="23" spans="1:21" x14ac:dyDescent="0.2">
      <c r="A23" s="213"/>
      <c r="B23" s="213"/>
      <c r="C23" s="213"/>
      <c r="D23" s="213"/>
      <c r="E23" s="213"/>
      <c r="F23" s="213"/>
      <c r="G23" s="213"/>
      <c r="H23" s="5"/>
      <c r="I23" s="5"/>
      <c r="J23" s="5"/>
      <c r="K23" s="5"/>
      <c r="L23" s="5"/>
      <c r="M23" s="5"/>
      <c r="N23" s="5"/>
      <c r="O23" s="5"/>
      <c r="P23" s="5"/>
      <c r="Q23" s="5"/>
    </row>
    <row r="24" spans="1:21" x14ac:dyDescent="0.2">
      <c r="A24" s="213"/>
      <c r="B24" s="213"/>
      <c r="C24" s="213"/>
      <c r="D24" s="213"/>
      <c r="E24" s="213"/>
      <c r="F24" s="213"/>
      <c r="G24" s="213"/>
      <c r="H24" s="5"/>
      <c r="I24" s="5"/>
      <c r="J24" s="5"/>
      <c r="K24" s="5"/>
      <c r="L24" s="5"/>
      <c r="M24" s="5"/>
      <c r="N24" s="5"/>
      <c r="O24" s="5"/>
      <c r="P24" s="5"/>
      <c r="Q24" s="5"/>
    </row>
    <row r="25" spans="1:21" x14ac:dyDescent="0.2">
      <c r="A25" s="213"/>
      <c r="B25" s="213"/>
      <c r="C25" s="213"/>
      <c r="D25" s="213"/>
      <c r="E25" s="213"/>
      <c r="F25" s="213"/>
      <c r="G25" s="213"/>
      <c r="H25" s="5"/>
      <c r="I25" s="5"/>
      <c r="J25" s="5"/>
      <c r="K25" s="5"/>
      <c r="L25" s="5"/>
      <c r="M25" s="5"/>
      <c r="N25" s="5"/>
      <c r="O25" s="5"/>
      <c r="P25" s="5"/>
      <c r="Q25" s="5"/>
    </row>
    <row r="26" spans="1:21" x14ac:dyDescent="0.2">
      <c r="A26" s="213"/>
      <c r="B26" s="213"/>
      <c r="C26" s="213"/>
      <c r="D26" s="213"/>
      <c r="E26" s="213"/>
      <c r="F26" s="213"/>
      <c r="G26" s="213"/>
      <c r="H26" s="5"/>
      <c r="I26" s="5"/>
      <c r="J26" s="5"/>
      <c r="K26" s="5"/>
      <c r="L26" s="5"/>
      <c r="M26" s="5"/>
      <c r="N26" s="5"/>
      <c r="O26" s="5"/>
      <c r="P26" s="5"/>
      <c r="Q26" s="5"/>
    </row>
    <row r="27" spans="1:21" x14ac:dyDescent="0.2">
      <c r="A27" s="213"/>
      <c r="B27" s="213"/>
      <c r="C27" s="213"/>
      <c r="D27" s="213"/>
      <c r="E27" s="213"/>
      <c r="F27" s="213"/>
      <c r="G27" s="213"/>
      <c r="H27" s="5"/>
      <c r="I27" s="5"/>
      <c r="J27" s="5"/>
      <c r="K27" s="5"/>
      <c r="L27" s="5"/>
      <c r="M27" s="5"/>
      <c r="N27" s="5"/>
      <c r="O27" s="5"/>
      <c r="P27" s="5"/>
      <c r="Q27" s="5"/>
    </row>
    <row r="28" spans="1:21" x14ac:dyDescent="0.2">
      <c r="A28" s="213"/>
      <c r="B28" s="213"/>
      <c r="C28" s="213"/>
      <c r="D28" s="213"/>
      <c r="E28" s="213"/>
      <c r="F28" s="213"/>
      <c r="G28" s="213"/>
      <c r="H28" s="5"/>
      <c r="I28" s="5"/>
      <c r="J28" s="5"/>
      <c r="K28" s="5"/>
      <c r="L28" s="5"/>
      <c r="M28" s="5"/>
      <c r="N28" s="5"/>
      <c r="O28" s="5"/>
      <c r="P28" s="5"/>
      <c r="Q28" s="5"/>
    </row>
    <row r="29" spans="1:21" x14ac:dyDescent="0.2">
      <c r="A29" s="213"/>
      <c r="B29" s="213"/>
      <c r="C29" s="213"/>
      <c r="D29" s="213"/>
      <c r="E29" s="213"/>
      <c r="F29" s="213"/>
      <c r="G29" s="213"/>
      <c r="H29" s="5"/>
      <c r="I29" s="5"/>
      <c r="J29" s="5"/>
      <c r="K29" s="5"/>
      <c r="L29" s="5"/>
      <c r="M29" s="5"/>
      <c r="N29" s="5"/>
      <c r="O29" s="5"/>
      <c r="P29" s="5"/>
      <c r="Q29" s="5"/>
    </row>
    <row r="30" spans="1:21" x14ac:dyDescent="0.2">
      <c r="A30" s="213"/>
      <c r="B30" s="213"/>
      <c r="C30" s="213"/>
      <c r="D30" s="213"/>
      <c r="E30" s="213"/>
      <c r="F30" s="213"/>
      <c r="G30" s="213"/>
      <c r="H30" s="5"/>
      <c r="I30" s="5"/>
      <c r="J30" s="5"/>
      <c r="K30" s="5"/>
      <c r="L30" s="5"/>
      <c r="M30" s="5"/>
      <c r="N30" s="5"/>
      <c r="O30" s="5"/>
      <c r="P30" s="5"/>
      <c r="Q30" s="5"/>
    </row>
    <row r="31" spans="1:21" x14ac:dyDescent="0.2">
      <c r="A31" s="213"/>
      <c r="B31" s="213"/>
      <c r="C31" s="213"/>
      <c r="D31" s="213"/>
      <c r="E31" s="213"/>
      <c r="F31" s="213"/>
      <c r="G31" s="213"/>
      <c r="H31" s="5"/>
      <c r="I31" s="5"/>
      <c r="J31" s="5"/>
      <c r="K31" s="5"/>
      <c r="L31" s="5"/>
      <c r="M31" s="5"/>
      <c r="N31" s="5"/>
      <c r="O31" s="5"/>
      <c r="P31" s="5"/>
      <c r="Q31" s="5"/>
    </row>
    <row r="32" spans="1:21" x14ac:dyDescent="0.2">
      <c r="A32" s="213"/>
      <c r="B32" s="213"/>
      <c r="C32" s="213"/>
      <c r="D32" s="213"/>
      <c r="E32" s="213"/>
      <c r="F32" s="213"/>
      <c r="G32" s="213"/>
      <c r="H32" s="5"/>
      <c r="I32" s="5"/>
      <c r="J32" s="5"/>
      <c r="K32" s="5"/>
      <c r="L32" s="5"/>
      <c r="M32" s="5"/>
      <c r="N32" s="5"/>
      <c r="O32" s="5"/>
      <c r="P32" s="5"/>
      <c r="Q32" s="5"/>
    </row>
    <row r="33" spans="1:17" x14ac:dyDescent="0.2">
      <c r="A33" s="213"/>
      <c r="B33" s="213"/>
      <c r="C33" s="213"/>
      <c r="D33" s="213"/>
      <c r="E33" s="213"/>
      <c r="F33" s="213"/>
      <c r="G33" s="213"/>
      <c r="H33" s="5"/>
      <c r="I33" s="5"/>
      <c r="J33" s="5"/>
      <c r="K33" s="5"/>
      <c r="L33" s="5"/>
      <c r="M33" s="5"/>
      <c r="N33" s="5"/>
      <c r="O33" s="5"/>
      <c r="P33" s="5"/>
      <c r="Q33" s="5"/>
    </row>
    <row r="34" spans="1:17" x14ac:dyDescent="0.2">
      <c r="A34" s="213"/>
      <c r="B34" s="213"/>
      <c r="C34" s="213"/>
      <c r="D34" s="213"/>
      <c r="E34" s="213"/>
      <c r="F34" s="213"/>
      <c r="G34" s="213"/>
      <c r="H34" s="5"/>
      <c r="I34" s="5"/>
      <c r="J34" s="5"/>
      <c r="K34" s="5"/>
      <c r="L34" s="5"/>
      <c r="M34" s="5"/>
      <c r="N34" s="5"/>
      <c r="O34" s="5"/>
      <c r="P34" s="5"/>
      <c r="Q34" s="5"/>
    </row>
    <row r="35" spans="1:17" x14ac:dyDescent="0.2">
      <c r="A35" s="213"/>
      <c r="B35" s="213"/>
      <c r="C35" s="213"/>
      <c r="D35" s="213"/>
      <c r="E35" s="213"/>
      <c r="F35" s="213"/>
      <c r="G35" s="213"/>
      <c r="H35" s="5"/>
      <c r="I35" s="5"/>
      <c r="J35" s="5"/>
      <c r="K35" s="5"/>
      <c r="L35" s="5"/>
      <c r="M35" s="5"/>
      <c r="N35" s="5"/>
      <c r="O35" s="5"/>
      <c r="P35" s="5"/>
      <c r="Q35" s="5"/>
    </row>
    <row r="36" spans="1:17" x14ac:dyDescent="0.2">
      <c r="A36" s="213"/>
      <c r="B36" s="213"/>
      <c r="C36" s="213"/>
      <c r="D36" s="213"/>
      <c r="E36" s="213"/>
      <c r="F36" s="213"/>
      <c r="G36" s="213"/>
      <c r="H36" s="5"/>
      <c r="I36" s="5"/>
      <c r="J36" s="5"/>
      <c r="K36" s="5"/>
      <c r="L36" s="5"/>
      <c r="M36" s="5"/>
      <c r="N36" s="5"/>
      <c r="O36" s="5"/>
      <c r="P36" s="5"/>
      <c r="Q36" s="5"/>
    </row>
    <row r="37" spans="1:17" x14ac:dyDescent="0.2">
      <c r="A37" s="213"/>
      <c r="B37" s="213"/>
      <c r="C37" s="213"/>
      <c r="D37" s="213"/>
      <c r="E37" s="213"/>
      <c r="F37" s="213"/>
      <c r="G37" s="213"/>
      <c r="H37" s="5"/>
      <c r="I37" s="5"/>
      <c r="J37" s="5"/>
      <c r="K37" s="5"/>
      <c r="L37" s="5"/>
      <c r="M37" s="5"/>
      <c r="N37" s="5"/>
      <c r="O37" s="5"/>
      <c r="P37" s="5"/>
      <c r="Q37" s="5"/>
    </row>
    <row r="38" spans="1:17" x14ac:dyDescent="0.2">
      <c r="A38" s="213"/>
      <c r="B38" s="213"/>
      <c r="C38" s="213"/>
      <c r="D38" s="213"/>
      <c r="E38" s="213"/>
      <c r="F38" s="213"/>
      <c r="G38" s="213"/>
      <c r="H38" s="5"/>
      <c r="I38" s="5"/>
      <c r="J38" s="5"/>
      <c r="K38" s="5"/>
      <c r="L38" s="5"/>
      <c r="M38" s="5"/>
      <c r="N38" s="5"/>
      <c r="O38" s="5"/>
      <c r="P38" s="5"/>
      <c r="Q38" s="5"/>
    </row>
    <row r="39" spans="1:17" x14ac:dyDescent="0.2">
      <c r="A39" s="213"/>
      <c r="B39" s="213"/>
      <c r="C39" s="213"/>
      <c r="D39" s="213"/>
      <c r="E39" s="213"/>
      <c r="F39" s="213"/>
      <c r="G39" s="213"/>
      <c r="H39" s="5"/>
      <c r="I39" s="5"/>
      <c r="J39" s="5"/>
      <c r="K39" s="5"/>
      <c r="L39" s="5"/>
      <c r="M39" s="5"/>
      <c r="N39" s="5"/>
      <c r="O39" s="5"/>
      <c r="P39" s="5"/>
      <c r="Q39" s="5"/>
    </row>
    <row r="40" spans="1:17" x14ac:dyDescent="0.2">
      <c r="A40" s="213"/>
      <c r="B40" s="213"/>
      <c r="C40" s="213"/>
      <c r="D40" s="213"/>
      <c r="E40" s="213"/>
      <c r="F40" s="213"/>
      <c r="G40" s="213"/>
      <c r="H40" s="5"/>
      <c r="I40" s="5"/>
      <c r="J40" s="5"/>
      <c r="K40" s="5"/>
      <c r="L40" s="5"/>
      <c r="M40" s="5"/>
      <c r="N40" s="5"/>
      <c r="O40" s="5"/>
      <c r="P40" s="5"/>
      <c r="Q40" s="5"/>
    </row>
    <row r="41" spans="1:17" x14ac:dyDescent="0.2">
      <c r="A41" s="213"/>
      <c r="B41" s="213"/>
      <c r="C41" s="213"/>
      <c r="D41" s="213"/>
      <c r="E41" s="213"/>
      <c r="F41" s="213"/>
      <c r="G41" s="213"/>
      <c r="H41" s="5"/>
      <c r="I41" s="5"/>
      <c r="J41" s="5"/>
      <c r="K41" s="5"/>
      <c r="L41" s="5"/>
      <c r="M41" s="5"/>
      <c r="N41" s="5"/>
      <c r="O41" s="5"/>
      <c r="P41" s="5"/>
      <c r="Q41" s="5"/>
    </row>
    <row r="42" spans="1:17" x14ac:dyDescent="0.2">
      <c r="A42" s="213"/>
      <c r="B42" s="213"/>
      <c r="C42" s="213"/>
      <c r="D42" s="213"/>
      <c r="E42" s="213"/>
      <c r="F42" s="213"/>
      <c r="G42" s="213"/>
      <c r="H42" s="5"/>
      <c r="I42" s="5"/>
      <c r="J42" s="5"/>
      <c r="K42" s="5"/>
      <c r="L42" s="5"/>
      <c r="M42" s="5"/>
      <c r="N42" s="5"/>
      <c r="O42" s="5"/>
      <c r="P42" s="5"/>
      <c r="Q42" s="5"/>
    </row>
    <row r="43" spans="1:17" x14ac:dyDescent="0.2">
      <c r="A43" s="213"/>
      <c r="B43" s="213"/>
      <c r="C43" s="213"/>
      <c r="D43" s="213"/>
      <c r="E43" s="213"/>
      <c r="F43" s="213"/>
      <c r="G43" s="213"/>
      <c r="H43" s="5"/>
      <c r="I43" s="5"/>
      <c r="J43" s="5"/>
      <c r="K43" s="5"/>
      <c r="L43" s="5"/>
      <c r="M43" s="5"/>
      <c r="N43" s="5"/>
      <c r="O43" s="5"/>
      <c r="P43" s="5"/>
      <c r="Q43" s="5"/>
    </row>
    <row r="44" spans="1:17" x14ac:dyDescent="0.2">
      <c r="A44" s="213"/>
      <c r="B44" s="213"/>
      <c r="C44" s="213"/>
      <c r="D44" s="213"/>
      <c r="E44" s="213"/>
      <c r="F44" s="213"/>
      <c r="G44" s="213"/>
      <c r="H44" s="5"/>
      <c r="I44" s="5"/>
      <c r="J44" s="5"/>
      <c r="K44" s="5"/>
      <c r="L44" s="5"/>
      <c r="M44" s="5"/>
      <c r="N44" s="5"/>
      <c r="O44" s="5"/>
      <c r="P44" s="5"/>
      <c r="Q44" s="5"/>
    </row>
    <row r="45" spans="1:17" x14ac:dyDescent="0.2">
      <c r="A45" s="213"/>
      <c r="B45" s="213"/>
      <c r="C45" s="213"/>
      <c r="D45" s="213"/>
      <c r="E45" s="213"/>
      <c r="F45" s="213"/>
      <c r="G45" s="213"/>
      <c r="H45" s="5"/>
      <c r="I45" s="5"/>
      <c r="J45" s="5"/>
      <c r="K45" s="5"/>
      <c r="L45" s="5"/>
      <c r="M45" s="5"/>
      <c r="N45" s="5"/>
      <c r="O45" s="5"/>
      <c r="P45" s="5"/>
      <c r="Q45" s="5"/>
    </row>
    <row r="46" spans="1:17" x14ac:dyDescent="0.2">
      <c r="A46" s="213"/>
      <c r="B46" s="213"/>
      <c r="C46" s="213"/>
      <c r="D46" s="213"/>
      <c r="E46" s="213"/>
      <c r="F46" s="213"/>
      <c r="G46" s="213"/>
      <c r="H46" s="5"/>
      <c r="I46" s="5"/>
      <c r="J46" s="5"/>
      <c r="K46" s="5"/>
      <c r="L46" s="5"/>
      <c r="M46" s="5"/>
      <c r="N46" s="5"/>
      <c r="O46" s="5"/>
      <c r="P46" s="5"/>
      <c r="Q46" s="5"/>
    </row>
    <row r="47" spans="1:17" x14ac:dyDescent="0.2">
      <c r="A47" s="213"/>
      <c r="B47" s="213"/>
      <c r="C47" s="213"/>
      <c r="D47" s="213"/>
      <c r="E47" s="213"/>
      <c r="F47" s="213"/>
      <c r="G47" s="213"/>
      <c r="H47" s="5"/>
      <c r="I47" s="5"/>
      <c r="J47" s="5"/>
      <c r="K47" s="5"/>
      <c r="L47" s="5"/>
      <c r="M47" s="5"/>
      <c r="N47" s="5"/>
      <c r="O47" s="5"/>
      <c r="P47" s="5"/>
      <c r="Q47" s="5"/>
    </row>
    <row r="48" spans="1:17" x14ac:dyDescent="0.2">
      <c r="A48" s="213"/>
      <c r="B48" s="213"/>
      <c r="C48" s="213"/>
      <c r="D48" s="213"/>
      <c r="E48" s="213"/>
      <c r="F48" s="213"/>
      <c r="G48" s="213"/>
      <c r="H48" s="5"/>
      <c r="I48" s="5"/>
      <c r="J48" s="5"/>
      <c r="K48" s="5"/>
      <c r="L48" s="5"/>
      <c r="M48" s="5"/>
      <c r="N48" s="5"/>
      <c r="O48" s="5"/>
      <c r="P48" s="5"/>
      <c r="Q48" s="5"/>
    </row>
    <row r="49" spans="1:17" x14ac:dyDescent="0.2">
      <c r="A49" s="213"/>
      <c r="B49" s="213"/>
      <c r="C49" s="213"/>
      <c r="D49" s="213"/>
      <c r="E49" s="213"/>
      <c r="F49" s="213"/>
      <c r="G49" s="213"/>
      <c r="H49" s="5"/>
      <c r="I49" s="5"/>
      <c r="J49" s="5"/>
      <c r="K49" s="5"/>
      <c r="L49" s="5"/>
      <c r="M49" s="5"/>
      <c r="N49" s="5"/>
      <c r="O49" s="5"/>
      <c r="P49" s="5"/>
      <c r="Q49" s="5"/>
    </row>
    <row r="50" spans="1:17" x14ac:dyDescent="0.2">
      <c r="A50" s="213"/>
      <c r="B50" s="213"/>
      <c r="C50" s="213"/>
      <c r="D50" s="213"/>
      <c r="E50" s="213"/>
      <c r="F50" s="213"/>
      <c r="G50" s="213"/>
      <c r="H50" s="5"/>
      <c r="I50" s="5"/>
      <c r="J50" s="5"/>
      <c r="K50" s="5"/>
      <c r="L50" s="5"/>
      <c r="M50" s="5"/>
      <c r="N50" s="5"/>
      <c r="O50" s="5"/>
      <c r="P50" s="5"/>
      <c r="Q50" s="5"/>
    </row>
    <row r="51" spans="1:17" x14ac:dyDescent="0.2">
      <c r="A51" s="213"/>
      <c r="B51" s="213"/>
      <c r="C51" s="213"/>
      <c r="D51" s="213"/>
      <c r="E51" s="213"/>
      <c r="F51" s="213"/>
      <c r="G51" s="213"/>
      <c r="H51" s="5"/>
      <c r="I51" s="5"/>
      <c r="J51" s="5"/>
      <c r="K51" s="5"/>
      <c r="L51" s="5"/>
      <c r="M51" s="5"/>
      <c r="N51" s="5"/>
      <c r="O51" s="5"/>
      <c r="P51" s="5"/>
      <c r="Q51" s="5"/>
    </row>
    <row r="52" spans="1:17" x14ac:dyDescent="0.2">
      <c r="A52" s="213"/>
      <c r="B52" s="213"/>
      <c r="C52" s="213"/>
      <c r="D52" s="213"/>
      <c r="E52" s="213"/>
      <c r="F52" s="213"/>
      <c r="G52" s="213"/>
      <c r="H52" s="5"/>
      <c r="I52" s="5"/>
      <c r="J52" s="5"/>
      <c r="K52" s="5"/>
      <c r="L52" s="5"/>
      <c r="M52" s="5"/>
      <c r="N52" s="5"/>
      <c r="O52" s="5"/>
      <c r="P52" s="5"/>
      <c r="Q52" s="5"/>
    </row>
    <row r="53" spans="1:17" x14ac:dyDescent="0.2">
      <c r="A53" s="213"/>
      <c r="B53" s="213"/>
      <c r="C53" s="213"/>
      <c r="D53" s="213"/>
      <c r="E53" s="213"/>
      <c r="F53" s="213"/>
      <c r="G53" s="213"/>
      <c r="H53" s="5"/>
      <c r="I53" s="5"/>
      <c r="J53" s="5"/>
      <c r="K53" s="5"/>
      <c r="L53" s="5"/>
      <c r="M53" s="5"/>
      <c r="N53" s="5"/>
      <c r="O53" s="5"/>
      <c r="P53" s="5"/>
      <c r="Q53" s="5"/>
    </row>
    <row r="54" spans="1:17" x14ac:dyDescent="0.2">
      <c r="A54" s="213"/>
      <c r="B54" s="213"/>
      <c r="C54" s="213"/>
      <c r="D54" s="213"/>
      <c r="E54" s="213"/>
      <c r="F54" s="213"/>
      <c r="G54" s="213"/>
      <c r="H54" s="5"/>
      <c r="I54" s="5"/>
      <c r="J54" s="5"/>
      <c r="K54" s="5"/>
      <c r="L54" s="5"/>
      <c r="M54" s="5"/>
      <c r="N54" s="5"/>
      <c r="O54" s="5"/>
      <c r="P54" s="5"/>
      <c r="Q54" s="5"/>
    </row>
    <row r="55" spans="1:17" x14ac:dyDescent="0.2">
      <c r="A55" s="213"/>
      <c r="B55" s="213"/>
      <c r="C55" s="213"/>
      <c r="D55" s="213"/>
      <c r="E55" s="213"/>
      <c r="F55" s="213"/>
      <c r="G55" s="213"/>
      <c r="H55" s="5"/>
      <c r="I55" s="5"/>
      <c r="J55" s="5"/>
      <c r="K55" s="5"/>
      <c r="L55" s="5"/>
      <c r="M55" s="5"/>
      <c r="N55" s="5"/>
      <c r="O55" s="5"/>
      <c r="P55" s="5"/>
      <c r="Q55" s="5"/>
    </row>
    <row r="56" spans="1:17" x14ac:dyDescent="0.2">
      <c r="A56" s="213"/>
      <c r="B56" s="213"/>
      <c r="C56" s="213"/>
      <c r="D56" s="213"/>
      <c r="E56" s="213"/>
      <c r="F56" s="213"/>
      <c r="G56" s="213"/>
      <c r="H56" s="5"/>
      <c r="I56" s="5"/>
      <c r="J56" s="5"/>
      <c r="K56" s="5"/>
      <c r="L56" s="5"/>
      <c r="M56" s="5"/>
      <c r="N56" s="5"/>
      <c r="O56" s="5"/>
      <c r="P56" s="5"/>
      <c r="Q56" s="5"/>
    </row>
    <row r="57" spans="1:17" x14ac:dyDescent="0.2">
      <c r="A57" s="213"/>
      <c r="B57" s="213"/>
      <c r="C57" s="213"/>
      <c r="D57" s="213"/>
      <c r="E57" s="213"/>
      <c r="F57" s="213"/>
      <c r="G57" s="213"/>
      <c r="H57" s="5"/>
      <c r="I57" s="5"/>
      <c r="J57" s="5"/>
      <c r="K57" s="5"/>
      <c r="L57" s="5"/>
      <c r="M57" s="5"/>
      <c r="N57" s="5"/>
      <c r="O57" s="5"/>
      <c r="P57" s="5"/>
      <c r="Q57" s="5"/>
    </row>
    <row r="58" spans="1:17" x14ac:dyDescent="0.2">
      <c r="A58" s="213"/>
      <c r="B58" s="213"/>
      <c r="C58" s="213"/>
      <c r="D58" s="213"/>
      <c r="E58" s="213"/>
      <c r="F58" s="213"/>
      <c r="G58" s="213"/>
      <c r="H58" s="5"/>
      <c r="I58" s="5"/>
      <c r="J58" s="5"/>
      <c r="K58" s="5"/>
      <c r="L58" s="5"/>
      <c r="M58" s="5"/>
      <c r="N58" s="5"/>
      <c r="O58" s="5"/>
      <c r="P58" s="5"/>
      <c r="Q58" s="5"/>
    </row>
    <row r="59" spans="1:17" x14ac:dyDescent="0.2">
      <c r="A59" s="213"/>
      <c r="B59" s="213"/>
      <c r="C59" s="213"/>
      <c r="D59" s="213"/>
      <c r="E59" s="213"/>
      <c r="F59" s="213"/>
      <c r="G59" s="213"/>
      <c r="H59" s="5"/>
      <c r="I59" s="5"/>
      <c r="J59" s="5"/>
      <c r="K59" s="5"/>
      <c r="L59" s="5"/>
      <c r="M59" s="5"/>
      <c r="N59" s="5"/>
      <c r="O59" s="5"/>
      <c r="P59" s="5"/>
      <c r="Q59" s="5"/>
    </row>
    <row r="60" spans="1:17" x14ac:dyDescent="0.2">
      <c r="A60" s="213"/>
      <c r="B60" s="213"/>
      <c r="C60" s="213"/>
      <c r="D60" s="213"/>
      <c r="E60" s="213"/>
      <c r="F60" s="213"/>
      <c r="G60" s="213"/>
      <c r="H60" s="5"/>
      <c r="I60" s="5"/>
      <c r="J60" s="5"/>
      <c r="K60" s="5"/>
      <c r="L60" s="5"/>
      <c r="M60" s="5"/>
      <c r="N60" s="5"/>
      <c r="O60" s="5"/>
      <c r="P60" s="5"/>
      <c r="Q60" s="5"/>
    </row>
    <row r="61" spans="1:17" x14ac:dyDescent="0.2">
      <c r="A61" s="213"/>
      <c r="B61" s="213"/>
      <c r="C61" s="213"/>
      <c r="D61" s="213"/>
      <c r="E61" s="213"/>
      <c r="F61" s="213"/>
      <c r="G61" s="213"/>
      <c r="H61" s="5"/>
      <c r="I61" s="5"/>
      <c r="J61" s="5"/>
      <c r="K61" s="5"/>
      <c r="L61" s="5"/>
      <c r="M61" s="5"/>
      <c r="N61" s="5"/>
      <c r="O61" s="5"/>
      <c r="P61" s="5"/>
      <c r="Q61" s="5"/>
    </row>
    <row r="62" spans="1:17" x14ac:dyDescent="0.2">
      <c r="A62" s="213"/>
      <c r="B62" s="213"/>
      <c r="C62" s="213"/>
      <c r="D62" s="213"/>
      <c r="E62" s="213"/>
      <c r="F62" s="213"/>
      <c r="G62" s="213"/>
      <c r="H62" s="5"/>
      <c r="I62" s="5"/>
      <c r="J62" s="5"/>
      <c r="K62" s="5"/>
      <c r="L62" s="5"/>
      <c r="M62" s="5"/>
      <c r="N62" s="5"/>
      <c r="O62" s="5"/>
      <c r="P62" s="5"/>
      <c r="Q62" s="5"/>
    </row>
    <row r="63" spans="1:17" x14ac:dyDescent="0.2">
      <c r="A63" s="213"/>
      <c r="B63" s="213"/>
      <c r="C63" s="213"/>
      <c r="D63" s="213"/>
      <c r="E63" s="213"/>
      <c r="F63" s="213"/>
      <c r="G63" s="213"/>
      <c r="H63" s="5"/>
      <c r="I63" s="5"/>
      <c r="J63" s="5"/>
      <c r="K63" s="5"/>
      <c r="L63" s="5"/>
      <c r="M63" s="5"/>
      <c r="N63" s="5"/>
      <c r="O63" s="5"/>
      <c r="P63" s="5"/>
      <c r="Q63" s="5"/>
    </row>
    <row r="64" spans="1:17" x14ac:dyDescent="0.2">
      <c r="A64" s="213"/>
      <c r="B64" s="213"/>
      <c r="C64" s="213"/>
      <c r="D64" s="213"/>
      <c r="E64" s="213"/>
      <c r="F64" s="213"/>
      <c r="G64" s="213"/>
      <c r="H64" s="5"/>
      <c r="I64" s="5"/>
      <c r="J64" s="5"/>
      <c r="K64" s="5"/>
      <c r="L64" s="5"/>
      <c r="M64" s="5"/>
      <c r="N64" s="5"/>
      <c r="O64" s="5"/>
      <c r="P64" s="5"/>
      <c r="Q64" s="5"/>
    </row>
    <row r="65" spans="1:17" x14ac:dyDescent="0.2">
      <c r="A65" s="213"/>
      <c r="B65" s="213"/>
      <c r="C65" s="213"/>
      <c r="D65" s="213"/>
      <c r="E65" s="213"/>
      <c r="F65" s="213"/>
      <c r="G65" s="213"/>
      <c r="H65" s="5"/>
      <c r="I65" s="5"/>
      <c r="J65" s="5"/>
      <c r="K65" s="5"/>
      <c r="L65" s="5"/>
      <c r="M65" s="5"/>
      <c r="N65" s="5"/>
      <c r="O65" s="5"/>
      <c r="P65" s="5"/>
      <c r="Q65" s="5"/>
    </row>
    <row r="66" spans="1:17" x14ac:dyDescent="0.2">
      <c r="A66" s="213"/>
      <c r="B66" s="213"/>
      <c r="C66" s="213"/>
      <c r="D66" s="213"/>
      <c r="E66" s="213"/>
      <c r="F66" s="213"/>
      <c r="G66" s="213"/>
      <c r="H66" s="5"/>
      <c r="I66" s="5"/>
      <c r="J66" s="5"/>
      <c r="K66" s="5"/>
      <c r="L66" s="5"/>
      <c r="M66" s="5"/>
      <c r="N66" s="5"/>
      <c r="O66" s="5"/>
      <c r="P66" s="5"/>
      <c r="Q66" s="5"/>
    </row>
    <row r="67" spans="1:17" x14ac:dyDescent="0.2">
      <c r="A67" s="213"/>
      <c r="B67" s="213"/>
      <c r="C67" s="213"/>
      <c r="D67" s="213"/>
      <c r="E67" s="213"/>
      <c r="F67" s="213"/>
      <c r="G67" s="213"/>
      <c r="H67" s="5"/>
      <c r="I67" s="5"/>
      <c r="J67" s="5"/>
      <c r="K67" s="5"/>
      <c r="L67" s="5"/>
      <c r="M67" s="5"/>
      <c r="N67" s="5"/>
      <c r="O67" s="5"/>
      <c r="P67" s="5"/>
      <c r="Q67" s="5"/>
    </row>
    <row r="68" spans="1:17" x14ac:dyDescent="0.2">
      <c r="A68" s="213"/>
      <c r="B68" s="213"/>
      <c r="C68" s="213"/>
      <c r="D68" s="213"/>
      <c r="E68" s="213"/>
      <c r="F68" s="213"/>
      <c r="G68" s="213"/>
      <c r="H68" s="5"/>
      <c r="I68" s="5"/>
      <c r="J68" s="5"/>
      <c r="K68" s="5"/>
      <c r="L68" s="5"/>
      <c r="M68" s="5"/>
      <c r="N68" s="5"/>
      <c r="O68" s="5"/>
      <c r="P68" s="5"/>
      <c r="Q68" s="5"/>
    </row>
    <row r="69" spans="1:17" x14ac:dyDescent="0.2">
      <c r="A69" s="213"/>
      <c r="B69" s="213"/>
      <c r="C69" s="213"/>
      <c r="D69" s="213"/>
      <c r="E69" s="213"/>
      <c r="F69" s="213"/>
      <c r="G69" s="213"/>
      <c r="H69" s="5"/>
      <c r="I69" s="5"/>
      <c r="J69" s="5"/>
      <c r="K69" s="5"/>
      <c r="L69" s="5"/>
      <c r="M69" s="5"/>
      <c r="N69" s="5"/>
      <c r="O69" s="5"/>
      <c r="P69" s="5"/>
      <c r="Q69" s="5"/>
    </row>
    <row r="70" spans="1:17" x14ac:dyDescent="0.2">
      <c r="A70" s="213"/>
      <c r="B70" s="213"/>
      <c r="C70" s="213"/>
      <c r="D70" s="213"/>
      <c r="E70" s="213"/>
      <c r="F70" s="213"/>
      <c r="G70" s="213"/>
      <c r="H70" s="5"/>
      <c r="I70" s="5"/>
      <c r="J70" s="5"/>
      <c r="K70" s="5"/>
      <c r="L70" s="5"/>
      <c r="M70" s="5"/>
      <c r="N70" s="5"/>
      <c r="O70" s="5"/>
      <c r="P70" s="5"/>
      <c r="Q70" s="5"/>
    </row>
    <row r="71" spans="1:17" x14ac:dyDescent="0.2">
      <c r="A71" s="213"/>
      <c r="B71" s="213"/>
      <c r="C71" s="213"/>
      <c r="D71" s="213"/>
      <c r="E71" s="213"/>
      <c r="F71" s="213"/>
      <c r="G71" s="213"/>
      <c r="H71" s="5"/>
      <c r="I71" s="5"/>
      <c r="J71" s="5"/>
      <c r="K71" s="5"/>
      <c r="L71" s="5"/>
      <c r="M71" s="5"/>
      <c r="N71" s="5"/>
      <c r="O71" s="5"/>
      <c r="P71" s="5"/>
      <c r="Q71" s="5"/>
    </row>
    <row r="72" spans="1:17" x14ac:dyDescent="0.2">
      <c r="A72" s="213"/>
      <c r="B72" s="213"/>
      <c r="C72" s="213"/>
      <c r="D72" s="213"/>
      <c r="E72" s="213"/>
      <c r="F72" s="213"/>
      <c r="G72" s="213"/>
      <c r="H72" s="5"/>
      <c r="I72" s="5"/>
      <c r="J72" s="5"/>
      <c r="K72" s="5"/>
      <c r="L72" s="5"/>
      <c r="M72" s="5"/>
      <c r="N72" s="5"/>
      <c r="O72" s="5"/>
      <c r="P72" s="5"/>
      <c r="Q72" s="5"/>
    </row>
    <row r="73" spans="1:17" x14ac:dyDescent="0.2">
      <c r="A73" s="213"/>
      <c r="B73" s="213"/>
      <c r="C73" s="213"/>
      <c r="D73" s="213"/>
      <c r="E73" s="213"/>
      <c r="F73" s="213"/>
      <c r="G73" s="213"/>
      <c r="H73" s="5"/>
      <c r="I73" s="5"/>
      <c r="J73" s="5"/>
      <c r="K73" s="5"/>
      <c r="L73" s="5"/>
      <c r="M73" s="5"/>
      <c r="N73" s="5"/>
      <c r="O73" s="5"/>
      <c r="P73" s="5"/>
      <c r="Q73" s="5"/>
    </row>
    <row r="74" spans="1:17" x14ac:dyDescent="0.2">
      <c r="A74" s="213"/>
      <c r="B74" s="213"/>
      <c r="C74" s="213"/>
      <c r="D74" s="213"/>
      <c r="E74" s="213"/>
      <c r="F74" s="213"/>
      <c r="G74" s="213"/>
      <c r="H74" s="5"/>
      <c r="I74" s="5"/>
      <c r="J74" s="5"/>
      <c r="K74" s="5"/>
      <c r="L74" s="5"/>
      <c r="M74" s="5"/>
      <c r="N74" s="5"/>
      <c r="O74" s="5"/>
      <c r="P74" s="5"/>
      <c r="Q74" s="5"/>
    </row>
    <row r="75" spans="1:17" x14ac:dyDescent="0.2">
      <c r="A75" s="213"/>
      <c r="B75" s="213"/>
      <c r="C75" s="213"/>
      <c r="D75" s="213"/>
      <c r="E75" s="213"/>
      <c r="F75" s="213"/>
      <c r="G75" s="213"/>
      <c r="H75" s="5"/>
      <c r="I75" s="5"/>
      <c r="J75" s="5"/>
      <c r="K75" s="5"/>
      <c r="L75" s="5"/>
      <c r="M75" s="5"/>
      <c r="N75" s="5"/>
      <c r="O75" s="5"/>
      <c r="P75" s="5"/>
      <c r="Q75" s="5"/>
    </row>
    <row r="76" spans="1:17" x14ac:dyDescent="0.2">
      <c r="A76" s="213"/>
      <c r="B76" s="213"/>
      <c r="C76" s="213"/>
      <c r="D76" s="213"/>
      <c r="E76" s="213"/>
      <c r="F76" s="213"/>
      <c r="G76" s="213"/>
      <c r="H76" s="5"/>
      <c r="I76" s="5"/>
      <c r="J76" s="5"/>
      <c r="K76" s="5"/>
      <c r="L76" s="5"/>
      <c r="M76" s="5"/>
      <c r="N76" s="5"/>
      <c r="O76" s="5"/>
      <c r="P76" s="5"/>
      <c r="Q76" s="5"/>
    </row>
    <row r="77" spans="1:17" x14ac:dyDescent="0.2">
      <c r="A77" s="213"/>
      <c r="B77" s="213"/>
      <c r="C77" s="213"/>
      <c r="D77" s="213"/>
      <c r="E77" s="213"/>
      <c r="F77" s="213"/>
      <c r="G77" s="213"/>
      <c r="H77" s="5"/>
      <c r="I77" s="5"/>
      <c r="J77" s="5"/>
      <c r="K77" s="5"/>
      <c r="L77" s="5"/>
      <c r="M77" s="5"/>
      <c r="N77" s="5"/>
      <c r="O77" s="5"/>
      <c r="P77" s="5"/>
      <c r="Q77" s="5"/>
    </row>
    <row r="78" spans="1:17" x14ac:dyDescent="0.2">
      <c r="A78" s="213"/>
      <c r="B78" s="213"/>
      <c r="C78" s="213"/>
      <c r="D78" s="213"/>
      <c r="E78" s="213"/>
      <c r="F78" s="213"/>
      <c r="G78" s="213"/>
      <c r="H78" s="5"/>
      <c r="I78" s="5"/>
      <c r="J78" s="5"/>
      <c r="K78" s="5"/>
      <c r="L78" s="5"/>
      <c r="M78" s="5"/>
      <c r="N78" s="5"/>
      <c r="O78" s="5"/>
      <c r="P78" s="5"/>
      <c r="Q78" s="5"/>
    </row>
    <row r="79" spans="1:17" x14ac:dyDescent="0.2">
      <c r="A79" s="213"/>
      <c r="B79" s="213"/>
      <c r="C79" s="213"/>
      <c r="D79" s="213"/>
      <c r="E79" s="213"/>
      <c r="F79" s="213"/>
      <c r="G79" s="213"/>
      <c r="H79" s="5"/>
      <c r="I79" s="5"/>
      <c r="J79" s="5"/>
      <c r="K79" s="5"/>
      <c r="L79" s="5"/>
      <c r="M79" s="5"/>
      <c r="N79" s="5"/>
      <c r="O79" s="5"/>
      <c r="P79" s="5"/>
      <c r="Q79" s="5"/>
    </row>
    <row r="80" spans="1:17" x14ac:dyDescent="0.2">
      <c r="A80" s="213"/>
      <c r="B80" s="213"/>
      <c r="C80" s="213"/>
      <c r="D80" s="213"/>
      <c r="E80" s="213"/>
      <c r="F80" s="213"/>
      <c r="G80" s="213"/>
      <c r="H80" s="5"/>
      <c r="I80" s="5"/>
      <c r="J80" s="5"/>
      <c r="K80" s="5"/>
      <c r="L80" s="5"/>
      <c r="M80" s="5"/>
      <c r="N80" s="5"/>
      <c r="O80" s="5"/>
      <c r="P80" s="5"/>
      <c r="Q80" s="5"/>
    </row>
    <row r="81" spans="1:17" x14ac:dyDescent="0.2">
      <c r="A81" s="213"/>
      <c r="B81" s="213"/>
      <c r="C81" s="213"/>
      <c r="D81" s="213"/>
      <c r="E81" s="213"/>
      <c r="F81" s="213"/>
      <c r="G81" s="213"/>
      <c r="H81" s="5"/>
      <c r="I81" s="5"/>
      <c r="J81" s="5"/>
      <c r="K81" s="5"/>
      <c r="L81" s="5"/>
      <c r="M81" s="5"/>
      <c r="N81" s="5"/>
      <c r="O81" s="5"/>
      <c r="P81" s="5"/>
      <c r="Q81" s="5"/>
    </row>
    <row r="82" spans="1:17" x14ac:dyDescent="0.2">
      <c r="A82" s="213"/>
      <c r="B82" s="213"/>
      <c r="C82" s="213"/>
      <c r="D82" s="213"/>
      <c r="E82" s="213"/>
      <c r="F82" s="213"/>
      <c r="G82" s="213"/>
      <c r="H82" s="5"/>
      <c r="I82" s="5"/>
      <c r="J82" s="5"/>
      <c r="K82" s="5"/>
      <c r="L82" s="5"/>
      <c r="M82" s="5"/>
      <c r="N82" s="5"/>
      <c r="O82" s="5"/>
      <c r="P82" s="5"/>
      <c r="Q82" s="5"/>
    </row>
    <row r="83" spans="1:17" x14ac:dyDescent="0.2">
      <c r="A83" s="213"/>
      <c r="B83" s="213"/>
      <c r="C83" s="213"/>
      <c r="D83" s="213"/>
      <c r="E83" s="213"/>
      <c r="F83" s="213"/>
      <c r="G83" s="213"/>
      <c r="H83" s="5"/>
      <c r="I83" s="5"/>
      <c r="J83" s="5"/>
      <c r="K83" s="5"/>
      <c r="L83" s="5"/>
      <c r="M83" s="5"/>
      <c r="N83" s="5"/>
      <c r="O83" s="5"/>
      <c r="P83" s="5"/>
      <c r="Q83" s="5"/>
    </row>
    <row r="84" spans="1:17" x14ac:dyDescent="0.2">
      <c r="A84" s="213"/>
      <c r="B84" s="213"/>
      <c r="C84" s="213"/>
      <c r="D84" s="213"/>
      <c r="E84" s="213"/>
      <c r="F84" s="213"/>
      <c r="G84" s="213"/>
      <c r="H84" s="5"/>
      <c r="I84" s="5"/>
      <c r="J84" s="5"/>
      <c r="K84" s="5"/>
      <c r="L84" s="5"/>
      <c r="M84" s="5"/>
      <c r="N84" s="5"/>
      <c r="O84" s="5"/>
      <c r="P84" s="5"/>
      <c r="Q84" s="5"/>
    </row>
    <row r="85" spans="1:17" x14ac:dyDescent="0.2">
      <c r="A85" s="213"/>
      <c r="B85" s="213"/>
      <c r="C85" s="213"/>
      <c r="D85" s="213"/>
      <c r="E85" s="213"/>
      <c r="F85" s="213"/>
      <c r="G85" s="213"/>
      <c r="H85" s="5"/>
      <c r="I85" s="5"/>
      <c r="J85" s="5"/>
      <c r="K85" s="5"/>
      <c r="L85" s="5"/>
      <c r="M85" s="5"/>
      <c r="N85" s="5"/>
      <c r="O85" s="5"/>
      <c r="P85" s="5"/>
      <c r="Q85" s="5"/>
    </row>
    <row r="86" spans="1:17" x14ac:dyDescent="0.2">
      <c r="A86" s="213"/>
      <c r="B86" s="213"/>
      <c r="C86" s="213"/>
      <c r="D86" s="213"/>
      <c r="E86" s="213"/>
      <c r="F86" s="213"/>
      <c r="G86" s="213"/>
      <c r="H86" s="5"/>
      <c r="I86" s="5"/>
      <c r="J86" s="5"/>
      <c r="K86" s="5"/>
      <c r="L86" s="5"/>
      <c r="M86" s="5"/>
      <c r="N86" s="5"/>
      <c r="O86" s="5"/>
      <c r="P86" s="5"/>
      <c r="Q86" s="5"/>
    </row>
    <row r="87" spans="1:17" x14ac:dyDescent="0.2">
      <c r="A87" s="213"/>
      <c r="B87" s="213"/>
      <c r="C87" s="213"/>
      <c r="D87" s="213"/>
      <c r="E87" s="213"/>
      <c r="F87" s="213"/>
      <c r="G87" s="213"/>
      <c r="H87" s="5"/>
      <c r="I87" s="5"/>
      <c r="J87" s="5"/>
      <c r="K87" s="5"/>
      <c r="L87" s="5"/>
      <c r="M87" s="5"/>
      <c r="N87" s="5"/>
      <c r="O87" s="5"/>
      <c r="P87" s="5"/>
      <c r="Q87" s="5"/>
    </row>
    <row r="88" spans="1:17" x14ac:dyDescent="0.2">
      <c r="A88" s="213"/>
      <c r="B88" s="213"/>
      <c r="C88" s="213"/>
      <c r="D88" s="213"/>
      <c r="E88" s="213"/>
      <c r="F88" s="213"/>
      <c r="G88" s="213"/>
      <c r="H88" s="5"/>
      <c r="I88" s="5"/>
      <c r="J88" s="5"/>
      <c r="K88" s="5"/>
      <c r="L88" s="5"/>
      <c r="M88" s="5"/>
      <c r="N88" s="5"/>
      <c r="O88" s="5"/>
      <c r="P88" s="5"/>
      <c r="Q88" s="5"/>
    </row>
    <row r="89" spans="1:17" x14ac:dyDescent="0.2">
      <c r="A89" s="213"/>
      <c r="B89" s="213"/>
      <c r="C89" s="213"/>
      <c r="D89" s="213"/>
      <c r="E89" s="213"/>
      <c r="F89" s="213"/>
      <c r="G89" s="213"/>
      <c r="H89" s="5"/>
      <c r="I89" s="5"/>
      <c r="J89" s="5"/>
      <c r="K89" s="5"/>
      <c r="L89" s="5"/>
      <c r="M89" s="5"/>
      <c r="N89" s="5"/>
      <c r="O89" s="5"/>
      <c r="P89" s="5"/>
      <c r="Q89" s="5"/>
    </row>
    <row r="90" spans="1:17" x14ac:dyDescent="0.2">
      <c r="A90" s="213"/>
      <c r="B90" s="213"/>
      <c r="C90" s="213"/>
      <c r="D90" s="213"/>
      <c r="E90" s="213"/>
      <c r="F90" s="213"/>
      <c r="G90" s="213"/>
      <c r="H90" s="5"/>
      <c r="I90" s="5"/>
      <c r="J90" s="5"/>
      <c r="K90" s="5"/>
      <c r="L90" s="5"/>
      <c r="M90" s="5"/>
      <c r="N90" s="5"/>
      <c r="O90" s="5"/>
      <c r="P90" s="5"/>
      <c r="Q90" s="5"/>
    </row>
    <row r="91" spans="1:17" x14ac:dyDescent="0.2">
      <c r="A91" s="213"/>
      <c r="B91" s="213"/>
      <c r="C91" s="213"/>
      <c r="D91" s="213"/>
      <c r="E91" s="213"/>
      <c r="F91" s="213"/>
      <c r="G91" s="213"/>
      <c r="H91" s="5"/>
      <c r="I91" s="5"/>
      <c r="J91" s="5"/>
      <c r="K91" s="5"/>
      <c r="L91" s="5"/>
      <c r="M91" s="5"/>
      <c r="N91" s="5"/>
      <c r="O91" s="5"/>
      <c r="P91" s="5"/>
      <c r="Q91" s="5"/>
    </row>
    <row r="92" spans="1:17" x14ac:dyDescent="0.2">
      <c r="A92" s="213"/>
      <c r="B92" s="213"/>
      <c r="C92" s="213"/>
      <c r="D92" s="213"/>
      <c r="E92" s="213"/>
      <c r="F92" s="213"/>
      <c r="G92" s="213"/>
      <c r="H92" s="5"/>
      <c r="I92" s="5"/>
      <c r="J92" s="5"/>
      <c r="K92" s="5"/>
      <c r="L92" s="5"/>
      <c r="M92" s="5"/>
      <c r="N92" s="5"/>
      <c r="O92" s="5"/>
      <c r="P92" s="5"/>
      <c r="Q92" s="5"/>
    </row>
    <row r="93" spans="1:17" x14ac:dyDescent="0.2">
      <c r="A93" s="213"/>
      <c r="B93" s="213"/>
      <c r="C93" s="213"/>
      <c r="D93" s="213"/>
      <c r="E93" s="213"/>
      <c r="F93" s="213"/>
      <c r="G93" s="213"/>
      <c r="H93" s="5"/>
      <c r="I93" s="5"/>
      <c r="J93" s="5"/>
      <c r="K93" s="5"/>
      <c r="L93" s="5"/>
      <c r="M93" s="5"/>
      <c r="N93" s="5"/>
      <c r="O93" s="5"/>
      <c r="P93" s="5"/>
      <c r="Q93" s="5"/>
    </row>
    <row r="94" spans="1:17" x14ac:dyDescent="0.2">
      <c r="A94" s="213"/>
      <c r="B94" s="213"/>
      <c r="C94" s="213"/>
      <c r="D94" s="213"/>
      <c r="E94" s="213"/>
      <c r="F94" s="213"/>
      <c r="G94" s="213"/>
      <c r="H94" s="5"/>
      <c r="I94" s="5"/>
      <c r="J94" s="5"/>
      <c r="K94" s="5"/>
      <c r="L94" s="5"/>
      <c r="M94" s="5"/>
      <c r="N94" s="5"/>
      <c r="O94" s="5"/>
      <c r="P94" s="5"/>
      <c r="Q94" s="5"/>
    </row>
    <row r="95" spans="1:17" x14ac:dyDescent="0.2">
      <c r="A95" s="213"/>
      <c r="B95" s="213"/>
      <c r="C95" s="213"/>
      <c r="D95" s="213"/>
      <c r="E95" s="213"/>
      <c r="F95" s="213"/>
      <c r="G95" s="213"/>
      <c r="H95" s="5"/>
      <c r="I95" s="5"/>
      <c r="J95" s="5"/>
      <c r="K95" s="5"/>
      <c r="L95" s="5"/>
      <c r="M95" s="5"/>
      <c r="N95" s="5"/>
      <c r="O95" s="5"/>
      <c r="P95" s="5"/>
      <c r="Q95" s="5"/>
    </row>
    <row r="96" spans="1:17" x14ac:dyDescent="0.2">
      <c r="A96" s="213"/>
      <c r="B96" s="213"/>
      <c r="C96" s="213"/>
      <c r="D96" s="213"/>
      <c r="E96" s="213"/>
      <c r="F96" s="213"/>
      <c r="G96" s="213"/>
      <c r="H96" s="5"/>
      <c r="I96" s="5"/>
      <c r="J96" s="5"/>
      <c r="K96" s="5"/>
      <c r="L96" s="5"/>
      <c r="M96" s="5"/>
      <c r="N96" s="5"/>
      <c r="O96" s="5"/>
      <c r="P96" s="5"/>
      <c r="Q96" s="5"/>
    </row>
    <row r="97" spans="1:17" x14ac:dyDescent="0.2">
      <c r="A97" s="213"/>
      <c r="B97" s="213"/>
      <c r="C97" s="213"/>
      <c r="D97" s="213"/>
      <c r="E97" s="213"/>
      <c r="F97" s="213"/>
      <c r="G97" s="213"/>
      <c r="H97" s="5"/>
      <c r="I97" s="5"/>
      <c r="J97" s="5"/>
      <c r="K97" s="5"/>
      <c r="L97" s="5"/>
      <c r="M97" s="5"/>
      <c r="N97" s="5"/>
      <c r="O97" s="5"/>
      <c r="P97" s="5"/>
      <c r="Q97" s="5"/>
    </row>
    <row r="98" spans="1:17" x14ac:dyDescent="0.2">
      <c r="A98" s="213"/>
      <c r="B98" s="213"/>
      <c r="C98" s="213"/>
      <c r="D98" s="213"/>
      <c r="E98" s="213"/>
      <c r="F98" s="213"/>
      <c r="G98" s="213"/>
      <c r="H98" s="5"/>
      <c r="I98" s="5"/>
      <c r="J98" s="5"/>
      <c r="K98" s="5"/>
      <c r="L98" s="5"/>
      <c r="M98" s="5"/>
      <c r="N98" s="5"/>
      <c r="O98" s="5"/>
      <c r="P98" s="5"/>
      <c r="Q98" s="5"/>
    </row>
    <row r="99" spans="1:17" x14ac:dyDescent="0.2">
      <c r="A99" s="213"/>
      <c r="B99" s="213"/>
      <c r="C99" s="213"/>
      <c r="D99" s="213"/>
      <c r="E99" s="213"/>
      <c r="F99" s="213"/>
      <c r="G99" s="213"/>
      <c r="H99" s="5"/>
      <c r="I99" s="5"/>
      <c r="J99" s="5"/>
      <c r="K99" s="5"/>
      <c r="L99" s="5"/>
      <c r="M99" s="5"/>
      <c r="N99" s="5"/>
      <c r="O99" s="5"/>
      <c r="P99" s="5"/>
      <c r="Q99" s="5"/>
    </row>
    <row r="100" spans="1:17" x14ac:dyDescent="0.2">
      <c r="A100" s="213"/>
      <c r="B100" s="213"/>
      <c r="C100" s="213"/>
      <c r="D100" s="213"/>
      <c r="E100" s="213"/>
      <c r="F100" s="213"/>
      <c r="G100" s="213"/>
      <c r="H100" s="5"/>
      <c r="I100" s="5"/>
      <c r="J100" s="5"/>
      <c r="K100" s="5"/>
      <c r="L100" s="5"/>
      <c r="M100" s="5"/>
      <c r="N100" s="5"/>
      <c r="O100" s="5"/>
      <c r="P100" s="5"/>
      <c r="Q100" s="5"/>
    </row>
    <row r="101" spans="1:17" x14ac:dyDescent="0.2">
      <c r="A101" s="213"/>
      <c r="B101" s="213"/>
      <c r="C101" s="213"/>
      <c r="D101" s="213"/>
      <c r="E101" s="213"/>
      <c r="F101" s="213"/>
      <c r="G101" s="213"/>
      <c r="H101" s="5"/>
      <c r="I101" s="5"/>
      <c r="J101" s="5"/>
      <c r="K101" s="5"/>
      <c r="L101" s="5"/>
      <c r="M101" s="5"/>
      <c r="N101" s="5"/>
      <c r="O101" s="5"/>
      <c r="P101" s="5"/>
      <c r="Q101" s="5"/>
    </row>
    <row r="102" spans="1:17" x14ac:dyDescent="0.2">
      <c r="A102" s="213"/>
      <c r="B102" s="213"/>
      <c r="C102" s="213"/>
      <c r="D102" s="213"/>
      <c r="E102" s="213"/>
      <c r="F102" s="213"/>
      <c r="G102" s="213"/>
      <c r="H102" s="5"/>
      <c r="I102" s="5"/>
      <c r="J102" s="5"/>
      <c r="K102" s="5"/>
      <c r="L102" s="5"/>
      <c r="M102" s="5"/>
      <c r="N102" s="5"/>
      <c r="O102" s="5"/>
      <c r="P102" s="5"/>
      <c r="Q102" s="5"/>
    </row>
    <row r="103" spans="1:17" x14ac:dyDescent="0.2">
      <c r="A103" s="213"/>
      <c r="B103" s="213"/>
      <c r="C103" s="213"/>
      <c r="D103" s="213"/>
      <c r="E103" s="213"/>
      <c r="F103" s="213"/>
      <c r="G103" s="213"/>
      <c r="H103" s="5"/>
      <c r="I103" s="5"/>
      <c r="J103" s="5"/>
      <c r="K103" s="5"/>
      <c r="L103" s="5"/>
      <c r="M103" s="5"/>
      <c r="N103" s="5"/>
      <c r="O103" s="5"/>
      <c r="P103" s="5"/>
      <c r="Q103" s="5"/>
    </row>
    <row r="104" spans="1:17" x14ac:dyDescent="0.2">
      <c r="A104" s="213"/>
      <c r="B104" s="213"/>
      <c r="C104" s="213"/>
      <c r="D104" s="213"/>
      <c r="E104" s="213"/>
      <c r="F104" s="213"/>
      <c r="G104" s="213"/>
      <c r="H104" s="5"/>
      <c r="I104" s="5"/>
      <c r="J104" s="5"/>
      <c r="K104" s="5"/>
      <c r="L104" s="5"/>
      <c r="M104" s="5"/>
      <c r="N104" s="5"/>
      <c r="O104" s="5"/>
      <c r="P104" s="5"/>
      <c r="Q104" s="5"/>
    </row>
    <row r="105" spans="1:17" x14ac:dyDescent="0.2">
      <c r="A105" s="213"/>
      <c r="B105" s="213"/>
      <c r="C105" s="213"/>
      <c r="D105" s="213"/>
      <c r="E105" s="213"/>
      <c r="F105" s="213"/>
      <c r="G105" s="213"/>
      <c r="H105" s="5"/>
      <c r="I105" s="5"/>
      <c r="J105" s="5"/>
      <c r="K105" s="5"/>
      <c r="L105" s="5"/>
      <c r="M105" s="5"/>
      <c r="N105" s="5"/>
      <c r="O105" s="5"/>
      <c r="P105" s="5"/>
      <c r="Q105" s="5"/>
    </row>
    <row r="106" spans="1:17" x14ac:dyDescent="0.2">
      <c r="A106" s="213"/>
      <c r="B106" s="213"/>
      <c r="C106" s="213"/>
      <c r="D106" s="213"/>
      <c r="E106" s="213"/>
      <c r="F106" s="213"/>
      <c r="G106" s="213"/>
      <c r="H106" s="5"/>
      <c r="I106" s="5"/>
      <c r="J106" s="5"/>
      <c r="K106" s="5"/>
      <c r="L106" s="5"/>
      <c r="M106" s="5"/>
      <c r="N106" s="5"/>
      <c r="O106" s="5"/>
      <c r="P106" s="5"/>
      <c r="Q106" s="5"/>
    </row>
    <row r="107" spans="1:17" x14ac:dyDescent="0.2">
      <c r="A107" s="213"/>
      <c r="B107" s="213"/>
      <c r="C107" s="213"/>
      <c r="D107" s="213"/>
      <c r="E107" s="213"/>
      <c r="F107" s="213"/>
      <c r="G107" s="213"/>
      <c r="H107" s="5"/>
      <c r="I107" s="5"/>
      <c r="J107" s="5"/>
      <c r="K107" s="5"/>
      <c r="L107" s="5"/>
      <c r="M107" s="5"/>
      <c r="N107" s="5"/>
      <c r="O107" s="5"/>
      <c r="P107" s="5"/>
      <c r="Q107" s="5"/>
    </row>
    <row r="108" spans="1:17" x14ac:dyDescent="0.2">
      <c r="A108" s="213"/>
      <c r="B108" s="213"/>
      <c r="C108" s="213"/>
      <c r="D108" s="213"/>
      <c r="E108" s="213"/>
      <c r="F108" s="213"/>
      <c r="G108" s="213"/>
      <c r="H108" s="5"/>
      <c r="I108" s="5"/>
      <c r="J108" s="5"/>
      <c r="K108" s="5"/>
      <c r="L108" s="5"/>
      <c r="M108" s="5"/>
      <c r="N108" s="5"/>
      <c r="O108" s="5"/>
      <c r="P108" s="5"/>
      <c r="Q108" s="5"/>
    </row>
    <row r="109" spans="1:17" x14ac:dyDescent="0.2">
      <c r="A109" s="213"/>
      <c r="B109" s="213"/>
      <c r="C109" s="213"/>
      <c r="D109" s="213"/>
      <c r="E109" s="213"/>
      <c r="F109" s="213"/>
      <c r="G109" s="213"/>
      <c r="H109" s="5"/>
      <c r="I109" s="5"/>
      <c r="J109" s="5"/>
      <c r="K109" s="5"/>
      <c r="L109" s="5"/>
      <c r="M109" s="5"/>
      <c r="N109" s="5"/>
      <c r="O109" s="5"/>
      <c r="P109" s="5"/>
      <c r="Q109" s="5"/>
    </row>
    <row r="110" spans="1:17" x14ac:dyDescent="0.2">
      <c r="A110" s="213"/>
      <c r="B110" s="213"/>
      <c r="C110" s="213"/>
      <c r="D110" s="213"/>
      <c r="E110" s="213"/>
      <c r="F110" s="213"/>
      <c r="G110" s="213"/>
      <c r="H110" s="5"/>
      <c r="I110" s="5"/>
      <c r="J110" s="5"/>
      <c r="K110" s="5"/>
      <c r="L110" s="5"/>
      <c r="M110" s="5"/>
      <c r="N110" s="5"/>
      <c r="O110" s="5"/>
      <c r="P110" s="5"/>
      <c r="Q110" s="5"/>
    </row>
    <row r="111" spans="1:17" x14ac:dyDescent="0.2">
      <c r="A111" s="213"/>
      <c r="B111" s="213"/>
      <c r="C111" s="213"/>
      <c r="D111" s="213"/>
      <c r="E111" s="213"/>
      <c r="F111" s="213"/>
      <c r="G111" s="213"/>
      <c r="H111" s="5"/>
      <c r="I111" s="5"/>
      <c r="J111" s="5"/>
      <c r="K111" s="5"/>
      <c r="L111" s="5"/>
      <c r="M111" s="5"/>
      <c r="N111" s="5"/>
      <c r="O111" s="5"/>
      <c r="P111" s="5"/>
      <c r="Q111" s="5"/>
    </row>
    <row r="112" spans="1:17" x14ac:dyDescent="0.2">
      <c r="A112" s="213"/>
      <c r="B112" s="213"/>
      <c r="C112" s="213"/>
      <c r="D112" s="213"/>
      <c r="E112" s="213"/>
      <c r="F112" s="213"/>
      <c r="G112" s="213"/>
      <c r="H112" s="5"/>
      <c r="I112" s="5"/>
      <c r="J112" s="5"/>
      <c r="K112" s="5"/>
      <c r="L112" s="5"/>
      <c r="M112" s="5"/>
      <c r="N112" s="5"/>
      <c r="O112" s="5"/>
      <c r="P112" s="5"/>
      <c r="Q112" s="5"/>
    </row>
    <row r="113" spans="1:17" x14ac:dyDescent="0.2">
      <c r="A113" s="213"/>
      <c r="B113" s="213"/>
      <c r="C113" s="213"/>
      <c r="D113" s="213"/>
      <c r="E113" s="213"/>
      <c r="F113" s="213"/>
      <c r="G113" s="213"/>
      <c r="H113" s="5"/>
      <c r="I113" s="5"/>
      <c r="J113" s="5"/>
      <c r="K113" s="5"/>
      <c r="L113" s="5"/>
      <c r="M113" s="5"/>
      <c r="N113" s="5"/>
      <c r="O113" s="5"/>
      <c r="P113" s="5"/>
      <c r="Q113" s="5"/>
    </row>
    <row r="114" spans="1:17" x14ac:dyDescent="0.2">
      <c r="A114" s="213"/>
      <c r="B114" s="213"/>
      <c r="C114" s="213"/>
      <c r="D114" s="213"/>
      <c r="E114" s="213"/>
      <c r="F114" s="213"/>
      <c r="G114" s="213"/>
      <c r="H114" s="5"/>
      <c r="I114" s="5"/>
      <c r="J114" s="5"/>
      <c r="K114" s="5"/>
      <c r="L114" s="5"/>
      <c r="M114" s="5"/>
      <c r="N114" s="5"/>
      <c r="O114" s="5"/>
      <c r="P114" s="5"/>
      <c r="Q114" s="5"/>
    </row>
    <row r="115" spans="1:17" x14ac:dyDescent="0.2">
      <c r="A115" s="213"/>
      <c r="B115" s="213"/>
      <c r="C115" s="213"/>
      <c r="D115" s="213"/>
      <c r="E115" s="213"/>
      <c r="F115" s="213"/>
      <c r="G115" s="213"/>
      <c r="H115" s="5"/>
      <c r="I115" s="5"/>
      <c r="J115" s="5"/>
      <c r="K115" s="5"/>
      <c r="L115" s="5"/>
      <c r="M115" s="5"/>
      <c r="N115" s="5"/>
      <c r="O115" s="5"/>
      <c r="P115" s="5"/>
      <c r="Q115" s="5"/>
    </row>
    <row r="116" spans="1:17" x14ac:dyDescent="0.2">
      <c r="A116" s="213"/>
      <c r="B116" s="213"/>
      <c r="C116" s="213"/>
      <c r="D116" s="213"/>
      <c r="E116" s="213"/>
      <c r="F116" s="213"/>
      <c r="G116" s="213"/>
      <c r="H116" s="5"/>
      <c r="I116" s="5"/>
      <c r="J116" s="5"/>
      <c r="K116" s="5"/>
      <c r="L116" s="5"/>
      <c r="M116" s="5"/>
      <c r="N116" s="5"/>
      <c r="O116" s="5"/>
      <c r="P116" s="5"/>
      <c r="Q116" s="5"/>
    </row>
    <row r="117" spans="1:17" x14ac:dyDescent="0.2">
      <c r="A117" s="213"/>
      <c r="B117" s="213"/>
      <c r="C117" s="213"/>
      <c r="D117" s="213"/>
      <c r="E117" s="213"/>
      <c r="F117" s="213"/>
      <c r="G117" s="213"/>
      <c r="H117" s="5"/>
      <c r="I117" s="5"/>
      <c r="J117" s="5"/>
      <c r="K117" s="5"/>
      <c r="L117" s="5"/>
      <c r="M117" s="5"/>
      <c r="N117" s="5"/>
      <c r="O117" s="5"/>
      <c r="P117" s="5"/>
      <c r="Q117" s="5"/>
    </row>
    <row r="118" spans="1:17" x14ac:dyDescent="0.2">
      <c r="A118" s="213"/>
      <c r="B118" s="213"/>
      <c r="C118" s="213"/>
      <c r="D118" s="213"/>
      <c r="E118" s="213"/>
      <c r="F118" s="213"/>
      <c r="G118" s="213"/>
      <c r="H118" s="5"/>
      <c r="I118" s="5"/>
      <c r="J118" s="5"/>
      <c r="K118" s="5"/>
      <c r="L118" s="5"/>
      <c r="M118" s="5"/>
      <c r="N118" s="5"/>
      <c r="O118" s="5"/>
      <c r="P118" s="5"/>
      <c r="Q118" s="5"/>
    </row>
    <row r="119" spans="1:17" x14ac:dyDescent="0.2">
      <c r="A119" s="213"/>
      <c r="B119" s="213"/>
      <c r="C119" s="213"/>
      <c r="D119" s="213"/>
      <c r="E119" s="213"/>
      <c r="F119" s="213"/>
      <c r="G119" s="213"/>
      <c r="H119" s="5"/>
      <c r="I119" s="5"/>
      <c r="J119" s="5"/>
      <c r="K119" s="5"/>
      <c r="L119" s="5"/>
      <c r="M119" s="5"/>
      <c r="N119" s="5"/>
      <c r="O119" s="5"/>
      <c r="P119" s="5"/>
      <c r="Q119" s="5"/>
    </row>
    <row r="120" spans="1:17" x14ac:dyDescent="0.2">
      <c r="A120" s="213"/>
      <c r="B120" s="213"/>
      <c r="C120" s="213"/>
      <c r="D120" s="213"/>
      <c r="E120" s="213"/>
      <c r="F120" s="213"/>
      <c r="G120" s="213"/>
      <c r="H120" s="5"/>
      <c r="I120" s="5"/>
      <c r="J120" s="5"/>
      <c r="K120" s="5"/>
      <c r="L120" s="5"/>
      <c r="M120" s="5"/>
      <c r="N120" s="5"/>
      <c r="O120" s="5"/>
      <c r="P120" s="5"/>
      <c r="Q120" s="5"/>
    </row>
    <row r="121" spans="1:17" x14ac:dyDescent="0.2">
      <c r="A121" s="213"/>
      <c r="B121" s="213"/>
      <c r="C121" s="213"/>
      <c r="D121" s="213"/>
      <c r="E121" s="213"/>
      <c r="F121" s="213"/>
      <c r="G121" s="213"/>
      <c r="H121" s="5"/>
      <c r="I121" s="5"/>
      <c r="J121" s="5"/>
      <c r="K121" s="5"/>
      <c r="L121" s="5"/>
      <c r="M121" s="5"/>
      <c r="N121" s="5"/>
      <c r="O121" s="5"/>
      <c r="P121" s="5"/>
      <c r="Q121" s="5"/>
    </row>
    <row r="122" spans="1:17" x14ac:dyDescent="0.2">
      <c r="A122" s="213"/>
      <c r="B122" s="213"/>
      <c r="C122" s="213"/>
      <c r="D122" s="213"/>
      <c r="E122" s="213"/>
      <c r="F122" s="213"/>
      <c r="G122" s="213"/>
      <c r="H122" s="5"/>
      <c r="I122" s="5"/>
      <c r="J122" s="5"/>
      <c r="K122" s="5"/>
      <c r="L122" s="5"/>
      <c r="M122" s="5"/>
      <c r="N122" s="5"/>
      <c r="O122" s="5"/>
      <c r="P122" s="5"/>
      <c r="Q122" s="5"/>
    </row>
    <row r="123" spans="1:17" x14ac:dyDescent="0.2">
      <c r="A123" s="213"/>
      <c r="B123" s="213"/>
      <c r="C123" s="213"/>
      <c r="D123" s="213"/>
      <c r="E123" s="213"/>
      <c r="F123" s="213"/>
      <c r="G123" s="213"/>
      <c r="H123" s="5"/>
      <c r="I123" s="5"/>
      <c r="J123" s="5"/>
      <c r="K123" s="5"/>
      <c r="L123" s="5"/>
      <c r="M123" s="5"/>
      <c r="N123" s="5"/>
      <c r="O123" s="5"/>
      <c r="P123" s="5"/>
      <c r="Q123" s="5"/>
    </row>
    <row r="124" spans="1:17" x14ac:dyDescent="0.2">
      <c r="A124" s="213"/>
      <c r="B124" s="213"/>
      <c r="C124" s="213"/>
      <c r="D124" s="213"/>
      <c r="E124" s="213"/>
      <c r="F124" s="213"/>
      <c r="G124" s="213"/>
      <c r="H124" s="5"/>
      <c r="I124" s="5"/>
      <c r="J124" s="5"/>
      <c r="K124" s="5"/>
      <c r="L124" s="5"/>
      <c r="M124" s="5"/>
      <c r="N124" s="5"/>
      <c r="O124" s="5"/>
      <c r="P124" s="5"/>
      <c r="Q124" s="5"/>
    </row>
    <row r="125" spans="1:17" x14ac:dyDescent="0.2">
      <c r="A125" s="213"/>
      <c r="B125" s="213"/>
      <c r="C125" s="213"/>
      <c r="D125" s="213"/>
      <c r="E125" s="213"/>
      <c r="F125" s="213"/>
      <c r="G125" s="213"/>
      <c r="H125" s="5"/>
      <c r="I125" s="5"/>
      <c r="J125" s="5"/>
      <c r="K125" s="5"/>
      <c r="L125" s="5"/>
      <c r="M125" s="5"/>
      <c r="N125" s="5"/>
      <c r="O125" s="5"/>
      <c r="P125" s="5"/>
      <c r="Q125" s="5"/>
    </row>
    <row r="126" spans="1:17" x14ac:dyDescent="0.2">
      <c r="A126" s="213"/>
      <c r="B126" s="213"/>
      <c r="C126" s="213"/>
      <c r="D126" s="213"/>
      <c r="E126" s="213"/>
      <c r="F126" s="213"/>
      <c r="G126" s="213"/>
      <c r="H126" s="5"/>
      <c r="I126" s="5"/>
      <c r="J126" s="5"/>
      <c r="K126" s="5"/>
      <c r="L126" s="5"/>
      <c r="M126" s="5"/>
      <c r="N126" s="5"/>
      <c r="O126" s="5"/>
      <c r="P126" s="5"/>
      <c r="Q126" s="5"/>
    </row>
    <row r="127" spans="1:17" x14ac:dyDescent="0.2">
      <c r="A127" s="213"/>
      <c r="B127" s="213"/>
      <c r="C127" s="213"/>
      <c r="D127" s="213"/>
      <c r="E127" s="213"/>
      <c r="F127" s="213"/>
      <c r="G127" s="213"/>
      <c r="H127" s="5"/>
      <c r="I127" s="5"/>
      <c r="J127" s="5"/>
      <c r="K127" s="5"/>
      <c r="L127" s="5"/>
      <c r="M127" s="5"/>
      <c r="N127" s="5"/>
      <c r="O127" s="5"/>
      <c r="P127" s="5"/>
      <c r="Q127" s="5"/>
    </row>
    <row r="128" spans="1:17" x14ac:dyDescent="0.2">
      <c r="A128" s="213"/>
      <c r="B128" s="213"/>
      <c r="C128" s="213"/>
      <c r="D128" s="213"/>
      <c r="E128" s="213"/>
      <c r="F128" s="213"/>
      <c r="G128" s="213"/>
      <c r="H128" s="5"/>
      <c r="I128" s="5"/>
      <c r="J128" s="5"/>
      <c r="K128" s="5"/>
      <c r="L128" s="5"/>
      <c r="M128" s="5"/>
      <c r="N128" s="5"/>
      <c r="O128" s="5"/>
      <c r="P128" s="5"/>
      <c r="Q128" s="5"/>
    </row>
    <row r="129" spans="1:17" x14ac:dyDescent="0.2">
      <c r="A129" s="213"/>
      <c r="B129" s="213"/>
      <c r="C129" s="213"/>
      <c r="D129" s="213"/>
      <c r="E129" s="213"/>
      <c r="F129" s="213"/>
      <c r="G129" s="213"/>
      <c r="H129" s="5"/>
      <c r="I129" s="5"/>
      <c r="J129" s="5"/>
      <c r="K129" s="5"/>
      <c r="L129" s="5"/>
      <c r="M129" s="5"/>
      <c r="N129" s="5"/>
      <c r="O129" s="5"/>
      <c r="P129" s="5"/>
      <c r="Q129" s="5"/>
    </row>
    <row r="130" spans="1:17" x14ac:dyDescent="0.2">
      <c r="A130" s="213"/>
      <c r="B130" s="213"/>
      <c r="C130" s="213"/>
      <c r="D130" s="213"/>
      <c r="E130" s="213"/>
      <c r="F130" s="213"/>
      <c r="G130" s="213"/>
      <c r="H130" s="5"/>
      <c r="I130" s="5"/>
      <c r="J130" s="5"/>
      <c r="K130" s="5"/>
      <c r="L130" s="5"/>
      <c r="M130" s="5"/>
      <c r="N130" s="5"/>
      <c r="O130" s="5"/>
      <c r="P130" s="5"/>
      <c r="Q130" s="5"/>
    </row>
    <row r="131" spans="1:17" x14ac:dyDescent="0.2">
      <c r="A131" s="213"/>
      <c r="B131" s="213"/>
      <c r="C131" s="213"/>
      <c r="D131" s="213"/>
      <c r="E131" s="213"/>
      <c r="F131" s="213"/>
      <c r="G131" s="213"/>
      <c r="H131" s="5"/>
      <c r="I131" s="5"/>
      <c r="J131" s="5"/>
      <c r="K131" s="5"/>
      <c r="L131" s="5"/>
      <c r="M131" s="5"/>
      <c r="N131" s="5"/>
      <c r="O131" s="5"/>
      <c r="P131" s="5"/>
      <c r="Q131" s="5"/>
    </row>
    <row r="132" spans="1:17" x14ac:dyDescent="0.2">
      <c r="A132" s="213"/>
      <c r="B132" s="213"/>
      <c r="C132" s="213"/>
      <c r="D132" s="213"/>
      <c r="E132" s="213"/>
      <c r="F132" s="213"/>
      <c r="G132" s="213"/>
      <c r="H132" s="5"/>
      <c r="I132" s="5"/>
      <c r="J132" s="5"/>
      <c r="K132" s="5"/>
      <c r="L132" s="5"/>
      <c r="M132" s="5"/>
      <c r="N132" s="5"/>
      <c r="O132" s="5"/>
      <c r="P132" s="5"/>
      <c r="Q132" s="5"/>
    </row>
    <row r="133" spans="1:17" x14ac:dyDescent="0.2">
      <c r="A133" s="213"/>
      <c r="B133" s="213"/>
      <c r="C133" s="213"/>
      <c r="D133" s="213"/>
      <c r="E133" s="213"/>
      <c r="F133" s="213"/>
      <c r="G133" s="213"/>
      <c r="H133" s="5"/>
      <c r="I133" s="5"/>
      <c r="J133" s="5"/>
      <c r="K133" s="5"/>
      <c r="L133" s="5"/>
      <c r="M133" s="5"/>
      <c r="N133" s="5"/>
      <c r="O133" s="5"/>
      <c r="P133" s="5"/>
      <c r="Q133" s="5"/>
    </row>
    <row r="134" spans="1:17" x14ac:dyDescent="0.2">
      <c r="A134" s="213"/>
      <c r="B134" s="213"/>
      <c r="C134" s="213"/>
      <c r="D134" s="213"/>
      <c r="E134" s="213"/>
      <c r="F134" s="213"/>
      <c r="G134" s="213"/>
      <c r="H134" s="5"/>
      <c r="I134" s="5"/>
      <c r="J134" s="5"/>
      <c r="K134" s="5"/>
      <c r="L134" s="5"/>
      <c r="M134" s="5"/>
      <c r="N134" s="5"/>
      <c r="O134" s="5"/>
      <c r="P134" s="5"/>
      <c r="Q134" s="5"/>
    </row>
    <row r="135" spans="1:17" x14ac:dyDescent="0.2">
      <c r="A135" s="213"/>
      <c r="B135" s="213"/>
      <c r="C135" s="213"/>
      <c r="D135" s="213"/>
      <c r="E135" s="213"/>
      <c r="F135" s="213"/>
      <c r="G135" s="213"/>
      <c r="H135" s="5"/>
      <c r="I135" s="5"/>
      <c r="J135" s="5"/>
      <c r="K135" s="5"/>
      <c r="L135" s="5"/>
      <c r="M135" s="5"/>
      <c r="N135" s="5"/>
      <c r="O135" s="5"/>
      <c r="P135" s="5"/>
      <c r="Q135" s="5"/>
    </row>
    <row r="136" spans="1:17" x14ac:dyDescent="0.2">
      <c r="A136" s="213"/>
      <c r="B136" s="213"/>
      <c r="C136" s="213"/>
      <c r="D136" s="213"/>
      <c r="E136" s="213"/>
      <c r="F136" s="213"/>
      <c r="G136" s="213"/>
      <c r="H136" s="5"/>
      <c r="I136" s="5"/>
      <c r="J136" s="5"/>
      <c r="K136" s="5"/>
      <c r="L136" s="5"/>
      <c r="M136" s="5"/>
      <c r="N136" s="5"/>
      <c r="O136" s="5"/>
      <c r="P136" s="5"/>
      <c r="Q136" s="5"/>
    </row>
    <row r="137" spans="1:17" x14ac:dyDescent="0.2">
      <c r="A137" s="213"/>
      <c r="B137" s="213"/>
      <c r="C137" s="213"/>
      <c r="D137" s="213"/>
      <c r="E137" s="213"/>
      <c r="F137" s="213"/>
      <c r="G137" s="213"/>
      <c r="H137" s="5"/>
      <c r="I137" s="5"/>
      <c r="J137" s="5"/>
      <c r="K137" s="5"/>
      <c r="L137" s="5"/>
      <c r="M137" s="5"/>
      <c r="N137" s="5"/>
      <c r="O137" s="5"/>
      <c r="P137" s="5"/>
      <c r="Q137" s="5"/>
    </row>
    <row r="138" spans="1:17" x14ac:dyDescent="0.2">
      <c r="A138" s="213"/>
      <c r="B138" s="213"/>
      <c r="C138" s="213"/>
      <c r="D138" s="213"/>
      <c r="E138" s="213"/>
      <c r="F138" s="213"/>
      <c r="G138" s="213"/>
      <c r="H138" s="5"/>
      <c r="I138" s="5"/>
      <c r="J138" s="5"/>
      <c r="K138" s="5"/>
      <c r="L138" s="5"/>
      <c r="M138" s="5"/>
      <c r="N138" s="5"/>
      <c r="O138" s="5"/>
      <c r="P138" s="5"/>
      <c r="Q138" s="5"/>
    </row>
    <row r="139" spans="1:17" x14ac:dyDescent="0.2">
      <c r="A139" s="213"/>
      <c r="B139" s="213"/>
      <c r="C139" s="213"/>
      <c r="D139" s="213"/>
      <c r="E139" s="213"/>
      <c r="F139" s="213"/>
      <c r="G139" s="213"/>
      <c r="H139" s="5"/>
      <c r="I139" s="5"/>
      <c r="J139" s="5"/>
      <c r="K139" s="5"/>
      <c r="L139" s="5"/>
      <c r="M139" s="5"/>
      <c r="N139" s="5"/>
      <c r="O139" s="5"/>
      <c r="P139" s="5"/>
      <c r="Q139" s="5"/>
    </row>
    <row r="140" spans="1:17" x14ac:dyDescent="0.2">
      <c r="A140" s="213"/>
      <c r="B140" s="213"/>
      <c r="C140" s="213"/>
      <c r="D140" s="213"/>
      <c r="E140" s="213"/>
      <c r="F140" s="213"/>
      <c r="G140" s="213"/>
      <c r="H140" s="5"/>
      <c r="I140" s="5"/>
      <c r="J140" s="5"/>
      <c r="K140" s="5"/>
      <c r="L140" s="5"/>
      <c r="M140" s="5"/>
      <c r="N140" s="5"/>
      <c r="O140" s="5"/>
      <c r="P140" s="5"/>
      <c r="Q140" s="5"/>
    </row>
    <row r="141" spans="1:17" x14ac:dyDescent="0.2">
      <c r="A141" s="213"/>
      <c r="B141" s="213"/>
      <c r="C141" s="213"/>
      <c r="D141" s="213"/>
      <c r="E141" s="213"/>
      <c r="F141" s="213"/>
      <c r="G141" s="213"/>
      <c r="H141" s="5"/>
      <c r="I141" s="5"/>
      <c r="J141" s="5"/>
      <c r="K141" s="5"/>
      <c r="L141" s="5"/>
      <c r="M141" s="5"/>
      <c r="N141" s="5"/>
      <c r="O141" s="5"/>
      <c r="P141" s="5"/>
      <c r="Q141" s="5"/>
    </row>
    <row r="142" spans="1:17" x14ac:dyDescent="0.2">
      <c r="A142" s="213"/>
      <c r="B142" s="213"/>
      <c r="C142" s="213"/>
      <c r="D142" s="213"/>
      <c r="E142" s="213"/>
      <c r="F142" s="213"/>
      <c r="G142" s="213"/>
      <c r="H142" s="5"/>
      <c r="I142" s="5"/>
      <c r="J142" s="5"/>
      <c r="K142" s="5"/>
      <c r="L142" s="5"/>
      <c r="M142" s="5"/>
      <c r="N142" s="5"/>
      <c r="O142" s="5"/>
      <c r="P142" s="5"/>
      <c r="Q142" s="5"/>
    </row>
    <row r="143" spans="1:17" x14ac:dyDescent="0.2">
      <c r="A143" s="213"/>
      <c r="B143" s="213"/>
      <c r="C143" s="213"/>
      <c r="D143" s="213"/>
      <c r="E143" s="213"/>
      <c r="F143" s="213"/>
      <c r="G143" s="213"/>
      <c r="H143" s="5"/>
      <c r="I143" s="5"/>
      <c r="J143" s="5"/>
      <c r="K143" s="5"/>
      <c r="L143" s="5"/>
      <c r="M143" s="5"/>
      <c r="N143" s="5"/>
      <c r="O143" s="5"/>
      <c r="P143" s="5"/>
      <c r="Q143" s="5"/>
    </row>
    <row r="144" spans="1:17" x14ac:dyDescent="0.2">
      <c r="A144" s="213"/>
      <c r="B144" s="213"/>
      <c r="C144" s="213"/>
      <c r="D144" s="213"/>
      <c r="E144" s="213"/>
      <c r="F144" s="213"/>
      <c r="G144" s="213"/>
      <c r="H144" s="5"/>
      <c r="I144" s="5"/>
      <c r="J144" s="5"/>
      <c r="K144" s="5"/>
      <c r="L144" s="5"/>
      <c r="M144" s="5"/>
      <c r="N144" s="5"/>
      <c r="O144" s="5"/>
      <c r="P144" s="5"/>
      <c r="Q144" s="5"/>
    </row>
    <row r="145" spans="1:17" x14ac:dyDescent="0.2">
      <c r="A145" s="213"/>
      <c r="B145" s="213"/>
      <c r="C145" s="213"/>
      <c r="D145" s="213"/>
      <c r="E145" s="213"/>
      <c r="F145" s="213"/>
      <c r="G145" s="213"/>
      <c r="H145" s="5"/>
      <c r="I145" s="5"/>
      <c r="J145" s="5"/>
      <c r="K145" s="5"/>
      <c r="L145" s="5"/>
      <c r="M145" s="5"/>
      <c r="N145" s="5"/>
      <c r="O145" s="5"/>
      <c r="P145" s="5"/>
      <c r="Q145" s="5"/>
    </row>
    <row r="146" spans="1:17" x14ac:dyDescent="0.2">
      <c r="A146" s="213"/>
      <c r="B146" s="213"/>
      <c r="C146" s="213"/>
      <c r="D146" s="213"/>
      <c r="E146" s="213"/>
      <c r="F146" s="213"/>
      <c r="G146" s="213"/>
      <c r="H146" s="5"/>
      <c r="I146" s="5"/>
      <c r="J146" s="5"/>
      <c r="K146" s="5"/>
      <c r="L146" s="5"/>
      <c r="M146" s="5"/>
      <c r="N146" s="5"/>
      <c r="O146" s="5"/>
      <c r="P146" s="5"/>
      <c r="Q146" s="5"/>
    </row>
    <row r="147" spans="1:17" x14ac:dyDescent="0.2">
      <c r="A147" s="213"/>
      <c r="B147" s="213"/>
      <c r="C147" s="213"/>
      <c r="D147" s="213"/>
      <c r="E147" s="213"/>
      <c r="F147" s="213"/>
      <c r="G147" s="213"/>
      <c r="H147" s="5"/>
      <c r="I147" s="5"/>
      <c r="J147" s="5"/>
      <c r="K147" s="5"/>
      <c r="L147" s="5"/>
      <c r="M147" s="5"/>
      <c r="N147" s="5"/>
      <c r="O147" s="5"/>
      <c r="P147" s="5"/>
      <c r="Q147" s="5"/>
    </row>
    <row r="148" spans="1:17" x14ac:dyDescent="0.2">
      <c r="A148" s="213"/>
      <c r="B148" s="213"/>
      <c r="C148" s="213"/>
      <c r="D148" s="213"/>
      <c r="E148" s="213"/>
      <c r="F148" s="213"/>
      <c r="G148" s="213"/>
      <c r="H148" s="5"/>
      <c r="I148" s="5"/>
      <c r="J148" s="5"/>
      <c r="K148" s="5"/>
      <c r="L148" s="5"/>
      <c r="M148" s="5"/>
      <c r="N148" s="5"/>
      <c r="O148" s="5"/>
      <c r="P148" s="5"/>
      <c r="Q148" s="5"/>
    </row>
    <row r="149" spans="1:17" x14ac:dyDescent="0.2">
      <c r="A149" s="213"/>
      <c r="B149" s="213"/>
      <c r="C149" s="213"/>
      <c r="D149" s="213"/>
      <c r="E149" s="213"/>
      <c r="F149" s="213"/>
      <c r="G149" s="213"/>
      <c r="H149" s="5"/>
      <c r="I149" s="5"/>
      <c r="J149" s="5"/>
      <c r="K149" s="5"/>
      <c r="L149" s="5"/>
      <c r="M149" s="5"/>
      <c r="N149" s="5"/>
      <c r="O149" s="5"/>
      <c r="P149" s="5"/>
      <c r="Q149" s="5"/>
    </row>
    <row r="150" spans="1:17" x14ac:dyDescent="0.2">
      <c r="A150" s="213"/>
      <c r="B150" s="213"/>
      <c r="C150" s="213"/>
      <c r="D150" s="213"/>
      <c r="E150" s="213"/>
      <c r="F150" s="213"/>
      <c r="G150" s="213"/>
      <c r="H150" s="5"/>
      <c r="I150" s="5"/>
      <c r="J150" s="5"/>
      <c r="K150" s="5"/>
      <c r="L150" s="5"/>
      <c r="M150" s="5"/>
      <c r="N150" s="5"/>
      <c r="O150" s="5"/>
      <c r="P150" s="5"/>
      <c r="Q150" s="5"/>
    </row>
    <row r="151" spans="1:17" x14ac:dyDescent="0.2">
      <c r="A151" s="213"/>
      <c r="B151" s="213"/>
      <c r="C151" s="213"/>
      <c r="D151" s="213"/>
      <c r="E151" s="213"/>
      <c r="F151" s="213"/>
      <c r="G151" s="213"/>
      <c r="H151" s="5"/>
      <c r="I151" s="5"/>
      <c r="J151" s="5"/>
      <c r="K151" s="5"/>
      <c r="L151" s="5"/>
      <c r="M151" s="5"/>
      <c r="N151" s="5"/>
      <c r="O151" s="5"/>
      <c r="P151" s="5"/>
      <c r="Q151" s="5"/>
    </row>
    <row r="152" spans="1:17" x14ac:dyDescent="0.2">
      <c r="A152" s="213"/>
      <c r="B152" s="213"/>
      <c r="C152" s="213"/>
      <c r="D152" s="213"/>
      <c r="E152" s="213"/>
      <c r="F152" s="213"/>
      <c r="G152" s="213"/>
      <c r="H152" s="5"/>
      <c r="I152" s="5"/>
      <c r="J152" s="5"/>
      <c r="K152" s="5"/>
      <c r="L152" s="5"/>
      <c r="M152" s="5"/>
      <c r="N152" s="5"/>
      <c r="O152" s="5"/>
      <c r="P152" s="5"/>
      <c r="Q152" s="5"/>
    </row>
    <row r="153" spans="1:17" x14ac:dyDescent="0.2">
      <c r="A153" s="213"/>
      <c r="B153" s="213"/>
      <c r="C153" s="213"/>
      <c r="D153" s="213"/>
      <c r="E153" s="213"/>
      <c r="F153" s="213"/>
      <c r="G153" s="213"/>
      <c r="H153" s="5"/>
      <c r="I153" s="5"/>
      <c r="J153" s="5"/>
      <c r="K153" s="5"/>
      <c r="L153" s="5"/>
      <c r="M153" s="5"/>
      <c r="N153" s="5"/>
      <c r="O153" s="5"/>
      <c r="P153" s="5"/>
      <c r="Q153" s="5"/>
    </row>
    <row r="154" spans="1:17" x14ac:dyDescent="0.2">
      <c r="A154" s="213"/>
      <c r="B154" s="213"/>
      <c r="C154" s="213"/>
      <c r="D154" s="213"/>
      <c r="E154" s="213"/>
      <c r="F154" s="213"/>
      <c r="G154" s="213"/>
      <c r="H154" s="5"/>
      <c r="I154" s="5"/>
      <c r="J154" s="5"/>
      <c r="K154" s="5"/>
      <c r="L154" s="5"/>
      <c r="M154" s="5"/>
      <c r="N154" s="5"/>
      <c r="O154" s="5"/>
      <c r="P154" s="5"/>
      <c r="Q154" s="5"/>
    </row>
    <row r="155" spans="1:17" x14ac:dyDescent="0.2">
      <c r="A155" s="213"/>
      <c r="B155" s="213"/>
      <c r="C155" s="213"/>
      <c r="D155" s="213"/>
      <c r="E155" s="213"/>
      <c r="F155" s="213"/>
      <c r="G155" s="213"/>
      <c r="H155" s="5"/>
      <c r="I155" s="5"/>
      <c r="J155" s="5"/>
      <c r="K155" s="5"/>
      <c r="L155" s="5"/>
      <c r="M155" s="5"/>
      <c r="N155" s="5"/>
      <c r="O155" s="5"/>
      <c r="P155" s="5"/>
      <c r="Q155" s="5"/>
    </row>
    <row r="156" spans="1:17" x14ac:dyDescent="0.2">
      <c r="A156" s="213"/>
      <c r="B156" s="213"/>
      <c r="C156" s="213"/>
      <c r="D156" s="213"/>
      <c r="E156" s="213"/>
      <c r="F156" s="213"/>
      <c r="G156" s="213"/>
      <c r="H156" s="5"/>
      <c r="I156" s="5"/>
      <c r="J156" s="5"/>
      <c r="K156" s="5"/>
      <c r="L156" s="5"/>
      <c r="M156" s="5"/>
      <c r="N156" s="5"/>
      <c r="O156" s="5"/>
      <c r="P156" s="5"/>
      <c r="Q156" s="5"/>
    </row>
    <row r="157" spans="1:17" x14ac:dyDescent="0.2">
      <c r="A157" s="213"/>
      <c r="B157" s="213"/>
      <c r="C157" s="213"/>
      <c r="D157" s="213"/>
      <c r="E157" s="213"/>
      <c r="F157" s="213"/>
      <c r="G157" s="213"/>
      <c r="H157" s="5"/>
      <c r="I157" s="5"/>
      <c r="J157" s="5"/>
      <c r="K157" s="5"/>
      <c r="L157" s="5"/>
      <c r="M157" s="5"/>
      <c r="N157" s="5"/>
      <c r="O157" s="5"/>
      <c r="P157" s="5"/>
      <c r="Q157" s="5"/>
    </row>
    <row r="158" spans="1:17" x14ac:dyDescent="0.2">
      <c r="A158" s="213"/>
      <c r="B158" s="213"/>
      <c r="C158" s="213"/>
      <c r="D158" s="213"/>
      <c r="E158" s="213"/>
      <c r="F158" s="213"/>
      <c r="G158" s="213"/>
      <c r="H158" s="5"/>
      <c r="I158" s="5"/>
      <c r="J158" s="5"/>
      <c r="K158" s="5"/>
      <c r="L158" s="5"/>
      <c r="M158" s="5"/>
      <c r="N158" s="5"/>
      <c r="O158" s="5"/>
      <c r="P158" s="5"/>
      <c r="Q158" s="5"/>
    </row>
    <row r="159" spans="1:17" x14ac:dyDescent="0.2">
      <c r="A159" s="213"/>
      <c r="B159" s="213"/>
      <c r="C159" s="213"/>
      <c r="D159" s="213"/>
      <c r="E159" s="213"/>
      <c r="F159" s="213"/>
      <c r="G159" s="213"/>
      <c r="H159" s="5"/>
      <c r="I159" s="5"/>
      <c r="J159" s="5"/>
      <c r="K159" s="5"/>
      <c r="L159" s="5"/>
      <c r="M159" s="5"/>
      <c r="N159" s="5"/>
      <c r="O159" s="5"/>
      <c r="P159" s="5"/>
      <c r="Q159" s="5"/>
    </row>
    <row r="160" spans="1:17" x14ac:dyDescent="0.2">
      <c r="A160" s="213"/>
      <c r="B160" s="213"/>
      <c r="C160" s="213"/>
      <c r="D160" s="213"/>
      <c r="E160" s="213"/>
      <c r="F160" s="213"/>
      <c r="G160" s="213"/>
      <c r="H160" s="5"/>
      <c r="I160" s="5"/>
      <c r="J160" s="5"/>
      <c r="K160" s="5"/>
      <c r="L160" s="5"/>
      <c r="M160" s="5"/>
      <c r="N160" s="5"/>
      <c r="O160" s="5"/>
      <c r="P160" s="5"/>
      <c r="Q160" s="5"/>
    </row>
    <row r="161" spans="1:17" x14ac:dyDescent="0.2">
      <c r="A161" s="213"/>
      <c r="B161" s="213"/>
      <c r="C161" s="213"/>
      <c r="D161" s="213"/>
      <c r="E161" s="213"/>
      <c r="F161" s="213"/>
      <c r="G161" s="213"/>
      <c r="H161" s="5"/>
      <c r="I161" s="5"/>
      <c r="J161" s="5"/>
      <c r="K161" s="5"/>
      <c r="L161" s="5"/>
      <c r="M161" s="5"/>
      <c r="N161" s="5"/>
      <c r="O161" s="5"/>
      <c r="P161" s="5"/>
      <c r="Q161" s="5"/>
    </row>
    <row r="162" spans="1:17" x14ac:dyDescent="0.2">
      <c r="A162" s="213"/>
      <c r="B162" s="213"/>
      <c r="C162" s="213"/>
      <c r="D162" s="213"/>
      <c r="E162" s="213"/>
      <c r="F162" s="213"/>
      <c r="G162" s="213"/>
      <c r="H162" s="5"/>
      <c r="I162" s="5"/>
      <c r="J162" s="5"/>
      <c r="K162" s="5"/>
      <c r="L162" s="5"/>
      <c r="M162" s="5"/>
      <c r="N162" s="5"/>
      <c r="O162" s="5"/>
      <c r="P162" s="5"/>
      <c r="Q162" s="5"/>
    </row>
    <row r="163" spans="1:17" x14ac:dyDescent="0.2">
      <c r="A163" s="213"/>
      <c r="B163" s="213"/>
      <c r="C163" s="213"/>
      <c r="D163" s="213"/>
      <c r="E163" s="213"/>
      <c r="F163" s="213"/>
      <c r="G163" s="213"/>
      <c r="H163" s="5"/>
      <c r="I163" s="5"/>
      <c r="J163" s="5"/>
      <c r="K163" s="5"/>
      <c r="L163" s="5"/>
      <c r="M163" s="5"/>
      <c r="N163" s="5"/>
      <c r="O163" s="5"/>
      <c r="P163" s="5"/>
      <c r="Q163" s="5"/>
    </row>
    <row r="164" spans="1:17" x14ac:dyDescent="0.2">
      <c r="A164" s="213"/>
      <c r="B164" s="213"/>
      <c r="C164" s="213"/>
      <c r="D164" s="213"/>
      <c r="E164" s="213"/>
      <c r="F164" s="213"/>
      <c r="G164" s="213"/>
      <c r="H164" s="5"/>
      <c r="I164" s="5"/>
      <c r="J164" s="5"/>
      <c r="K164" s="5"/>
      <c r="L164" s="5"/>
      <c r="M164" s="5"/>
      <c r="N164" s="5"/>
      <c r="O164" s="5"/>
      <c r="P164" s="5"/>
      <c r="Q164" s="5"/>
    </row>
    <row r="165" spans="1:17" x14ac:dyDescent="0.2">
      <c r="A165" s="213"/>
      <c r="B165" s="213"/>
      <c r="C165" s="213"/>
      <c r="D165" s="213"/>
      <c r="E165" s="213"/>
      <c r="F165" s="213"/>
      <c r="G165" s="213"/>
      <c r="H165" s="5"/>
      <c r="I165" s="5"/>
      <c r="J165" s="5"/>
      <c r="K165" s="5"/>
      <c r="L165" s="5"/>
      <c r="M165" s="5"/>
      <c r="N165" s="5"/>
      <c r="O165" s="5"/>
      <c r="P165" s="5"/>
      <c r="Q165" s="5"/>
    </row>
    <row r="166" spans="1:17" x14ac:dyDescent="0.2">
      <c r="A166" s="213"/>
      <c r="B166" s="213"/>
      <c r="C166" s="213"/>
      <c r="D166" s="213"/>
      <c r="E166" s="213"/>
      <c r="F166" s="213"/>
      <c r="G166" s="213"/>
      <c r="H166" s="5"/>
      <c r="I166" s="5"/>
      <c r="J166" s="5"/>
      <c r="K166" s="5"/>
      <c r="L166" s="5"/>
      <c r="M166" s="5"/>
      <c r="N166" s="5"/>
      <c r="O166" s="5"/>
      <c r="P166" s="5"/>
      <c r="Q166" s="5"/>
    </row>
    <row r="167" spans="1:17" x14ac:dyDescent="0.2">
      <c r="A167" s="213"/>
      <c r="B167" s="213"/>
      <c r="C167" s="213"/>
      <c r="D167" s="213"/>
      <c r="E167" s="213"/>
      <c r="F167" s="213"/>
      <c r="G167" s="213"/>
      <c r="H167" s="5"/>
      <c r="I167" s="5"/>
      <c r="J167" s="5"/>
      <c r="K167" s="5"/>
      <c r="L167" s="5"/>
      <c r="M167" s="5"/>
      <c r="N167" s="5"/>
      <c r="O167" s="5"/>
      <c r="P167" s="5"/>
      <c r="Q167" s="5"/>
    </row>
    <row r="168" spans="1:17" x14ac:dyDescent="0.2">
      <c r="A168" s="213"/>
      <c r="B168" s="213"/>
      <c r="C168" s="213"/>
      <c r="D168" s="213"/>
      <c r="E168" s="213"/>
      <c r="F168" s="213"/>
      <c r="G168" s="213"/>
      <c r="H168" s="5"/>
      <c r="I168" s="5"/>
      <c r="J168" s="5"/>
      <c r="K168" s="5"/>
      <c r="L168" s="5"/>
      <c r="M168" s="5"/>
      <c r="N168" s="5"/>
      <c r="O168" s="5"/>
      <c r="P168" s="5"/>
      <c r="Q168" s="5"/>
    </row>
    <row r="169" spans="1:17" x14ac:dyDescent="0.2">
      <c r="A169" s="213"/>
      <c r="B169" s="213"/>
      <c r="C169" s="213"/>
      <c r="D169" s="213"/>
      <c r="E169" s="213"/>
      <c r="F169" s="213"/>
      <c r="G169" s="213"/>
      <c r="H169" s="5"/>
      <c r="I169" s="5"/>
      <c r="J169" s="5"/>
      <c r="K169" s="5"/>
      <c r="L169" s="5"/>
      <c r="M169" s="5"/>
      <c r="N169" s="5"/>
      <c r="O169" s="5"/>
      <c r="P169" s="5"/>
      <c r="Q169" s="5"/>
    </row>
    <row r="170" spans="1:17" x14ac:dyDescent="0.2">
      <c r="A170" s="213"/>
      <c r="B170" s="213"/>
      <c r="C170" s="213"/>
      <c r="D170" s="213"/>
      <c r="E170" s="213"/>
      <c r="F170" s="213"/>
      <c r="G170" s="213"/>
      <c r="H170" s="5"/>
      <c r="I170" s="5"/>
      <c r="J170" s="5"/>
      <c r="K170" s="5"/>
      <c r="L170" s="5"/>
      <c r="M170" s="5"/>
      <c r="N170" s="5"/>
      <c r="O170" s="5"/>
      <c r="P170" s="5"/>
      <c r="Q170" s="5"/>
    </row>
    <row r="171" spans="1:17" x14ac:dyDescent="0.2">
      <c r="A171" s="213"/>
      <c r="B171" s="213"/>
      <c r="C171" s="213"/>
      <c r="D171" s="213"/>
      <c r="E171" s="213"/>
      <c r="F171" s="213"/>
      <c r="G171" s="213"/>
      <c r="H171" s="5"/>
      <c r="I171" s="5"/>
      <c r="J171" s="5"/>
      <c r="K171" s="5"/>
      <c r="L171" s="5"/>
      <c r="M171" s="5"/>
      <c r="N171" s="5"/>
      <c r="O171" s="5"/>
      <c r="P171" s="5"/>
      <c r="Q171" s="5"/>
    </row>
    <row r="172" spans="1:17" x14ac:dyDescent="0.2">
      <c r="A172" s="213"/>
      <c r="B172" s="213"/>
      <c r="C172" s="213"/>
      <c r="D172" s="213"/>
      <c r="E172" s="213"/>
      <c r="F172" s="213"/>
      <c r="G172" s="213"/>
      <c r="H172" s="5"/>
      <c r="I172" s="5"/>
      <c r="J172" s="5"/>
      <c r="K172" s="5"/>
      <c r="L172" s="5"/>
      <c r="M172" s="5"/>
      <c r="N172" s="5"/>
      <c r="O172" s="5"/>
      <c r="P172" s="5"/>
      <c r="Q172" s="5"/>
    </row>
    <row r="173" spans="1:17" x14ac:dyDescent="0.2">
      <c r="A173" s="213"/>
      <c r="B173" s="213"/>
      <c r="C173" s="213"/>
      <c r="D173" s="213"/>
      <c r="E173" s="213"/>
      <c r="F173" s="213"/>
      <c r="G173" s="213"/>
      <c r="H173" s="5"/>
      <c r="I173" s="5"/>
      <c r="J173" s="5"/>
      <c r="K173" s="5"/>
      <c r="L173" s="5"/>
      <c r="M173" s="5"/>
      <c r="N173" s="5"/>
      <c r="O173" s="5"/>
      <c r="P173" s="5"/>
      <c r="Q173" s="5"/>
    </row>
    <row r="174" spans="1:17" x14ac:dyDescent="0.2">
      <c r="A174" s="213"/>
      <c r="B174" s="213"/>
      <c r="C174" s="213"/>
      <c r="D174" s="213"/>
      <c r="E174" s="213"/>
      <c r="F174" s="213"/>
      <c r="G174" s="213"/>
      <c r="H174" s="5"/>
      <c r="I174" s="5"/>
      <c r="J174" s="5"/>
      <c r="K174" s="5"/>
      <c r="L174" s="5"/>
      <c r="M174" s="5"/>
      <c r="N174" s="5"/>
      <c r="O174" s="5"/>
      <c r="P174" s="5"/>
      <c r="Q174" s="5"/>
    </row>
    <row r="175" spans="1:17" x14ac:dyDescent="0.2">
      <c r="A175" s="213"/>
      <c r="B175" s="213"/>
      <c r="C175" s="213"/>
      <c r="D175" s="213"/>
      <c r="E175" s="213"/>
      <c r="F175" s="213"/>
      <c r="G175" s="213"/>
      <c r="H175" s="5"/>
      <c r="I175" s="5"/>
      <c r="J175" s="5"/>
      <c r="K175" s="5"/>
      <c r="L175" s="5"/>
      <c r="M175" s="5"/>
      <c r="N175" s="5"/>
      <c r="O175" s="5"/>
      <c r="P175" s="5"/>
      <c r="Q175" s="5"/>
    </row>
    <row r="176" spans="1:17" x14ac:dyDescent="0.2">
      <c r="A176" s="213"/>
      <c r="B176" s="213"/>
      <c r="C176" s="213"/>
      <c r="D176" s="213"/>
      <c r="E176" s="213"/>
      <c r="F176" s="213"/>
      <c r="G176" s="213"/>
      <c r="H176" s="5"/>
      <c r="I176" s="5"/>
      <c r="J176" s="5"/>
      <c r="K176" s="5"/>
      <c r="L176" s="5"/>
      <c r="M176" s="5"/>
      <c r="N176" s="5"/>
      <c r="O176" s="5"/>
      <c r="P176" s="5"/>
      <c r="Q176" s="5"/>
    </row>
    <row r="177" spans="1:17" x14ac:dyDescent="0.2">
      <c r="A177" s="213"/>
      <c r="B177" s="213"/>
      <c r="C177" s="213"/>
      <c r="D177" s="213"/>
      <c r="E177" s="213"/>
      <c r="F177" s="213"/>
      <c r="G177" s="213"/>
      <c r="H177" s="5"/>
      <c r="I177" s="5"/>
      <c r="J177" s="5"/>
      <c r="K177" s="5"/>
      <c r="L177" s="5"/>
      <c r="M177" s="5"/>
      <c r="N177" s="5"/>
      <c r="O177" s="5"/>
      <c r="P177" s="5"/>
      <c r="Q177" s="5"/>
    </row>
    <row r="178" spans="1:17" x14ac:dyDescent="0.2">
      <c r="A178" s="213"/>
      <c r="B178" s="213"/>
      <c r="C178" s="213"/>
      <c r="D178" s="213"/>
      <c r="E178" s="213"/>
      <c r="F178" s="213"/>
      <c r="G178" s="213"/>
      <c r="H178" s="5"/>
      <c r="I178" s="5"/>
      <c r="J178" s="5"/>
      <c r="K178" s="5"/>
      <c r="L178" s="5"/>
      <c r="M178" s="5"/>
      <c r="N178" s="5"/>
      <c r="O178" s="5"/>
      <c r="P178" s="5"/>
      <c r="Q178" s="5"/>
    </row>
    <row r="179" spans="1:17" x14ac:dyDescent="0.2">
      <c r="A179" s="213"/>
      <c r="B179" s="213"/>
      <c r="C179" s="213"/>
      <c r="D179" s="213"/>
      <c r="E179" s="213"/>
      <c r="F179" s="213"/>
      <c r="G179" s="213"/>
      <c r="H179" s="5"/>
      <c r="I179" s="5"/>
      <c r="J179" s="5"/>
      <c r="K179" s="5"/>
      <c r="L179" s="5"/>
      <c r="M179" s="5"/>
      <c r="N179" s="5"/>
      <c r="O179" s="5"/>
      <c r="P179" s="5"/>
      <c r="Q179" s="5"/>
    </row>
    <row r="180" spans="1:17" x14ac:dyDescent="0.2">
      <c r="A180" s="213"/>
      <c r="B180" s="213"/>
      <c r="C180" s="213"/>
      <c r="D180" s="213"/>
      <c r="E180" s="213"/>
      <c r="F180" s="213"/>
      <c r="G180" s="213"/>
      <c r="H180" s="5"/>
      <c r="I180" s="5"/>
      <c r="J180" s="5"/>
      <c r="K180" s="5"/>
      <c r="L180" s="5"/>
      <c r="M180" s="5"/>
      <c r="N180" s="5"/>
      <c r="O180" s="5"/>
      <c r="P180" s="5"/>
      <c r="Q180" s="5"/>
    </row>
    <row r="181" spans="1:17" x14ac:dyDescent="0.2">
      <c r="A181" s="213"/>
      <c r="B181" s="213"/>
      <c r="C181" s="213"/>
      <c r="D181" s="213"/>
      <c r="E181" s="213"/>
      <c r="F181" s="213"/>
      <c r="G181" s="213"/>
      <c r="H181" s="5"/>
      <c r="I181" s="5"/>
      <c r="J181" s="5"/>
      <c r="K181" s="5"/>
      <c r="L181" s="5"/>
      <c r="M181" s="5"/>
      <c r="N181" s="5"/>
      <c r="O181" s="5"/>
      <c r="P181" s="5"/>
      <c r="Q181" s="5"/>
    </row>
    <row r="182" spans="1:17" x14ac:dyDescent="0.2">
      <c r="A182" s="213"/>
      <c r="B182" s="213"/>
      <c r="C182" s="213"/>
      <c r="D182" s="213"/>
      <c r="E182" s="213"/>
      <c r="F182" s="213"/>
      <c r="G182" s="213"/>
      <c r="H182" s="5"/>
      <c r="I182" s="5"/>
      <c r="J182" s="5"/>
      <c r="K182" s="5"/>
      <c r="L182" s="5"/>
      <c r="M182" s="5"/>
      <c r="N182" s="5"/>
      <c r="O182" s="5"/>
      <c r="P182" s="5"/>
      <c r="Q182" s="5"/>
    </row>
    <row r="183" spans="1:17" x14ac:dyDescent="0.2">
      <c r="A183" s="213"/>
      <c r="B183" s="213"/>
      <c r="C183" s="213"/>
      <c r="D183" s="213"/>
      <c r="E183" s="213"/>
      <c r="F183" s="213"/>
      <c r="G183" s="213"/>
      <c r="H183" s="5"/>
      <c r="I183" s="5"/>
      <c r="J183" s="5"/>
      <c r="K183" s="5"/>
      <c r="L183" s="5"/>
      <c r="M183" s="5"/>
      <c r="N183" s="5"/>
      <c r="O183" s="5"/>
      <c r="P183" s="5"/>
      <c r="Q183" s="5"/>
    </row>
    <row r="184" spans="1:17" x14ac:dyDescent="0.2">
      <c r="A184" s="213"/>
      <c r="B184" s="213"/>
      <c r="C184" s="213"/>
      <c r="D184" s="213"/>
      <c r="E184" s="213"/>
      <c r="F184" s="213"/>
      <c r="G184" s="213"/>
      <c r="H184" s="5"/>
      <c r="I184" s="5"/>
      <c r="J184" s="5"/>
      <c r="K184" s="5"/>
      <c r="L184" s="5"/>
      <c r="M184" s="5"/>
      <c r="N184" s="5"/>
      <c r="O184" s="5"/>
      <c r="P184" s="5"/>
      <c r="Q184" s="5"/>
    </row>
    <row r="185" spans="1:17" x14ac:dyDescent="0.2">
      <c r="A185" s="213"/>
      <c r="B185" s="213"/>
      <c r="C185" s="213"/>
      <c r="D185" s="213"/>
      <c r="E185" s="213"/>
      <c r="F185" s="213"/>
      <c r="G185" s="213"/>
      <c r="H185" s="5"/>
      <c r="I185" s="5"/>
      <c r="J185" s="5"/>
      <c r="K185" s="5"/>
      <c r="L185" s="5"/>
      <c r="M185" s="5"/>
      <c r="N185" s="5"/>
      <c r="O185" s="5"/>
      <c r="P185" s="5"/>
      <c r="Q185" s="5"/>
    </row>
    <row r="186" spans="1:17" x14ac:dyDescent="0.2">
      <c r="A186" s="213"/>
      <c r="B186" s="213"/>
      <c r="C186" s="213"/>
      <c r="D186" s="213"/>
      <c r="E186" s="213"/>
      <c r="F186" s="213"/>
      <c r="G186" s="213"/>
      <c r="H186" s="5"/>
      <c r="I186" s="5"/>
      <c r="J186" s="5"/>
      <c r="K186" s="5"/>
      <c r="L186" s="5"/>
      <c r="M186" s="5"/>
      <c r="N186" s="5"/>
      <c r="O186" s="5"/>
      <c r="P186" s="5"/>
      <c r="Q186" s="5"/>
    </row>
    <row r="187" spans="1:17" x14ac:dyDescent="0.2">
      <c r="A187" s="213"/>
      <c r="B187" s="213"/>
      <c r="C187" s="213"/>
      <c r="D187" s="213"/>
      <c r="E187" s="213"/>
      <c r="F187" s="213"/>
      <c r="G187" s="213"/>
      <c r="H187" s="5"/>
      <c r="I187" s="5"/>
      <c r="J187" s="5"/>
      <c r="K187" s="5"/>
      <c r="L187" s="5"/>
      <c r="M187" s="5"/>
      <c r="N187" s="5"/>
      <c r="O187" s="5"/>
      <c r="P187" s="5"/>
      <c r="Q187" s="5"/>
    </row>
    <row r="188" spans="1:17" x14ac:dyDescent="0.2">
      <c r="A188" s="213"/>
      <c r="B188" s="213"/>
      <c r="C188" s="213"/>
      <c r="D188" s="213"/>
      <c r="E188" s="213"/>
      <c r="F188" s="213"/>
      <c r="G188" s="213"/>
      <c r="H188" s="5"/>
      <c r="I188" s="5"/>
      <c r="J188" s="5"/>
      <c r="K188" s="5"/>
      <c r="L188" s="5"/>
      <c r="M188" s="5"/>
      <c r="N188" s="5"/>
      <c r="O188" s="5"/>
      <c r="P188" s="5"/>
      <c r="Q188" s="5"/>
    </row>
    <row r="189" spans="1:17" x14ac:dyDescent="0.2">
      <c r="A189" s="213"/>
      <c r="B189" s="213"/>
      <c r="C189" s="213"/>
      <c r="D189" s="213"/>
      <c r="E189" s="213"/>
      <c r="F189" s="213"/>
      <c r="G189" s="213"/>
      <c r="H189" s="5"/>
      <c r="I189" s="5"/>
      <c r="J189" s="5"/>
      <c r="K189" s="5"/>
      <c r="L189" s="5"/>
      <c r="M189" s="5"/>
      <c r="N189" s="5"/>
      <c r="O189" s="5"/>
      <c r="P189" s="5"/>
      <c r="Q189" s="5"/>
    </row>
    <row r="190" spans="1:17" x14ac:dyDescent="0.2">
      <c r="A190" s="213"/>
      <c r="B190" s="213"/>
      <c r="C190" s="213"/>
      <c r="D190" s="213"/>
      <c r="E190" s="213"/>
      <c r="F190" s="213"/>
      <c r="G190" s="213"/>
      <c r="H190" s="5"/>
      <c r="I190" s="5"/>
      <c r="J190" s="5"/>
      <c r="K190" s="5"/>
      <c r="L190" s="5"/>
      <c r="M190" s="5"/>
      <c r="N190" s="5"/>
      <c r="O190" s="5"/>
      <c r="P190" s="5"/>
      <c r="Q190" s="5"/>
    </row>
    <row r="191" spans="1:17" x14ac:dyDescent="0.2">
      <c r="A191" s="213"/>
      <c r="B191" s="213"/>
      <c r="C191" s="213"/>
      <c r="D191" s="213"/>
      <c r="E191" s="213"/>
      <c r="F191" s="213"/>
      <c r="G191" s="213"/>
      <c r="H191" s="5"/>
      <c r="I191" s="5"/>
      <c r="J191" s="5"/>
      <c r="K191" s="5"/>
      <c r="L191" s="5"/>
      <c r="M191" s="5"/>
      <c r="N191" s="5"/>
      <c r="O191" s="5"/>
      <c r="P191" s="5"/>
      <c r="Q191" s="5"/>
    </row>
    <row r="192" spans="1:17" x14ac:dyDescent="0.2">
      <c r="A192" s="213"/>
      <c r="B192" s="213"/>
      <c r="C192" s="213"/>
      <c r="D192" s="213"/>
      <c r="E192" s="213"/>
      <c r="F192" s="213"/>
      <c r="G192" s="213"/>
      <c r="H192" s="5"/>
      <c r="I192" s="5"/>
      <c r="J192" s="5"/>
      <c r="K192" s="5"/>
      <c r="L192" s="5"/>
      <c r="M192" s="5"/>
      <c r="N192" s="5"/>
      <c r="O192" s="5"/>
      <c r="P192" s="5"/>
      <c r="Q192" s="5"/>
    </row>
    <row r="193" spans="1:17" x14ac:dyDescent="0.2">
      <c r="A193" s="213"/>
      <c r="B193" s="213"/>
      <c r="C193" s="213"/>
      <c r="D193" s="213"/>
      <c r="E193" s="213"/>
      <c r="F193" s="213"/>
      <c r="G193" s="213"/>
      <c r="H193" s="5"/>
      <c r="I193" s="5"/>
      <c r="J193" s="5"/>
      <c r="K193" s="5"/>
      <c r="L193" s="5"/>
      <c r="M193" s="5"/>
      <c r="N193" s="5"/>
      <c r="O193" s="5"/>
      <c r="P193" s="5"/>
      <c r="Q193" s="5"/>
    </row>
    <row r="194" spans="1:17" x14ac:dyDescent="0.2">
      <c r="A194" s="213"/>
      <c r="B194" s="213"/>
      <c r="C194" s="213"/>
      <c r="D194" s="213"/>
      <c r="E194" s="213"/>
      <c r="F194" s="213"/>
      <c r="G194" s="213"/>
      <c r="H194" s="5"/>
      <c r="I194" s="5"/>
      <c r="J194" s="5"/>
      <c r="K194" s="5"/>
      <c r="L194" s="5"/>
      <c r="M194" s="5"/>
      <c r="N194" s="5"/>
      <c r="O194" s="5"/>
      <c r="P194" s="5"/>
      <c r="Q194" s="5"/>
    </row>
    <row r="195" spans="1:17" x14ac:dyDescent="0.2">
      <c r="A195" s="213"/>
      <c r="B195" s="213"/>
      <c r="C195" s="213"/>
      <c r="D195" s="213"/>
      <c r="E195" s="213"/>
      <c r="F195" s="213"/>
      <c r="G195" s="213"/>
      <c r="H195" s="5"/>
      <c r="I195" s="5"/>
      <c r="J195" s="5"/>
      <c r="K195" s="5"/>
      <c r="L195" s="5"/>
      <c r="M195" s="5"/>
      <c r="N195" s="5"/>
      <c r="O195" s="5"/>
      <c r="P195" s="5"/>
      <c r="Q195" s="5"/>
    </row>
    <row r="196" spans="1:17" x14ac:dyDescent="0.2">
      <c r="A196" s="213"/>
      <c r="B196" s="213"/>
      <c r="C196" s="213"/>
      <c r="D196" s="213"/>
      <c r="E196" s="213"/>
      <c r="F196" s="213"/>
      <c r="G196" s="213"/>
      <c r="H196" s="5"/>
      <c r="I196" s="5"/>
      <c r="J196" s="5"/>
      <c r="K196" s="5"/>
      <c r="L196" s="5"/>
      <c r="M196" s="5"/>
      <c r="N196" s="5"/>
      <c r="O196" s="5"/>
      <c r="P196" s="5"/>
      <c r="Q196" s="5"/>
    </row>
    <row r="197" spans="1:17" x14ac:dyDescent="0.2">
      <c r="A197" s="213"/>
      <c r="B197" s="213"/>
      <c r="C197" s="213"/>
      <c r="D197" s="213"/>
      <c r="E197" s="213"/>
      <c r="F197" s="213"/>
      <c r="G197" s="213"/>
      <c r="H197" s="5"/>
      <c r="I197" s="5"/>
      <c r="J197" s="5"/>
      <c r="K197" s="5"/>
      <c r="L197" s="5"/>
      <c r="M197" s="5"/>
      <c r="N197" s="5"/>
      <c r="O197" s="5"/>
      <c r="P197" s="5"/>
      <c r="Q197" s="5"/>
    </row>
    <row r="198" spans="1:17" x14ac:dyDescent="0.2">
      <c r="A198" s="213"/>
      <c r="B198" s="213"/>
      <c r="C198" s="213"/>
      <c r="D198" s="213"/>
      <c r="E198" s="213"/>
      <c r="F198" s="213"/>
      <c r="G198" s="213"/>
      <c r="H198" s="5"/>
      <c r="I198" s="5"/>
      <c r="J198" s="5"/>
      <c r="K198" s="5"/>
      <c r="L198" s="5"/>
      <c r="M198" s="5"/>
      <c r="N198" s="5"/>
      <c r="O198" s="5"/>
      <c r="P198" s="5"/>
      <c r="Q198" s="5"/>
    </row>
    <row r="199" spans="1:17" x14ac:dyDescent="0.2">
      <c r="A199" s="213"/>
      <c r="B199" s="213"/>
      <c r="C199" s="213"/>
      <c r="D199" s="213"/>
      <c r="E199" s="213"/>
      <c r="F199" s="213"/>
      <c r="G199" s="213"/>
      <c r="H199" s="5"/>
      <c r="I199" s="5"/>
      <c r="J199" s="5"/>
      <c r="K199" s="5"/>
      <c r="L199" s="5"/>
      <c r="M199" s="5"/>
      <c r="N199" s="5"/>
      <c r="O199" s="5"/>
      <c r="P199" s="5"/>
      <c r="Q199" s="5"/>
    </row>
    <row r="200" spans="1:17" x14ac:dyDescent="0.2">
      <c r="A200" s="213"/>
      <c r="B200" s="213"/>
      <c r="C200" s="213"/>
      <c r="D200" s="213"/>
      <c r="E200" s="213"/>
      <c r="F200" s="213"/>
      <c r="G200" s="213"/>
      <c r="H200" s="5"/>
      <c r="I200" s="5"/>
      <c r="J200" s="5"/>
      <c r="K200" s="5"/>
      <c r="L200" s="5"/>
      <c r="M200" s="5"/>
      <c r="N200" s="5"/>
      <c r="O200" s="5"/>
      <c r="P200" s="5"/>
      <c r="Q200" s="5"/>
    </row>
    <row r="201" spans="1:17" x14ac:dyDescent="0.2">
      <c r="A201" s="213"/>
      <c r="B201" s="213"/>
      <c r="C201" s="213"/>
      <c r="D201" s="213"/>
      <c r="E201" s="213"/>
      <c r="F201" s="213"/>
      <c r="G201" s="213"/>
      <c r="H201" s="5"/>
      <c r="I201" s="5"/>
      <c r="J201" s="5"/>
      <c r="K201" s="5"/>
      <c r="L201" s="5"/>
      <c r="M201" s="5"/>
      <c r="N201" s="5"/>
      <c r="O201" s="5"/>
      <c r="P201" s="5"/>
      <c r="Q201" s="5"/>
    </row>
    <row r="202" spans="1:17" x14ac:dyDescent="0.2">
      <c r="A202" s="213"/>
      <c r="B202" s="213"/>
      <c r="C202" s="213"/>
      <c r="D202" s="213"/>
      <c r="E202" s="213"/>
      <c r="F202" s="213"/>
      <c r="G202" s="213"/>
      <c r="H202" s="5"/>
      <c r="I202" s="5"/>
      <c r="J202" s="5"/>
      <c r="K202" s="5"/>
      <c r="L202" s="5"/>
      <c r="M202" s="5"/>
      <c r="N202" s="5"/>
      <c r="O202" s="5"/>
      <c r="P202" s="5"/>
      <c r="Q202" s="5"/>
    </row>
    <row r="203" spans="1:17" x14ac:dyDescent="0.2">
      <c r="A203" s="213"/>
      <c r="B203" s="213"/>
      <c r="C203" s="213"/>
      <c r="D203" s="213"/>
      <c r="E203" s="213"/>
      <c r="F203" s="213"/>
      <c r="G203" s="213"/>
      <c r="H203" s="5"/>
      <c r="I203" s="5"/>
      <c r="J203" s="5"/>
      <c r="K203" s="5"/>
      <c r="L203" s="5"/>
      <c r="M203" s="5"/>
      <c r="N203" s="5"/>
      <c r="O203" s="5"/>
      <c r="P203" s="5"/>
      <c r="Q203" s="5"/>
    </row>
    <row r="204" spans="1:17" x14ac:dyDescent="0.2">
      <c r="A204" s="213"/>
      <c r="B204" s="213"/>
      <c r="C204" s="213"/>
      <c r="D204" s="213"/>
      <c r="E204" s="213"/>
      <c r="F204" s="213"/>
      <c r="G204" s="213"/>
      <c r="H204" s="5"/>
      <c r="I204" s="5"/>
      <c r="J204" s="5"/>
      <c r="K204" s="5"/>
      <c r="L204" s="5"/>
      <c r="M204" s="5"/>
      <c r="N204" s="5"/>
      <c r="O204" s="5"/>
      <c r="P204" s="5"/>
      <c r="Q204" s="5"/>
    </row>
    <row r="205" spans="1:17" x14ac:dyDescent="0.2">
      <c r="A205" s="213"/>
      <c r="B205" s="213"/>
      <c r="C205" s="213"/>
      <c r="D205" s="213"/>
      <c r="E205" s="213"/>
      <c r="F205" s="213"/>
      <c r="G205" s="213"/>
      <c r="H205" s="5"/>
      <c r="I205" s="5"/>
      <c r="J205" s="5"/>
      <c r="K205" s="5"/>
      <c r="L205" s="5"/>
      <c r="M205" s="5"/>
      <c r="N205" s="5"/>
      <c r="O205" s="5"/>
      <c r="P205" s="5"/>
      <c r="Q205" s="5"/>
    </row>
    <row r="206" spans="1:17" x14ac:dyDescent="0.2">
      <c r="A206" s="213"/>
      <c r="B206" s="213"/>
      <c r="C206" s="213"/>
      <c r="D206" s="213"/>
      <c r="E206" s="213"/>
      <c r="F206" s="213"/>
      <c r="G206" s="213"/>
      <c r="H206" s="5"/>
      <c r="I206" s="5"/>
      <c r="J206" s="5"/>
      <c r="K206" s="5"/>
      <c r="L206" s="5"/>
      <c r="M206" s="5"/>
      <c r="N206" s="5"/>
      <c r="O206" s="5"/>
      <c r="P206" s="5"/>
      <c r="Q206" s="5"/>
    </row>
    <row r="207" spans="1:17" x14ac:dyDescent="0.2">
      <c r="A207" s="213"/>
      <c r="B207" s="213"/>
      <c r="C207" s="213"/>
      <c r="D207" s="213"/>
      <c r="E207" s="213"/>
      <c r="F207" s="213"/>
      <c r="G207" s="213"/>
      <c r="H207" s="5"/>
      <c r="I207" s="5"/>
      <c r="J207" s="5"/>
      <c r="K207" s="5"/>
      <c r="L207" s="5"/>
      <c r="M207" s="5"/>
      <c r="N207" s="5"/>
      <c r="O207" s="5"/>
      <c r="P207" s="5"/>
      <c r="Q207" s="5"/>
    </row>
    <row r="208" spans="1:17" x14ac:dyDescent="0.2">
      <c r="A208" s="213"/>
      <c r="B208" s="213"/>
      <c r="C208" s="213"/>
      <c r="D208" s="213"/>
      <c r="E208" s="213"/>
      <c r="F208" s="213"/>
      <c r="G208" s="213"/>
      <c r="H208" s="5"/>
      <c r="I208" s="5"/>
      <c r="J208" s="5"/>
      <c r="K208" s="5"/>
      <c r="L208" s="5"/>
      <c r="M208" s="5"/>
      <c r="N208" s="5"/>
      <c r="O208" s="5"/>
      <c r="P208" s="5"/>
      <c r="Q208" s="5"/>
    </row>
    <row r="209" spans="1:17" x14ac:dyDescent="0.2">
      <c r="A209" s="213"/>
      <c r="B209" s="213"/>
      <c r="C209" s="213"/>
      <c r="D209" s="213"/>
      <c r="E209" s="213"/>
      <c r="F209" s="213"/>
      <c r="G209" s="213"/>
      <c r="H209" s="5"/>
      <c r="I209" s="5"/>
      <c r="J209" s="5"/>
      <c r="K209" s="5"/>
      <c r="L209" s="5"/>
      <c r="M209" s="5"/>
      <c r="N209" s="5"/>
      <c r="O209" s="5"/>
      <c r="P209" s="5"/>
      <c r="Q209" s="5"/>
    </row>
  </sheetData>
  <mergeCells count="11">
    <mergeCell ref="A1:E1"/>
    <mergeCell ref="A2:E2"/>
    <mergeCell ref="A4:G4"/>
    <mergeCell ref="A5:C5"/>
    <mergeCell ref="D5:E5"/>
    <mergeCell ref="J2:O2"/>
    <mergeCell ref="S7:U7"/>
    <mergeCell ref="A8:G8"/>
    <mergeCell ref="H8:Q8"/>
    <mergeCell ref="S8:U8"/>
    <mergeCell ref="A7:Q7"/>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heet6.reqExecutions">
                <anchor moveWithCells="1">
                  <from>
                    <xdr:col>0</xdr:col>
                    <xdr:colOff>200025</xdr:colOff>
                    <xdr:row>1</xdr:row>
                    <xdr:rowOff>66675</xdr:rowOff>
                  </from>
                  <to>
                    <xdr:col>2</xdr:col>
                    <xdr:colOff>561975</xdr:colOff>
                    <xdr:row>1</xdr:row>
                    <xdr:rowOff>276225</xdr:rowOff>
                  </to>
                </anchor>
              </controlPr>
            </control>
          </mc:Choice>
        </mc:AlternateContent>
        <mc:AlternateContent xmlns:mc="http://schemas.openxmlformats.org/markup-compatibility/2006">
          <mc:Choice Requires="x14">
            <control shapeId="10242" r:id="rId5" name="Button 2">
              <controlPr defaultSize="0" print="0" autoFill="0" autoPict="0" macro="[0]!Sheet6.onShowError">
                <anchor moveWithCells="1">
                  <from>
                    <xdr:col>3</xdr:col>
                    <xdr:colOff>180975</xdr:colOff>
                    <xdr:row>1</xdr:row>
                    <xdr:rowOff>95250</xdr:rowOff>
                  </from>
                  <to>
                    <xdr:col>4</xdr:col>
                    <xdr:colOff>371475</xdr:colOff>
                    <xdr:row>1</xdr:row>
                    <xdr:rowOff>323850</xdr:rowOff>
                  </to>
                </anchor>
              </controlPr>
            </control>
          </mc:Choice>
        </mc:AlternateContent>
        <mc:AlternateContent xmlns:mc="http://schemas.openxmlformats.org/markup-compatibility/2006">
          <mc:Choice Requires="x14">
            <control shapeId="10243" r:id="rId6" name="Button 3">
              <controlPr defaultSize="0" print="0" autoFill="0" autoPict="0" macro="[0]!Sheet6.reqExecutions">
                <anchor moveWithCells="1">
                  <from>
                    <xdr:col>0</xdr:col>
                    <xdr:colOff>200025</xdr:colOff>
                    <xdr:row>1</xdr:row>
                    <xdr:rowOff>66675</xdr:rowOff>
                  </from>
                  <to>
                    <xdr:col>2</xdr:col>
                    <xdr:colOff>561975</xdr:colOff>
                    <xdr:row>1</xdr:row>
                    <xdr:rowOff>276225</xdr:rowOff>
                  </to>
                </anchor>
              </controlPr>
            </control>
          </mc:Choice>
        </mc:AlternateContent>
        <mc:AlternateContent xmlns:mc="http://schemas.openxmlformats.org/markup-compatibility/2006">
          <mc:Choice Requires="x14">
            <control shapeId="10244" r:id="rId7" name="Button 4">
              <controlPr defaultSize="0" print="0" autoFill="0" autoPict="0" macro="[0]!Sheet6.onShowError">
                <anchor moveWithCells="1">
                  <from>
                    <xdr:col>3</xdr:col>
                    <xdr:colOff>180975</xdr:colOff>
                    <xdr:row>1</xdr:row>
                    <xdr:rowOff>95250</xdr:rowOff>
                  </from>
                  <to>
                    <xdr:col>4</xdr:col>
                    <xdr:colOff>371475</xdr:colOff>
                    <xdr:row>1</xdr:row>
                    <xdr:rowOff>323850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234"/>
  <sheetViews>
    <sheetView zoomScale="80" workbookViewId="0">
      <pane ySplit="5" topLeftCell="A7" activePane="bottomLeft" state="frozen"/>
      <selection pane="bottomLeft" activeCell="D5" sqref="D5:E5"/>
    </sheetView>
  </sheetViews>
  <sheetFormatPr defaultRowHeight="12.75" x14ac:dyDescent="0.2"/>
  <cols>
    <col min="2" max="2" width="12.85546875" customWidth="1"/>
    <col min="3" max="3" width="16.140625" customWidth="1"/>
    <col min="6" max="6" width="11" customWidth="1"/>
    <col min="7" max="7" width="14" customWidth="1"/>
    <col min="8" max="8" width="12.28515625" customWidth="1"/>
    <col min="9" max="9" width="14.140625" customWidth="1"/>
    <col min="10" max="10" width="15.5703125" customWidth="1"/>
    <col min="11" max="11" width="14.28515625" customWidth="1"/>
    <col min="12" max="12" width="17" customWidth="1"/>
    <col min="13" max="13" width="16.85546875" customWidth="1"/>
    <col min="14" max="14" width="7" customWidth="1"/>
    <col min="18" max="18" width="10.7109375" customWidth="1"/>
  </cols>
  <sheetData>
    <row r="1" spans="1:18" x14ac:dyDescent="0.2">
      <c r="A1" s="427" t="s">
        <v>47</v>
      </c>
      <c r="B1" s="428"/>
      <c r="C1" s="428"/>
      <c r="D1" s="428"/>
      <c r="E1" s="428"/>
      <c r="F1" s="428"/>
      <c r="G1" s="428"/>
      <c r="H1" s="429"/>
      <c r="I1" s="429"/>
      <c r="J1" s="430"/>
      <c r="K1" s="7"/>
      <c r="L1" s="288" t="s">
        <v>125</v>
      </c>
      <c r="M1" s="288"/>
      <c r="N1" s="268"/>
      <c r="O1" s="7"/>
      <c r="P1" s="7"/>
      <c r="Q1" s="7"/>
      <c r="R1" s="7"/>
    </row>
    <row r="2" spans="1:18" x14ac:dyDescent="0.2">
      <c r="A2" s="431"/>
      <c r="B2" s="432"/>
      <c r="C2" s="432"/>
      <c r="D2" s="432"/>
      <c r="E2" s="432"/>
      <c r="F2" s="432"/>
      <c r="G2" s="432"/>
      <c r="H2" s="433"/>
      <c r="I2" s="433"/>
      <c r="J2" s="434"/>
      <c r="K2" s="7"/>
      <c r="L2" s="199" t="s">
        <v>22</v>
      </c>
      <c r="M2" s="483" t="s">
        <v>126</v>
      </c>
      <c r="N2" s="268"/>
    </row>
    <row r="3" spans="1:18" x14ac:dyDescent="0.2">
      <c r="A3" s="435"/>
      <c r="B3" s="436"/>
      <c r="C3" s="436"/>
      <c r="D3" s="436"/>
      <c r="E3" s="436"/>
      <c r="F3" s="436"/>
      <c r="G3" s="436"/>
      <c r="H3" s="436"/>
      <c r="I3" s="436"/>
      <c r="J3" s="437"/>
      <c r="K3" s="7"/>
      <c r="L3" s="37"/>
      <c r="M3" s="484"/>
      <c r="N3" s="357"/>
    </row>
    <row r="4" spans="1:18" x14ac:dyDescent="0.2">
      <c r="A4" s="438" t="s">
        <v>51</v>
      </c>
      <c r="B4" s="439"/>
      <c r="C4" s="439"/>
      <c r="D4" s="439"/>
      <c r="E4" s="439"/>
      <c r="F4" s="439"/>
      <c r="G4" s="439"/>
      <c r="H4" s="429"/>
      <c r="I4" s="429"/>
      <c r="J4" s="430"/>
      <c r="K4" s="7"/>
      <c r="L4" s="7"/>
      <c r="M4" s="7"/>
      <c r="N4" s="7"/>
    </row>
    <row r="5" spans="1:18" x14ac:dyDescent="0.2">
      <c r="A5" s="452" t="s">
        <v>58</v>
      </c>
      <c r="B5" s="436"/>
      <c r="C5" s="279"/>
      <c r="D5" s="453"/>
      <c r="E5" s="453"/>
      <c r="F5" s="33"/>
      <c r="G5" s="33"/>
      <c r="H5" s="72" t="s">
        <v>124</v>
      </c>
      <c r="I5" s="36"/>
      <c r="J5" s="91"/>
      <c r="K5" s="7"/>
      <c r="L5" s="7"/>
      <c r="M5" s="7"/>
      <c r="N5" s="7"/>
    </row>
    <row r="6" spans="1:18" x14ac:dyDescent="0.2">
      <c r="A6" s="21" t="s">
        <v>60</v>
      </c>
      <c r="B6" s="101"/>
      <c r="C6" s="478" t="s">
        <v>59</v>
      </c>
      <c r="D6" s="356"/>
      <c r="E6" s="356"/>
      <c r="F6" s="356"/>
      <c r="G6" s="356"/>
      <c r="H6" s="356"/>
      <c r="I6" s="356"/>
      <c r="J6" s="357"/>
    </row>
    <row r="7" spans="1:18" x14ac:dyDescent="0.2">
      <c r="A7" s="482" t="s">
        <v>62</v>
      </c>
      <c r="B7" s="495"/>
      <c r="C7" s="481"/>
      <c r="D7" s="479" t="s">
        <v>63</v>
      </c>
      <c r="E7" s="480"/>
      <c r="F7" s="481"/>
      <c r="G7" s="482" t="s">
        <v>40</v>
      </c>
      <c r="H7" s="464"/>
      <c r="I7" s="464"/>
      <c r="J7" s="217" t="s">
        <v>22</v>
      </c>
    </row>
    <row r="8" spans="1:18" x14ac:dyDescent="0.2">
      <c r="A8" s="5"/>
      <c r="B8" s="5"/>
      <c r="C8" s="5"/>
      <c r="D8" s="5"/>
      <c r="E8" s="5"/>
      <c r="F8" s="5"/>
      <c r="G8" s="5"/>
      <c r="H8" s="5"/>
      <c r="I8" s="5"/>
      <c r="J8" s="5"/>
    </row>
    <row r="9" spans="1:18" ht="12.75" customHeight="1" x14ac:dyDescent="0.2">
      <c r="A9" s="5"/>
      <c r="B9" s="5"/>
      <c r="C9" s="5"/>
      <c r="D9" s="5"/>
      <c r="E9" s="5"/>
      <c r="F9" s="5"/>
      <c r="G9" s="5"/>
      <c r="H9" s="5"/>
      <c r="I9" s="5"/>
      <c r="J9" s="5"/>
      <c r="O9" s="119"/>
      <c r="P9" s="119"/>
      <c r="Q9" s="119"/>
    </row>
    <row r="10" spans="1:18" x14ac:dyDescent="0.2">
      <c r="A10" s="5"/>
      <c r="B10" s="5"/>
      <c r="C10" s="5"/>
      <c r="D10" s="5"/>
      <c r="E10" s="5"/>
      <c r="F10" s="5"/>
      <c r="G10" s="5"/>
      <c r="H10" s="5"/>
      <c r="I10" s="5"/>
      <c r="J10" s="5"/>
      <c r="L10" s="486" t="s">
        <v>370</v>
      </c>
      <c r="M10" s="487"/>
      <c r="N10" s="488"/>
    </row>
    <row r="11" spans="1:18" x14ac:dyDescent="0.2">
      <c r="A11" s="5"/>
      <c r="B11" s="5"/>
      <c r="C11" s="5"/>
      <c r="D11" s="5"/>
      <c r="E11" s="5"/>
      <c r="F11" s="5"/>
      <c r="G11" s="5"/>
      <c r="H11" s="5"/>
      <c r="I11" s="5"/>
      <c r="J11" s="5"/>
      <c r="L11" s="489"/>
      <c r="M11" s="490"/>
      <c r="N11" s="491"/>
    </row>
    <row r="12" spans="1:18" x14ac:dyDescent="0.2">
      <c r="A12" s="5"/>
      <c r="B12" s="5"/>
      <c r="C12" s="5"/>
      <c r="D12" s="5"/>
      <c r="E12" s="5"/>
      <c r="F12" s="5"/>
      <c r="G12" s="5"/>
      <c r="H12" s="5"/>
      <c r="I12" s="5"/>
      <c r="J12" s="5"/>
      <c r="L12" s="492"/>
      <c r="M12" s="493"/>
      <c r="N12" s="494"/>
    </row>
    <row r="13" spans="1:18" x14ac:dyDescent="0.2">
      <c r="A13" s="5"/>
      <c r="B13" s="5"/>
      <c r="C13" s="5"/>
      <c r="D13" s="5"/>
      <c r="E13" s="5"/>
      <c r="F13" s="5"/>
      <c r="G13" s="5"/>
      <c r="H13" s="5"/>
      <c r="I13" s="5"/>
      <c r="J13" s="5"/>
    </row>
    <row r="14" spans="1:18" x14ac:dyDescent="0.2">
      <c r="A14" s="5"/>
      <c r="B14" s="5"/>
      <c r="C14" s="5"/>
      <c r="D14" s="5"/>
      <c r="E14" s="5"/>
      <c r="F14" s="5"/>
      <c r="G14" s="5"/>
      <c r="H14" s="5"/>
      <c r="I14" s="5"/>
      <c r="J14" s="5"/>
    </row>
    <row r="15" spans="1:18" x14ac:dyDescent="0.2">
      <c r="A15" s="5"/>
      <c r="B15" s="5"/>
      <c r="C15" s="5"/>
      <c r="D15" s="5"/>
      <c r="E15" s="5"/>
      <c r="F15" s="5"/>
      <c r="G15" s="5"/>
      <c r="H15" s="5"/>
      <c r="I15" s="5"/>
      <c r="J15" s="5"/>
    </row>
    <row r="16" spans="1:18" x14ac:dyDescent="0.2">
      <c r="A16" s="5"/>
      <c r="B16" s="5"/>
      <c r="C16" s="5"/>
      <c r="D16" s="5"/>
      <c r="E16" s="5"/>
      <c r="F16" s="5"/>
      <c r="G16" s="5"/>
      <c r="H16" s="5"/>
      <c r="I16" s="5"/>
      <c r="J16" s="5"/>
    </row>
    <row r="17" spans="1:10" x14ac:dyDescent="0.2">
      <c r="A17" s="5"/>
      <c r="B17" s="5"/>
      <c r="C17" s="5"/>
      <c r="D17" s="5"/>
      <c r="E17" s="5"/>
      <c r="F17" s="5"/>
      <c r="G17" s="5"/>
      <c r="H17" s="5"/>
      <c r="I17" s="5"/>
      <c r="J17" s="5"/>
    </row>
    <row r="18" spans="1:10" x14ac:dyDescent="0.2">
      <c r="A18" s="5"/>
      <c r="B18" s="5"/>
      <c r="C18" s="5"/>
      <c r="D18" s="5"/>
      <c r="E18" s="5"/>
      <c r="F18" s="5"/>
      <c r="G18" s="5"/>
      <c r="H18" s="5"/>
      <c r="I18" s="5"/>
      <c r="J18" s="5"/>
    </row>
    <row r="19" spans="1:10" x14ac:dyDescent="0.2">
      <c r="A19" s="5"/>
      <c r="B19" s="5"/>
      <c r="C19" s="5"/>
      <c r="D19" s="5"/>
      <c r="E19" s="5"/>
      <c r="F19" s="5"/>
      <c r="G19" s="5"/>
      <c r="H19" s="5"/>
      <c r="I19" s="5"/>
      <c r="J19" s="5"/>
    </row>
    <row r="20" spans="1:10" x14ac:dyDescent="0.2">
      <c r="A20" s="5"/>
      <c r="B20" s="5"/>
      <c r="C20" s="5"/>
      <c r="D20" s="5"/>
      <c r="E20" s="5"/>
      <c r="F20" s="5"/>
      <c r="G20" s="5"/>
      <c r="H20" s="5"/>
      <c r="I20" s="5"/>
      <c r="J20" s="5"/>
    </row>
    <row r="21" spans="1:10" x14ac:dyDescent="0.2">
      <c r="A21" s="5"/>
      <c r="B21" s="5"/>
      <c r="C21" s="5"/>
      <c r="D21" s="5"/>
      <c r="E21" s="5"/>
      <c r="F21" s="5"/>
      <c r="G21" s="5"/>
      <c r="H21" s="5"/>
      <c r="I21" s="5"/>
      <c r="J21" s="5"/>
    </row>
    <row r="22" spans="1:10" x14ac:dyDescent="0.2">
      <c r="A22" s="5"/>
      <c r="B22" s="5"/>
      <c r="C22" s="5"/>
      <c r="D22" s="5"/>
      <c r="E22" s="5"/>
      <c r="F22" s="5"/>
      <c r="G22" s="5"/>
      <c r="H22" s="5"/>
      <c r="I22" s="5"/>
      <c r="J22" s="5"/>
    </row>
    <row r="23" spans="1:10" x14ac:dyDescent="0.2">
      <c r="A23" s="5"/>
      <c r="B23" s="5"/>
      <c r="C23" s="5"/>
      <c r="D23" s="5"/>
      <c r="E23" s="5"/>
      <c r="F23" s="5"/>
      <c r="G23" s="5"/>
      <c r="H23" s="5"/>
      <c r="I23" s="5"/>
      <c r="J23" s="5"/>
    </row>
    <row r="24" spans="1:10" x14ac:dyDescent="0.2">
      <c r="A24" s="5"/>
      <c r="B24" s="5"/>
      <c r="C24" s="5"/>
      <c r="D24" s="5"/>
      <c r="E24" s="5"/>
      <c r="F24" s="5"/>
      <c r="G24" s="5"/>
      <c r="H24" s="5"/>
      <c r="I24" s="5"/>
      <c r="J24" s="5"/>
    </row>
    <row r="25" spans="1:10" x14ac:dyDescent="0.2">
      <c r="A25" s="5"/>
      <c r="B25" s="5"/>
      <c r="C25" s="5"/>
      <c r="D25" s="5"/>
      <c r="E25" s="5"/>
      <c r="F25" s="5"/>
      <c r="G25" s="5"/>
      <c r="H25" s="5"/>
      <c r="I25" s="5"/>
      <c r="J25" s="5"/>
    </row>
    <row r="26" spans="1:10" x14ac:dyDescent="0.2">
      <c r="A26" s="5"/>
      <c r="B26" s="5"/>
      <c r="C26" s="5"/>
      <c r="D26" s="5"/>
      <c r="E26" s="5"/>
      <c r="F26" s="5"/>
      <c r="G26" s="5"/>
      <c r="H26" s="5"/>
      <c r="I26" s="5"/>
      <c r="J26" s="5"/>
    </row>
    <row r="27" spans="1:10" x14ac:dyDescent="0.2">
      <c r="A27" s="5"/>
      <c r="B27" s="5"/>
      <c r="C27" s="5"/>
      <c r="D27" s="5"/>
      <c r="E27" s="5"/>
      <c r="F27" s="5"/>
      <c r="G27" s="5"/>
      <c r="H27" s="5"/>
      <c r="I27" s="5"/>
      <c r="J27" s="5"/>
    </row>
    <row r="28" spans="1:10" x14ac:dyDescent="0.2">
      <c r="A28" s="5"/>
      <c r="B28" s="5"/>
      <c r="C28" s="5"/>
      <c r="D28" s="5"/>
      <c r="E28" s="5"/>
      <c r="F28" s="5"/>
      <c r="G28" s="5"/>
      <c r="H28" s="5"/>
      <c r="I28" s="5"/>
      <c r="J28" s="5"/>
    </row>
    <row r="29" spans="1:10" x14ac:dyDescent="0.2">
      <c r="A29" s="5"/>
      <c r="B29" s="5"/>
      <c r="C29" s="5"/>
      <c r="D29" s="5"/>
      <c r="E29" s="5"/>
      <c r="F29" s="5"/>
      <c r="G29" s="5"/>
      <c r="H29" s="5"/>
      <c r="I29" s="5"/>
      <c r="J29" s="5"/>
    </row>
    <row r="30" spans="1:10" x14ac:dyDescent="0.2">
      <c r="A30" s="5"/>
      <c r="B30" s="5"/>
      <c r="C30" s="5"/>
      <c r="D30" s="5"/>
      <c r="E30" s="5"/>
      <c r="F30" s="5"/>
      <c r="G30" s="5"/>
      <c r="H30" s="5"/>
      <c r="I30" s="5"/>
      <c r="J30" s="5"/>
    </row>
    <row r="31" spans="1:10" x14ac:dyDescent="0.2">
      <c r="A31" s="5"/>
      <c r="B31" s="5"/>
      <c r="C31" s="5"/>
      <c r="D31" s="5"/>
      <c r="E31" s="5"/>
      <c r="F31" s="5"/>
      <c r="G31" s="5"/>
      <c r="H31" s="5"/>
      <c r="I31" s="5"/>
      <c r="J31" s="5"/>
    </row>
    <row r="32" spans="1:10" x14ac:dyDescent="0.2">
      <c r="A32" s="5"/>
      <c r="B32" s="5"/>
      <c r="C32" s="5"/>
      <c r="D32" s="5"/>
      <c r="E32" s="5"/>
      <c r="F32" s="5"/>
      <c r="G32" s="5"/>
      <c r="H32" s="5"/>
      <c r="I32" s="5"/>
      <c r="J32" s="5"/>
    </row>
    <row r="33" spans="1:14" x14ac:dyDescent="0.2">
      <c r="A33" s="485" t="s">
        <v>61</v>
      </c>
      <c r="B33" s="268"/>
      <c r="C33" s="268"/>
      <c r="D33" s="268"/>
      <c r="E33" s="268"/>
      <c r="F33" s="268"/>
      <c r="G33" s="268"/>
      <c r="H33" s="268"/>
      <c r="I33" s="268"/>
      <c r="J33" s="268"/>
      <c r="K33" s="268"/>
      <c r="L33" s="268"/>
      <c r="M33" s="268"/>
      <c r="N33" s="268"/>
    </row>
    <row r="34" spans="1:14" x14ac:dyDescent="0.2">
      <c r="A34" s="218" t="s">
        <v>9</v>
      </c>
      <c r="B34" s="218" t="s">
        <v>64</v>
      </c>
      <c r="C34" s="219" t="s">
        <v>497</v>
      </c>
      <c r="D34" s="219" t="s">
        <v>10</v>
      </c>
      <c r="E34" s="219" t="s">
        <v>65</v>
      </c>
      <c r="F34" s="219" t="s">
        <v>40</v>
      </c>
      <c r="G34" s="219" t="s">
        <v>130</v>
      </c>
      <c r="H34" s="219" t="s">
        <v>66</v>
      </c>
      <c r="I34" s="219" t="s">
        <v>77</v>
      </c>
      <c r="J34" s="219" t="s">
        <v>131</v>
      </c>
      <c r="K34" s="219" t="s">
        <v>123</v>
      </c>
      <c r="L34" s="219" t="s">
        <v>122</v>
      </c>
      <c r="M34" s="219" t="s">
        <v>121</v>
      </c>
      <c r="N34" s="219" t="s">
        <v>22</v>
      </c>
    </row>
    <row r="35" spans="1:14" x14ac:dyDescent="0.2">
      <c r="A35" s="104"/>
      <c r="B35" s="104"/>
      <c r="C35" s="104"/>
      <c r="D35" s="104"/>
      <c r="E35" s="104"/>
      <c r="F35" s="104"/>
      <c r="G35" s="104"/>
      <c r="H35" s="104"/>
      <c r="I35" s="104"/>
      <c r="J35" s="104"/>
      <c r="K35" s="104"/>
      <c r="L35" s="104"/>
      <c r="M35" s="104"/>
      <c r="N35" s="104"/>
    </row>
    <row r="36" spans="1:14" x14ac:dyDescent="0.2">
      <c r="A36" s="104"/>
      <c r="B36" s="104"/>
      <c r="C36" s="104"/>
      <c r="D36" s="104"/>
      <c r="E36" s="104"/>
      <c r="F36" s="104"/>
      <c r="G36" s="104"/>
      <c r="H36" s="104"/>
      <c r="I36" s="104"/>
      <c r="J36" s="104"/>
      <c r="K36" s="104"/>
      <c r="L36" s="104"/>
      <c r="M36" s="104"/>
      <c r="N36" s="104"/>
    </row>
    <row r="37" spans="1:14" x14ac:dyDescent="0.2">
      <c r="A37" s="104"/>
      <c r="B37" s="104"/>
      <c r="C37" s="104"/>
      <c r="D37" s="104"/>
      <c r="E37" s="104"/>
      <c r="F37" s="104"/>
      <c r="G37" s="104"/>
      <c r="H37" s="104"/>
      <c r="I37" s="104"/>
      <c r="J37" s="104"/>
      <c r="K37" s="104"/>
      <c r="L37" s="104"/>
      <c r="M37" s="104"/>
      <c r="N37" s="104"/>
    </row>
    <row r="38" spans="1:14" x14ac:dyDescent="0.2">
      <c r="A38" s="104"/>
      <c r="B38" s="104"/>
      <c r="C38" s="104"/>
      <c r="D38" s="104"/>
      <c r="E38" s="104"/>
      <c r="F38" s="104"/>
      <c r="G38" s="104"/>
      <c r="H38" s="104"/>
      <c r="I38" s="104"/>
      <c r="J38" s="104"/>
      <c r="K38" s="104"/>
      <c r="L38" s="104"/>
      <c r="M38" s="104"/>
      <c r="N38" s="104"/>
    </row>
    <row r="39" spans="1:14" x14ac:dyDescent="0.2">
      <c r="A39" s="104"/>
      <c r="B39" s="104"/>
      <c r="C39" s="104"/>
      <c r="D39" s="104"/>
      <c r="E39" s="104"/>
      <c r="F39" s="104"/>
      <c r="G39" s="104"/>
      <c r="H39" s="104"/>
      <c r="I39" s="104"/>
      <c r="J39" s="104"/>
      <c r="K39" s="104"/>
      <c r="L39" s="104"/>
      <c r="M39" s="104"/>
      <c r="N39" s="104"/>
    </row>
    <row r="40" spans="1:14" x14ac:dyDescent="0.2">
      <c r="A40" s="104"/>
      <c r="B40" s="104"/>
      <c r="C40" s="104"/>
      <c r="D40" s="104"/>
      <c r="E40" s="104"/>
      <c r="F40" s="104"/>
      <c r="G40" s="104"/>
      <c r="H40" s="104"/>
      <c r="I40" s="104"/>
      <c r="J40" s="104"/>
      <c r="K40" s="104"/>
      <c r="L40" s="104"/>
      <c r="M40" s="104"/>
      <c r="N40" s="104"/>
    </row>
    <row r="41" spans="1:14" x14ac:dyDescent="0.2">
      <c r="A41" s="104"/>
      <c r="B41" s="104"/>
      <c r="C41" s="104"/>
      <c r="D41" s="104"/>
      <c r="E41" s="104"/>
      <c r="F41" s="104"/>
      <c r="G41" s="104"/>
      <c r="H41" s="104"/>
      <c r="I41" s="104"/>
      <c r="J41" s="104"/>
      <c r="K41" s="104"/>
      <c r="L41" s="104"/>
      <c r="M41" s="104"/>
      <c r="N41" s="104"/>
    </row>
    <row r="42" spans="1:14" x14ac:dyDescent="0.2">
      <c r="A42" s="104"/>
      <c r="B42" s="104"/>
      <c r="C42" s="104"/>
      <c r="D42" s="104"/>
      <c r="E42" s="104"/>
      <c r="F42" s="104"/>
      <c r="G42" s="104"/>
      <c r="H42" s="104"/>
      <c r="I42" s="104"/>
      <c r="J42" s="104"/>
      <c r="K42" s="104"/>
      <c r="L42" s="104"/>
      <c r="M42" s="104"/>
      <c r="N42" s="104"/>
    </row>
    <row r="43" spans="1:14" x14ac:dyDescent="0.2">
      <c r="A43" s="104"/>
      <c r="B43" s="104"/>
      <c r="C43" s="104"/>
      <c r="D43" s="104"/>
      <c r="E43" s="104"/>
      <c r="F43" s="104"/>
      <c r="G43" s="104"/>
      <c r="H43" s="104"/>
      <c r="I43" s="104"/>
      <c r="J43" s="104"/>
      <c r="K43" s="104"/>
      <c r="L43" s="104"/>
      <c r="M43" s="104"/>
      <c r="N43" s="104"/>
    </row>
    <row r="44" spans="1:14" x14ac:dyDescent="0.2">
      <c r="A44" s="104"/>
      <c r="B44" s="104"/>
      <c r="C44" s="104"/>
      <c r="D44" s="104"/>
      <c r="E44" s="104"/>
      <c r="F44" s="104"/>
      <c r="G44" s="104"/>
      <c r="H44" s="104"/>
      <c r="I44" s="104"/>
      <c r="J44" s="104"/>
      <c r="K44" s="104"/>
      <c r="L44" s="104"/>
      <c r="M44" s="104"/>
      <c r="N44" s="104"/>
    </row>
    <row r="45" spans="1:14" x14ac:dyDescent="0.2">
      <c r="A45" s="104"/>
      <c r="B45" s="104"/>
      <c r="C45" s="104"/>
      <c r="D45" s="104"/>
      <c r="E45" s="104"/>
      <c r="F45" s="104"/>
      <c r="G45" s="104"/>
      <c r="H45" s="104"/>
      <c r="I45" s="104"/>
      <c r="J45" s="104"/>
      <c r="K45" s="104"/>
      <c r="L45" s="104"/>
      <c r="M45" s="104"/>
      <c r="N45" s="104"/>
    </row>
    <row r="46" spans="1:14" x14ac:dyDescent="0.2">
      <c r="A46" s="104"/>
      <c r="B46" s="104"/>
      <c r="C46" s="104"/>
      <c r="D46" s="104"/>
      <c r="E46" s="104"/>
      <c r="F46" s="104"/>
      <c r="G46" s="104"/>
      <c r="H46" s="104"/>
      <c r="I46" s="104"/>
      <c r="J46" s="104"/>
      <c r="K46" s="104"/>
      <c r="L46" s="104"/>
      <c r="M46" s="104"/>
      <c r="N46" s="104"/>
    </row>
    <row r="47" spans="1:14" x14ac:dyDescent="0.2">
      <c r="A47" s="104"/>
      <c r="B47" s="104"/>
      <c r="C47" s="104"/>
      <c r="D47" s="104"/>
      <c r="E47" s="104"/>
      <c r="F47" s="104"/>
      <c r="G47" s="104"/>
      <c r="H47" s="104"/>
      <c r="I47" s="104"/>
      <c r="J47" s="104"/>
      <c r="K47" s="104"/>
      <c r="L47" s="104"/>
      <c r="M47" s="104"/>
      <c r="N47" s="104"/>
    </row>
    <row r="48" spans="1:14" x14ac:dyDescent="0.2">
      <c r="A48" s="104"/>
      <c r="B48" s="104"/>
      <c r="C48" s="104"/>
      <c r="D48" s="104"/>
      <c r="E48" s="104"/>
      <c r="F48" s="104"/>
      <c r="G48" s="104"/>
      <c r="H48" s="104"/>
      <c r="I48" s="104"/>
      <c r="J48" s="104"/>
      <c r="K48" s="104"/>
      <c r="L48" s="104"/>
      <c r="M48" s="104"/>
      <c r="N48" s="104"/>
    </row>
    <row r="49" spans="1:14" x14ac:dyDescent="0.2">
      <c r="A49" s="104"/>
      <c r="B49" s="104"/>
      <c r="C49" s="104"/>
      <c r="D49" s="104"/>
      <c r="E49" s="104"/>
      <c r="F49" s="104"/>
      <c r="G49" s="104"/>
      <c r="H49" s="104"/>
      <c r="I49" s="104"/>
      <c r="J49" s="104"/>
      <c r="K49" s="104"/>
      <c r="L49" s="104"/>
      <c r="M49" s="104"/>
      <c r="N49" s="104"/>
    </row>
    <row r="50" spans="1:14" x14ac:dyDescent="0.2">
      <c r="A50" s="104"/>
      <c r="B50" s="104"/>
      <c r="C50" s="104"/>
      <c r="D50" s="104"/>
      <c r="E50" s="104"/>
      <c r="F50" s="104"/>
      <c r="G50" s="104"/>
      <c r="H50" s="104"/>
      <c r="I50" s="104"/>
      <c r="J50" s="104"/>
      <c r="K50" s="104"/>
      <c r="L50" s="104"/>
      <c r="M50" s="104"/>
      <c r="N50" s="104"/>
    </row>
    <row r="51" spans="1:14" x14ac:dyDescent="0.2">
      <c r="A51" s="104"/>
      <c r="B51" s="104"/>
      <c r="C51" s="104"/>
      <c r="D51" s="104"/>
      <c r="E51" s="104"/>
      <c r="F51" s="104"/>
      <c r="G51" s="104"/>
      <c r="H51" s="104"/>
      <c r="I51" s="104"/>
      <c r="J51" s="104"/>
      <c r="K51" s="104"/>
      <c r="L51" s="104"/>
      <c r="M51" s="104"/>
      <c r="N51" s="104"/>
    </row>
    <row r="52" spans="1:14" x14ac:dyDescent="0.2">
      <c r="A52" s="104"/>
      <c r="B52" s="104"/>
      <c r="C52" s="104"/>
      <c r="D52" s="104"/>
      <c r="E52" s="104"/>
      <c r="F52" s="104"/>
      <c r="G52" s="104"/>
      <c r="H52" s="104"/>
      <c r="I52" s="104"/>
      <c r="J52" s="104"/>
      <c r="K52" s="104"/>
      <c r="L52" s="104"/>
      <c r="M52" s="104"/>
      <c r="N52" s="104"/>
    </row>
    <row r="53" spans="1:14" x14ac:dyDescent="0.2">
      <c r="A53" s="104"/>
      <c r="B53" s="104"/>
      <c r="C53" s="104"/>
      <c r="D53" s="104"/>
      <c r="E53" s="104"/>
      <c r="F53" s="104"/>
      <c r="G53" s="104"/>
      <c r="H53" s="104"/>
      <c r="I53" s="104"/>
      <c r="J53" s="104"/>
      <c r="K53" s="104"/>
      <c r="L53" s="104"/>
      <c r="M53" s="104"/>
      <c r="N53" s="104"/>
    </row>
    <row r="54" spans="1:14" x14ac:dyDescent="0.2">
      <c r="A54" s="104"/>
      <c r="B54" s="104"/>
      <c r="C54" s="104"/>
      <c r="D54" s="104"/>
      <c r="E54" s="104"/>
      <c r="F54" s="104"/>
      <c r="G54" s="104"/>
      <c r="H54" s="104"/>
      <c r="I54" s="104"/>
      <c r="J54" s="104"/>
      <c r="K54" s="104"/>
      <c r="L54" s="104"/>
      <c r="M54" s="104"/>
      <c r="N54" s="104"/>
    </row>
    <row r="55" spans="1:14" x14ac:dyDescent="0.2">
      <c r="A55" s="104"/>
      <c r="B55" s="104"/>
      <c r="C55" s="104"/>
      <c r="D55" s="104"/>
      <c r="E55" s="104"/>
      <c r="F55" s="104"/>
      <c r="G55" s="104"/>
      <c r="H55" s="104"/>
      <c r="I55" s="104"/>
      <c r="J55" s="104"/>
      <c r="K55" s="104"/>
      <c r="L55" s="104"/>
      <c r="M55" s="104"/>
      <c r="N55" s="104"/>
    </row>
    <row r="56" spans="1:14" x14ac:dyDescent="0.2">
      <c r="A56" s="104"/>
      <c r="B56" s="104"/>
      <c r="C56" s="104"/>
      <c r="D56" s="104"/>
      <c r="E56" s="104"/>
      <c r="F56" s="104"/>
      <c r="G56" s="104"/>
      <c r="H56" s="104"/>
      <c r="I56" s="104"/>
      <c r="J56" s="104"/>
      <c r="K56" s="104"/>
      <c r="L56" s="104"/>
      <c r="M56" s="104"/>
      <c r="N56" s="104"/>
    </row>
    <row r="57" spans="1:14" x14ac:dyDescent="0.2">
      <c r="A57" s="104"/>
      <c r="B57" s="104"/>
      <c r="C57" s="104"/>
      <c r="D57" s="104"/>
      <c r="E57" s="104"/>
      <c r="F57" s="104"/>
      <c r="G57" s="104"/>
      <c r="H57" s="104"/>
      <c r="I57" s="104"/>
      <c r="J57" s="104"/>
      <c r="K57" s="104"/>
      <c r="L57" s="104"/>
      <c r="M57" s="104"/>
      <c r="N57" s="104"/>
    </row>
    <row r="58" spans="1:14" x14ac:dyDescent="0.2">
      <c r="A58" s="104"/>
      <c r="B58" s="104"/>
      <c r="C58" s="104"/>
      <c r="D58" s="104"/>
      <c r="E58" s="104"/>
      <c r="F58" s="104"/>
      <c r="G58" s="104"/>
      <c r="H58" s="104"/>
      <c r="I58" s="104"/>
      <c r="J58" s="104"/>
      <c r="K58" s="104"/>
      <c r="L58" s="104"/>
      <c r="M58" s="104"/>
      <c r="N58" s="104"/>
    </row>
    <row r="59" spans="1:14" x14ac:dyDescent="0.2">
      <c r="A59" s="104"/>
      <c r="B59" s="104"/>
      <c r="C59" s="104"/>
      <c r="D59" s="104"/>
      <c r="E59" s="104"/>
      <c r="F59" s="104"/>
      <c r="G59" s="104"/>
      <c r="H59" s="104"/>
      <c r="I59" s="104"/>
      <c r="J59" s="104"/>
      <c r="K59" s="104"/>
      <c r="L59" s="104"/>
      <c r="M59" s="104"/>
      <c r="N59" s="104"/>
    </row>
    <row r="60" spans="1:14" x14ac:dyDescent="0.2">
      <c r="A60" s="104"/>
      <c r="B60" s="104"/>
      <c r="C60" s="104"/>
      <c r="D60" s="104"/>
      <c r="E60" s="104"/>
      <c r="F60" s="104"/>
      <c r="G60" s="104"/>
      <c r="H60" s="104"/>
      <c r="I60" s="104"/>
      <c r="J60" s="104"/>
      <c r="K60" s="104"/>
      <c r="L60" s="104"/>
      <c r="M60" s="104"/>
      <c r="N60" s="104"/>
    </row>
    <row r="61" spans="1:14" x14ac:dyDescent="0.2">
      <c r="A61" s="104"/>
      <c r="B61" s="104"/>
      <c r="C61" s="104"/>
      <c r="D61" s="104"/>
      <c r="E61" s="104"/>
      <c r="F61" s="104"/>
      <c r="G61" s="104"/>
      <c r="H61" s="104"/>
      <c r="I61" s="104"/>
      <c r="J61" s="104"/>
      <c r="K61" s="104"/>
      <c r="L61" s="104"/>
      <c r="M61" s="104"/>
      <c r="N61" s="104"/>
    </row>
    <row r="62" spans="1:14" x14ac:dyDescent="0.2">
      <c r="A62" s="104"/>
      <c r="B62" s="104"/>
      <c r="C62" s="104"/>
      <c r="D62" s="104"/>
      <c r="E62" s="104"/>
      <c r="F62" s="104"/>
      <c r="G62" s="104"/>
      <c r="H62" s="104"/>
      <c r="I62" s="104"/>
      <c r="J62" s="104"/>
      <c r="K62" s="104"/>
      <c r="L62" s="104"/>
      <c r="M62" s="104"/>
      <c r="N62" s="104"/>
    </row>
    <row r="63" spans="1:14" x14ac:dyDescent="0.2">
      <c r="A63" s="104"/>
      <c r="B63" s="104"/>
      <c r="C63" s="104"/>
      <c r="D63" s="104"/>
      <c r="E63" s="104"/>
      <c r="F63" s="104"/>
      <c r="G63" s="104"/>
      <c r="H63" s="104"/>
      <c r="I63" s="104"/>
      <c r="J63" s="104"/>
      <c r="K63" s="104"/>
      <c r="L63" s="104"/>
      <c r="M63" s="104"/>
      <c r="N63" s="104"/>
    </row>
    <row r="64" spans="1:14" x14ac:dyDescent="0.2">
      <c r="A64" s="104"/>
      <c r="B64" s="104"/>
      <c r="C64" s="104"/>
      <c r="D64" s="104"/>
      <c r="E64" s="104"/>
      <c r="F64" s="104"/>
      <c r="G64" s="104"/>
      <c r="H64" s="104"/>
      <c r="I64" s="104"/>
      <c r="J64" s="104"/>
      <c r="K64" s="104"/>
      <c r="L64" s="104"/>
      <c r="M64" s="104"/>
      <c r="N64" s="104"/>
    </row>
    <row r="65" spans="1:14" x14ac:dyDescent="0.2">
      <c r="A65" s="104"/>
      <c r="B65" s="104"/>
      <c r="C65" s="104"/>
      <c r="D65" s="104"/>
      <c r="E65" s="104"/>
      <c r="F65" s="104"/>
      <c r="G65" s="104"/>
      <c r="H65" s="104"/>
      <c r="I65" s="104"/>
      <c r="J65" s="104"/>
      <c r="K65" s="104"/>
      <c r="L65" s="104"/>
      <c r="M65" s="104"/>
      <c r="N65" s="104"/>
    </row>
    <row r="66" spans="1:14" x14ac:dyDescent="0.2">
      <c r="A66" s="104"/>
      <c r="B66" s="104"/>
      <c r="C66" s="104"/>
      <c r="D66" s="104"/>
      <c r="E66" s="104"/>
      <c r="F66" s="104"/>
      <c r="G66" s="104"/>
      <c r="H66" s="104"/>
      <c r="I66" s="104"/>
      <c r="J66" s="104"/>
      <c r="K66" s="104"/>
      <c r="L66" s="104"/>
      <c r="M66" s="104"/>
      <c r="N66" s="104"/>
    </row>
    <row r="67" spans="1:14" x14ac:dyDescent="0.2">
      <c r="A67" s="104"/>
      <c r="B67" s="104"/>
      <c r="C67" s="104"/>
      <c r="D67" s="104"/>
      <c r="E67" s="104"/>
      <c r="F67" s="104"/>
      <c r="G67" s="104"/>
      <c r="H67" s="104"/>
      <c r="I67" s="104"/>
      <c r="J67" s="104"/>
      <c r="K67" s="104"/>
      <c r="L67" s="104"/>
      <c r="M67" s="104"/>
      <c r="N67" s="104"/>
    </row>
    <row r="68" spans="1:14" x14ac:dyDescent="0.2">
      <c r="A68" s="104"/>
      <c r="B68" s="104"/>
      <c r="C68" s="104"/>
      <c r="D68" s="104"/>
      <c r="E68" s="104"/>
      <c r="F68" s="104"/>
      <c r="G68" s="104"/>
      <c r="H68" s="104"/>
      <c r="I68" s="104"/>
      <c r="J68" s="104"/>
      <c r="K68" s="104"/>
      <c r="L68" s="104"/>
      <c r="M68" s="104"/>
      <c r="N68" s="104"/>
    </row>
    <row r="69" spans="1:14" x14ac:dyDescent="0.2">
      <c r="A69" s="104"/>
      <c r="B69" s="104"/>
      <c r="C69" s="104"/>
      <c r="D69" s="104"/>
      <c r="E69" s="104"/>
      <c r="F69" s="104"/>
      <c r="G69" s="104"/>
      <c r="H69" s="104"/>
      <c r="I69" s="104"/>
      <c r="J69" s="104"/>
      <c r="K69" s="104"/>
      <c r="L69" s="104"/>
      <c r="M69" s="104"/>
      <c r="N69" s="104"/>
    </row>
    <row r="70" spans="1:14" x14ac:dyDescent="0.2">
      <c r="A70" s="104"/>
      <c r="B70" s="104"/>
      <c r="C70" s="104"/>
      <c r="D70" s="104"/>
      <c r="E70" s="104"/>
      <c r="F70" s="104"/>
      <c r="G70" s="104"/>
      <c r="H70" s="104"/>
      <c r="I70" s="104"/>
      <c r="J70" s="104"/>
      <c r="K70" s="104"/>
      <c r="L70" s="104"/>
      <c r="M70" s="104"/>
      <c r="N70" s="104"/>
    </row>
    <row r="71" spans="1:14" x14ac:dyDescent="0.2">
      <c r="A71" s="104"/>
      <c r="B71" s="104"/>
      <c r="C71" s="104"/>
      <c r="D71" s="104"/>
      <c r="E71" s="104"/>
      <c r="F71" s="104"/>
      <c r="G71" s="104"/>
      <c r="H71" s="104"/>
      <c r="I71" s="104"/>
      <c r="J71" s="104"/>
      <c r="K71" s="104"/>
      <c r="L71" s="104"/>
      <c r="M71" s="104"/>
      <c r="N71" s="104"/>
    </row>
    <row r="72" spans="1:14" x14ac:dyDescent="0.2">
      <c r="A72" s="104"/>
      <c r="B72" s="104"/>
      <c r="C72" s="104"/>
      <c r="D72" s="104"/>
      <c r="E72" s="104"/>
      <c r="F72" s="104"/>
      <c r="G72" s="104"/>
      <c r="H72" s="104"/>
      <c r="I72" s="104"/>
      <c r="J72" s="104"/>
      <c r="K72" s="104"/>
      <c r="L72" s="104"/>
      <c r="M72" s="104"/>
      <c r="N72" s="104"/>
    </row>
    <row r="73" spans="1:14" x14ac:dyDescent="0.2">
      <c r="A73" s="104"/>
      <c r="B73" s="104"/>
      <c r="C73" s="104"/>
      <c r="D73" s="104"/>
      <c r="E73" s="104"/>
      <c r="F73" s="104"/>
      <c r="G73" s="104"/>
      <c r="H73" s="104"/>
      <c r="I73" s="104"/>
      <c r="J73" s="104"/>
      <c r="K73" s="104"/>
      <c r="L73" s="104"/>
      <c r="M73" s="104"/>
      <c r="N73" s="104"/>
    </row>
    <row r="74" spans="1:14" x14ac:dyDescent="0.2">
      <c r="A74" s="104"/>
      <c r="B74" s="104"/>
      <c r="C74" s="104"/>
      <c r="D74" s="104"/>
      <c r="E74" s="104"/>
      <c r="F74" s="104"/>
      <c r="G74" s="104"/>
      <c r="H74" s="104"/>
      <c r="I74" s="104"/>
      <c r="J74" s="104"/>
      <c r="K74" s="104"/>
      <c r="L74" s="104"/>
      <c r="M74" s="104"/>
      <c r="N74" s="104"/>
    </row>
    <row r="75" spans="1:14" x14ac:dyDescent="0.2">
      <c r="A75" s="104"/>
      <c r="B75" s="104"/>
      <c r="C75" s="104"/>
      <c r="D75" s="104"/>
      <c r="E75" s="104"/>
      <c r="F75" s="104"/>
      <c r="G75" s="104"/>
      <c r="H75" s="104"/>
      <c r="I75" s="104"/>
      <c r="J75" s="104"/>
      <c r="K75" s="104"/>
      <c r="L75" s="104"/>
      <c r="M75" s="104"/>
      <c r="N75" s="104"/>
    </row>
    <row r="76" spans="1:14" x14ac:dyDescent="0.2">
      <c r="A76" s="104"/>
      <c r="B76" s="104"/>
      <c r="C76" s="104"/>
      <c r="D76" s="104"/>
      <c r="E76" s="104"/>
      <c r="F76" s="104"/>
      <c r="G76" s="104"/>
      <c r="H76" s="104"/>
      <c r="I76" s="104"/>
      <c r="J76" s="104"/>
      <c r="K76" s="104"/>
      <c r="L76" s="104"/>
      <c r="M76" s="104"/>
      <c r="N76" s="104"/>
    </row>
    <row r="77" spans="1:14" x14ac:dyDescent="0.2">
      <c r="A77" s="104"/>
      <c r="B77" s="104"/>
      <c r="C77" s="104"/>
      <c r="D77" s="104"/>
      <c r="E77" s="104"/>
      <c r="F77" s="104"/>
      <c r="G77" s="104"/>
      <c r="H77" s="104"/>
      <c r="I77" s="104"/>
      <c r="J77" s="104"/>
      <c r="K77" s="104"/>
      <c r="L77" s="104"/>
      <c r="M77" s="104"/>
      <c r="N77" s="104"/>
    </row>
    <row r="78" spans="1:14" x14ac:dyDescent="0.2">
      <c r="A78" s="104"/>
      <c r="B78" s="104"/>
      <c r="C78" s="104"/>
      <c r="D78" s="104"/>
      <c r="E78" s="104"/>
      <c r="F78" s="104"/>
      <c r="G78" s="104"/>
      <c r="H78" s="104"/>
      <c r="I78" s="104"/>
      <c r="J78" s="104"/>
      <c r="K78" s="104"/>
      <c r="L78" s="104"/>
      <c r="M78" s="104"/>
      <c r="N78" s="104"/>
    </row>
    <row r="79" spans="1:14" x14ac:dyDescent="0.2">
      <c r="A79" s="104"/>
      <c r="B79" s="104"/>
      <c r="C79" s="104"/>
      <c r="D79" s="104"/>
      <c r="E79" s="104"/>
      <c r="F79" s="104"/>
      <c r="G79" s="104"/>
      <c r="H79" s="104"/>
      <c r="I79" s="104"/>
      <c r="J79" s="104"/>
      <c r="K79" s="104"/>
      <c r="L79" s="104"/>
      <c r="M79" s="104"/>
      <c r="N79" s="104"/>
    </row>
    <row r="80" spans="1:14" x14ac:dyDescent="0.2">
      <c r="A80" s="104"/>
      <c r="B80" s="104"/>
      <c r="C80" s="104"/>
      <c r="D80" s="104"/>
      <c r="E80" s="104"/>
      <c r="F80" s="104"/>
      <c r="G80" s="104"/>
      <c r="H80" s="104"/>
      <c r="I80" s="104"/>
      <c r="J80" s="104"/>
      <c r="K80" s="104"/>
      <c r="L80" s="104"/>
      <c r="M80" s="104"/>
      <c r="N80" s="104"/>
    </row>
    <row r="81" spans="1:14" x14ac:dyDescent="0.2">
      <c r="A81" s="104"/>
      <c r="B81" s="104"/>
      <c r="C81" s="104"/>
      <c r="D81" s="104"/>
      <c r="E81" s="104"/>
      <c r="F81" s="104"/>
      <c r="G81" s="104"/>
      <c r="H81" s="104"/>
      <c r="I81" s="104"/>
      <c r="J81" s="104"/>
      <c r="K81" s="104"/>
      <c r="L81" s="104"/>
      <c r="M81" s="104"/>
      <c r="N81" s="104"/>
    </row>
    <row r="82" spans="1:14" x14ac:dyDescent="0.2">
      <c r="A82" s="104"/>
      <c r="B82" s="104"/>
      <c r="C82" s="104"/>
      <c r="D82" s="104"/>
      <c r="E82" s="104"/>
      <c r="F82" s="104"/>
      <c r="G82" s="104"/>
      <c r="H82" s="104"/>
      <c r="I82" s="104"/>
      <c r="J82" s="104"/>
      <c r="K82" s="104"/>
      <c r="L82" s="104"/>
      <c r="M82" s="104"/>
      <c r="N82" s="104"/>
    </row>
    <row r="83" spans="1:14" x14ac:dyDescent="0.2">
      <c r="A83" s="104"/>
      <c r="B83" s="104"/>
      <c r="C83" s="104"/>
      <c r="D83" s="104"/>
      <c r="E83" s="104"/>
      <c r="F83" s="104"/>
      <c r="G83" s="104"/>
      <c r="H83" s="104"/>
      <c r="I83" s="104"/>
      <c r="J83" s="104"/>
      <c r="K83" s="104"/>
      <c r="L83" s="104"/>
      <c r="M83" s="104"/>
      <c r="N83" s="104"/>
    </row>
    <row r="84" spans="1:14" x14ac:dyDescent="0.2">
      <c r="A84" s="104"/>
      <c r="B84" s="104"/>
      <c r="C84" s="104"/>
      <c r="D84" s="104"/>
      <c r="E84" s="104"/>
      <c r="F84" s="104"/>
      <c r="G84" s="104"/>
      <c r="H84" s="104"/>
      <c r="I84" s="104"/>
      <c r="J84" s="104"/>
      <c r="K84" s="104"/>
      <c r="L84" s="104"/>
      <c r="M84" s="104"/>
      <c r="N84" s="104"/>
    </row>
    <row r="85" spans="1:14" x14ac:dyDescent="0.2">
      <c r="A85" s="104"/>
      <c r="B85" s="104"/>
      <c r="C85" s="104"/>
      <c r="D85" s="104"/>
      <c r="E85" s="104"/>
      <c r="F85" s="104"/>
      <c r="G85" s="104"/>
      <c r="H85" s="104"/>
      <c r="I85" s="104"/>
      <c r="J85" s="104"/>
      <c r="K85" s="104"/>
      <c r="L85" s="104"/>
      <c r="M85" s="104"/>
      <c r="N85" s="104"/>
    </row>
    <row r="86" spans="1:14" x14ac:dyDescent="0.2">
      <c r="A86" s="104"/>
      <c r="B86" s="104"/>
      <c r="C86" s="104"/>
      <c r="D86" s="104"/>
      <c r="E86" s="104"/>
      <c r="F86" s="104"/>
      <c r="G86" s="104"/>
      <c r="H86" s="104"/>
      <c r="I86" s="104"/>
      <c r="J86" s="104"/>
      <c r="K86" s="104"/>
      <c r="L86" s="104"/>
      <c r="M86" s="104"/>
      <c r="N86" s="104"/>
    </row>
    <row r="87" spans="1:14" x14ac:dyDescent="0.2">
      <c r="A87" s="104"/>
      <c r="B87" s="104"/>
      <c r="C87" s="104"/>
      <c r="D87" s="104"/>
      <c r="E87" s="104"/>
      <c r="F87" s="104"/>
      <c r="G87" s="104"/>
      <c r="H87" s="104"/>
      <c r="I87" s="104"/>
      <c r="J87" s="104"/>
      <c r="K87" s="104"/>
      <c r="L87" s="104"/>
      <c r="M87" s="104"/>
      <c r="N87" s="104"/>
    </row>
    <row r="88" spans="1:14" x14ac:dyDescent="0.2">
      <c r="A88" s="104"/>
      <c r="B88" s="104"/>
      <c r="C88" s="104"/>
      <c r="D88" s="104"/>
      <c r="E88" s="104"/>
      <c r="F88" s="104"/>
      <c r="G88" s="104"/>
      <c r="H88" s="104"/>
      <c r="I88" s="104"/>
      <c r="J88" s="104"/>
      <c r="K88" s="104"/>
      <c r="L88" s="104"/>
      <c r="M88" s="104"/>
      <c r="N88" s="104"/>
    </row>
    <row r="89" spans="1:14" x14ac:dyDescent="0.2">
      <c r="A89" s="104"/>
      <c r="B89" s="104"/>
      <c r="C89" s="104"/>
      <c r="D89" s="104"/>
      <c r="E89" s="104"/>
      <c r="F89" s="104"/>
      <c r="G89" s="104"/>
      <c r="H89" s="104"/>
      <c r="I89" s="104"/>
      <c r="J89" s="104"/>
      <c r="K89" s="104"/>
      <c r="L89" s="104"/>
      <c r="M89" s="104"/>
      <c r="N89" s="104"/>
    </row>
    <row r="90" spans="1:14" x14ac:dyDescent="0.2">
      <c r="A90" s="104"/>
      <c r="B90" s="104"/>
      <c r="C90" s="104"/>
      <c r="D90" s="104"/>
      <c r="E90" s="104"/>
      <c r="F90" s="104"/>
      <c r="G90" s="104"/>
      <c r="H90" s="104"/>
      <c r="I90" s="104"/>
      <c r="J90" s="104"/>
      <c r="K90" s="104"/>
      <c r="L90" s="104"/>
      <c r="M90" s="104"/>
      <c r="N90" s="104"/>
    </row>
    <row r="91" spans="1:14" x14ac:dyDescent="0.2">
      <c r="A91" s="104"/>
      <c r="B91" s="104"/>
      <c r="C91" s="104"/>
      <c r="D91" s="104"/>
      <c r="E91" s="104"/>
      <c r="F91" s="104"/>
      <c r="G91" s="104"/>
      <c r="H91" s="104"/>
      <c r="I91" s="104"/>
      <c r="J91" s="104"/>
      <c r="K91" s="104"/>
      <c r="L91" s="104"/>
      <c r="M91" s="104"/>
      <c r="N91" s="104"/>
    </row>
    <row r="92" spans="1:14" x14ac:dyDescent="0.2">
      <c r="A92" s="104"/>
      <c r="B92" s="104"/>
      <c r="C92" s="104"/>
      <c r="D92" s="104"/>
      <c r="E92" s="104"/>
      <c r="F92" s="104"/>
      <c r="G92" s="104"/>
      <c r="H92" s="104"/>
      <c r="I92" s="104"/>
      <c r="J92" s="104"/>
      <c r="K92" s="104"/>
      <c r="L92" s="104"/>
      <c r="M92" s="104"/>
      <c r="N92" s="104"/>
    </row>
    <row r="93" spans="1:14" x14ac:dyDescent="0.2">
      <c r="A93" s="104"/>
      <c r="B93" s="104"/>
      <c r="C93" s="104"/>
      <c r="D93" s="104"/>
      <c r="E93" s="104"/>
      <c r="F93" s="104"/>
      <c r="G93" s="104"/>
      <c r="H93" s="104"/>
      <c r="I93" s="104"/>
      <c r="J93" s="104"/>
      <c r="K93" s="104"/>
      <c r="L93" s="104"/>
      <c r="M93" s="104"/>
      <c r="N93" s="104"/>
    </row>
    <row r="94" spans="1:14" x14ac:dyDescent="0.2">
      <c r="A94" s="104"/>
      <c r="B94" s="104"/>
      <c r="C94" s="104"/>
      <c r="D94" s="104"/>
      <c r="E94" s="104"/>
      <c r="F94" s="104"/>
      <c r="G94" s="104"/>
      <c r="H94" s="104"/>
      <c r="I94" s="104"/>
      <c r="J94" s="104"/>
      <c r="K94" s="104"/>
      <c r="L94" s="104"/>
      <c r="M94" s="104"/>
      <c r="N94" s="104"/>
    </row>
    <row r="95" spans="1:14" x14ac:dyDescent="0.2">
      <c r="A95" s="104"/>
      <c r="B95" s="104"/>
      <c r="C95" s="104"/>
      <c r="D95" s="104"/>
      <c r="E95" s="104"/>
      <c r="F95" s="104"/>
      <c r="G95" s="104"/>
      <c r="H95" s="104"/>
      <c r="I95" s="104"/>
      <c r="J95" s="104"/>
      <c r="K95" s="104"/>
      <c r="L95" s="104"/>
      <c r="M95" s="104"/>
      <c r="N95" s="104"/>
    </row>
    <row r="96" spans="1:14" x14ac:dyDescent="0.2">
      <c r="A96" s="104"/>
      <c r="B96" s="104"/>
      <c r="C96" s="104"/>
      <c r="D96" s="104"/>
      <c r="E96" s="104"/>
      <c r="F96" s="104"/>
      <c r="G96" s="104"/>
      <c r="H96" s="104"/>
      <c r="I96" s="104"/>
      <c r="J96" s="104"/>
      <c r="K96" s="104"/>
      <c r="L96" s="104"/>
      <c r="M96" s="104"/>
      <c r="N96" s="104"/>
    </row>
    <row r="97" spans="1:14" x14ac:dyDescent="0.2">
      <c r="A97" s="104"/>
      <c r="B97" s="104"/>
      <c r="C97" s="104"/>
      <c r="D97" s="104"/>
      <c r="E97" s="104"/>
      <c r="F97" s="104"/>
      <c r="G97" s="104"/>
      <c r="H97" s="104"/>
      <c r="I97" s="104"/>
      <c r="J97" s="104"/>
      <c r="K97" s="104"/>
      <c r="L97" s="104"/>
      <c r="M97" s="104"/>
      <c r="N97" s="104"/>
    </row>
    <row r="98" spans="1:14" x14ac:dyDescent="0.2">
      <c r="A98" s="104"/>
      <c r="B98" s="104"/>
      <c r="C98" s="104"/>
      <c r="D98" s="104"/>
      <c r="E98" s="104"/>
      <c r="F98" s="104"/>
      <c r="G98" s="104"/>
      <c r="H98" s="104"/>
      <c r="I98" s="104"/>
      <c r="J98" s="104"/>
      <c r="K98" s="104"/>
      <c r="L98" s="104"/>
      <c r="M98" s="104"/>
      <c r="N98" s="104"/>
    </row>
    <row r="99" spans="1:14" x14ac:dyDescent="0.2">
      <c r="A99" s="104"/>
      <c r="B99" s="104"/>
      <c r="C99" s="104"/>
      <c r="D99" s="104"/>
      <c r="E99" s="104"/>
      <c r="F99" s="104"/>
      <c r="G99" s="104"/>
      <c r="H99" s="104"/>
      <c r="I99" s="104"/>
      <c r="J99" s="104"/>
      <c r="K99" s="104"/>
      <c r="L99" s="104"/>
      <c r="M99" s="104"/>
      <c r="N99" s="104"/>
    </row>
    <row r="100" spans="1:14" x14ac:dyDescent="0.2">
      <c r="A100" s="104"/>
      <c r="B100" s="104"/>
      <c r="C100" s="104"/>
      <c r="D100" s="104"/>
      <c r="E100" s="104"/>
      <c r="F100" s="104"/>
      <c r="G100" s="104"/>
      <c r="H100" s="104"/>
      <c r="I100" s="104"/>
      <c r="J100" s="104"/>
      <c r="K100" s="104"/>
      <c r="L100" s="104"/>
      <c r="M100" s="104"/>
      <c r="N100" s="104"/>
    </row>
    <row r="101" spans="1:14" x14ac:dyDescent="0.2">
      <c r="A101" s="104"/>
      <c r="B101" s="104"/>
      <c r="C101" s="104"/>
      <c r="D101" s="104"/>
      <c r="E101" s="104"/>
      <c r="F101" s="104"/>
      <c r="G101" s="104"/>
      <c r="H101" s="104"/>
      <c r="I101" s="104"/>
      <c r="J101" s="104"/>
      <c r="K101" s="104"/>
      <c r="L101" s="104"/>
      <c r="M101" s="104"/>
      <c r="N101" s="104"/>
    </row>
    <row r="102" spans="1:14" x14ac:dyDescent="0.2">
      <c r="A102" s="104"/>
      <c r="B102" s="104"/>
      <c r="C102" s="104"/>
      <c r="D102" s="104"/>
      <c r="E102" s="104"/>
      <c r="F102" s="104"/>
      <c r="G102" s="104"/>
      <c r="H102" s="104"/>
      <c r="I102" s="104"/>
      <c r="J102" s="104"/>
      <c r="K102" s="104"/>
      <c r="L102" s="104"/>
      <c r="M102" s="104"/>
      <c r="N102" s="104"/>
    </row>
    <row r="103" spans="1:14" x14ac:dyDescent="0.2">
      <c r="A103" s="104"/>
      <c r="B103" s="104"/>
      <c r="C103" s="104"/>
      <c r="D103" s="104"/>
      <c r="E103" s="104"/>
      <c r="F103" s="104"/>
      <c r="G103" s="104"/>
      <c r="H103" s="104"/>
      <c r="I103" s="104"/>
      <c r="J103" s="104"/>
      <c r="K103" s="104"/>
      <c r="L103" s="104"/>
      <c r="M103" s="104"/>
      <c r="N103" s="104"/>
    </row>
    <row r="104" spans="1:14" x14ac:dyDescent="0.2">
      <c r="A104" s="104"/>
      <c r="B104" s="104"/>
      <c r="C104" s="104"/>
      <c r="D104" s="104"/>
      <c r="E104" s="104"/>
      <c r="F104" s="104"/>
      <c r="G104" s="104"/>
      <c r="H104" s="104"/>
      <c r="I104" s="104"/>
      <c r="J104" s="104"/>
      <c r="K104" s="104"/>
      <c r="L104" s="104"/>
      <c r="M104" s="104"/>
      <c r="N104" s="104"/>
    </row>
    <row r="105" spans="1:14" x14ac:dyDescent="0.2">
      <c r="A105" s="104"/>
      <c r="B105" s="104"/>
      <c r="C105" s="104"/>
      <c r="D105" s="104"/>
      <c r="E105" s="104"/>
      <c r="F105" s="104"/>
      <c r="G105" s="104"/>
      <c r="H105" s="104"/>
      <c r="I105" s="104"/>
      <c r="J105" s="104"/>
      <c r="K105" s="104"/>
      <c r="L105" s="104"/>
      <c r="M105" s="104"/>
      <c r="N105" s="104"/>
    </row>
    <row r="106" spans="1:14" x14ac:dyDescent="0.2">
      <c r="A106" s="104"/>
      <c r="B106" s="104"/>
      <c r="C106" s="104"/>
      <c r="D106" s="104"/>
      <c r="E106" s="104"/>
      <c r="F106" s="104"/>
      <c r="G106" s="104"/>
      <c r="H106" s="104"/>
      <c r="I106" s="104"/>
      <c r="J106" s="104"/>
      <c r="K106" s="104"/>
      <c r="L106" s="104"/>
      <c r="M106" s="104"/>
      <c r="N106" s="104"/>
    </row>
    <row r="107" spans="1:14" x14ac:dyDescent="0.2">
      <c r="A107" s="104"/>
      <c r="B107" s="104"/>
      <c r="C107" s="104"/>
      <c r="D107" s="104"/>
      <c r="E107" s="104"/>
      <c r="F107" s="104"/>
      <c r="G107" s="104"/>
      <c r="H107" s="104"/>
      <c r="I107" s="104"/>
      <c r="J107" s="104"/>
      <c r="K107" s="104"/>
      <c r="L107" s="104"/>
      <c r="M107" s="104"/>
      <c r="N107" s="104"/>
    </row>
    <row r="108" spans="1:14" x14ac:dyDescent="0.2">
      <c r="A108" s="104"/>
      <c r="B108" s="104"/>
      <c r="C108" s="104"/>
      <c r="D108" s="104"/>
      <c r="E108" s="104"/>
      <c r="F108" s="104"/>
      <c r="G108" s="104"/>
      <c r="H108" s="104"/>
      <c r="I108" s="104"/>
      <c r="J108" s="104"/>
      <c r="K108" s="104"/>
      <c r="L108" s="104"/>
      <c r="M108" s="104"/>
      <c r="N108" s="104"/>
    </row>
    <row r="109" spans="1:14" x14ac:dyDescent="0.2">
      <c r="A109" s="104"/>
      <c r="B109" s="104"/>
      <c r="C109" s="104"/>
      <c r="D109" s="104"/>
      <c r="E109" s="104"/>
      <c r="F109" s="104"/>
      <c r="G109" s="104"/>
      <c r="H109" s="104"/>
      <c r="I109" s="104"/>
      <c r="J109" s="104"/>
      <c r="K109" s="104"/>
      <c r="L109" s="104"/>
      <c r="M109" s="104"/>
      <c r="N109" s="104"/>
    </row>
    <row r="110" spans="1:14" x14ac:dyDescent="0.2">
      <c r="A110" s="104"/>
      <c r="B110" s="104"/>
      <c r="C110" s="104"/>
      <c r="D110" s="104"/>
      <c r="E110" s="104"/>
      <c r="F110" s="104"/>
      <c r="G110" s="104"/>
      <c r="H110" s="104"/>
      <c r="I110" s="104"/>
      <c r="J110" s="104"/>
      <c r="K110" s="104"/>
      <c r="L110" s="104"/>
      <c r="M110" s="104"/>
      <c r="N110" s="104"/>
    </row>
    <row r="111" spans="1:14" x14ac:dyDescent="0.2">
      <c r="A111" s="104"/>
      <c r="B111" s="104"/>
      <c r="C111" s="104"/>
      <c r="D111" s="104"/>
      <c r="E111" s="104"/>
      <c r="F111" s="104"/>
      <c r="G111" s="104"/>
      <c r="H111" s="104"/>
      <c r="I111" s="104"/>
      <c r="J111" s="104"/>
      <c r="K111" s="104"/>
      <c r="L111" s="104"/>
      <c r="M111" s="104"/>
      <c r="N111" s="104"/>
    </row>
    <row r="112" spans="1:14" x14ac:dyDescent="0.2">
      <c r="A112" s="104"/>
      <c r="B112" s="104"/>
      <c r="C112" s="104"/>
      <c r="D112" s="104"/>
      <c r="E112" s="104"/>
      <c r="F112" s="104"/>
      <c r="G112" s="104"/>
      <c r="H112" s="104"/>
      <c r="I112" s="104"/>
      <c r="J112" s="104"/>
      <c r="K112" s="104"/>
      <c r="L112" s="104"/>
      <c r="M112" s="104"/>
      <c r="N112" s="104"/>
    </row>
    <row r="113" spans="1:14" x14ac:dyDescent="0.2">
      <c r="A113" s="104"/>
      <c r="B113" s="104"/>
      <c r="C113" s="104"/>
      <c r="D113" s="104"/>
      <c r="E113" s="104"/>
      <c r="F113" s="104"/>
      <c r="G113" s="104"/>
      <c r="H113" s="104"/>
      <c r="I113" s="104"/>
      <c r="J113" s="104"/>
      <c r="K113" s="104"/>
      <c r="L113" s="104"/>
      <c r="M113" s="104"/>
      <c r="N113" s="104"/>
    </row>
    <row r="114" spans="1:14" x14ac:dyDescent="0.2">
      <c r="A114" s="104"/>
      <c r="B114" s="104"/>
      <c r="C114" s="104"/>
      <c r="D114" s="104"/>
      <c r="E114" s="104"/>
      <c r="F114" s="104"/>
      <c r="G114" s="104"/>
      <c r="H114" s="104"/>
      <c r="I114" s="104"/>
      <c r="J114" s="104"/>
      <c r="K114" s="104"/>
      <c r="L114" s="104"/>
      <c r="M114" s="104"/>
      <c r="N114" s="104"/>
    </row>
    <row r="115" spans="1:14" x14ac:dyDescent="0.2">
      <c r="A115" s="104"/>
      <c r="B115" s="104"/>
      <c r="C115" s="104"/>
      <c r="D115" s="104"/>
      <c r="E115" s="104"/>
      <c r="F115" s="104"/>
      <c r="G115" s="104"/>
      <c r="H115" s="104"/>
      <c r="I115" s="104"/>
      <c r="J115" s="104"/>
      <c r="K115" s="104"/>
      <c r="L115" s="104"/>
      <c r="M115" s="104"/>
      <c r="N115" s="104"/>
    </row>
    <row r="116" spans="1:14" x14ac:dyDescent="0.2">
      <c r="A116" s="104"/>
      <c r="B116" s="104"/>
      <c r="C116" s="104"/>
      <c r="D116" s="104"/>
      <c r="E116" s="104"/>
      <c r="F116" s="104"/>
      <c r="G116" s="104"/>
      <c r="H116" s="104"/>
      <c r="I116" s="104"/>
      <c r="J116" s="104"/>
      <c r="K116" s="104"/>
      <c r="L116" s="104"/>
      <c r="M116" s="104"/>
      <c r="N116" s="104"/>
    </row>
    <row r="117" spans="1:14" x14ac:dyDescent="0.2">
      <c r="A117" s="104"/>
      <c r="B117" s="104"/>
      <c r="C117" s="104"/>
      <c r="D117" s="104"/>
      <c r="E117" s="104"/>
      <c r="F117" s="104"/>
      <c r="G117" s="104"/>
      <c r="H117" s="104"/>
      <c r="I117" s="104"/>
      <c r="J117" s="104"/>
      <c r="K117" s="104"/>
      <c r="L117" s="104"/>
      <c r="M117" s="104"/>
      <c r="N117" s="104"/>
    </row>
    <row r="118" spans="1:14" x14ac:dyDescent="0.2">
      <c r="A118" s="104"/>
      <c r="B118" s="104"/>
      <c r="C118" s="104"/>
      <c r="D118" s="104"/>
      <c r="E118" s="104"/>
      <c r="F118" s="104"/>
      <c r="G118" s="104"/>
      <c r="H118" s="104"/>
      <c r="I118" s="104"/>
      <c r="J118" s="104"/>
      <c r="K118" s="104"/>
      <c r="L118" s="104"/>
      <c r="M118" s="104"/>
      <c r="N118" s="104"/>
    </row>
    <row r="119" spans="1:14" x14ac:dyDescent="0.2">
      <c r="A119" s="104"/>
      <c r="B119" s="104"/>
      <c r="C119" s="104"/>
      <c r="D119" s="104"/>
      <c r="E119" s="104"/>
      <c r="F119" s="104"/>
      <c r="G119" s="104"/>
      <c r="H119" s="104"/>
      <c r="I119" s="104"/>
      <c r="J119" s="104"/>
      <c r="K119" s="104"/>
      <c r="L119" s="104"/>
      <c r="M119" s="104"/>
      <c r="N119" s="104"/>
    </row>
    <row r="120" spans="1:14" x14ac:dyDescent="0.2">
      <c r="A120" s="104"/>
      <c r="B120" s="104"/>
      <c r="C120" s="104"/>
      <c r="D120" s="104"/>
      <c r="E120" s="104"/>
      <c r="F120" s="104"/>
      <c r="G120" s="104"/>
      <c r="H120" s="104"/>
      <c r="I120" s="104"/>
      <c r="J120" s="104"/>
      <c r="K120" s="104"/>
      <c r="L120" s="104"/>
      <c r="M120" s="104"/>
      <c r="N120" s="104"/>
    </row>
    <row r="121" spans="1:14" x14ac:dyDescent="0.2">
      <c r="A121" s="104"/>
      <c r="B121" s="104"/>
      <c r="C121" s="104"/>
      <c r="D121" s="104"/>
      <c r="E121" s="104"/>
      <c r="F121" s="104"/>
      <c r="G121" s="104"/>
      <c r="H121" s="104"/>
      <c r="I121" s="104"/>
      <c r="J121" s="104"/>
      <c r="K121" s="104"/>
      <c r="L121" s="104"/>
      <c r="M121" s="104"/>
      <c r="N121" s="104"/>
    </row>
    <row r="122" spans="1:14" x14ac:dyDescent="0.2">
      <c r="A122" s="104"/>
      <c r="B122" s="104"/>
      <c r="C122" s="104"/>
      <c r="D122" s="104"/>
      <c r="E122" s="104"/>
      <c r="F122" s="104"/>
      <c r="G122" s="104"/>
      <c r="H122" s="104"/>
      <c r="I122" s="104"/>
      <c r="J122" s="104"/>
      <c r="K122" s="104"/>
      <c r="L122" s="104"/>
      <c r="M122" s="104"/>
      <c r="N122" s="104"/>
    </row>
    <row r="123" spans="1:14" x14ac:dyDescent="0.2">
      <c r="A123" s="104"/>
      <c r="B123" s="104"/>
      <c r="C123" s="104"/>
      <c r="D123" s="104"/>
      <c r="E123" s="104"/>
      <c r="F123" s="104"/>
      <c r="G123" s="104"/>
      <c r="H123" s="104"/>
      <c r="I123" s="104"/>
      <c r="J123" s="104"/>
      <c r="K123" s="104"/>
      <c r="L123" s="104"/>
      <c r="M123" s="104"/>
      <c r="N123" s="104"/>
    </row>
    <row r="124" spans="1:14" x14ac:dyDescent="0.2">
      <c r="A124" s="104"/>
      <c r="B124" s="104"/>
      <c r="C124" s="104"/>
      <c r="D124" s="104"/>
      <c r="E124" s="104"/>
      <c r="F124" s="104"/>
      <c r="G124" s="104"/>
      <c r="H124" s="104"/>
      <c r="I124" s="104"/>
      <c r="J124" s="104"/>
      <c r="K124" s="104"/>
      <c r="L124" s="104"/>
      <c r="M124" s="104"/>
      <c r="N124" s="104"/>
    </row>
    <row r="125" spans="1:14" x14ac:dyDescent="0.2">
      <c r="A125" s="104"/>
      <c r="B125" s="104"/>
      <c r="C125" s="104"/>
      <c r="D125" s="104"/>
      <c r="E125" s="104"/>
      <c r="F125" s="104"/>
      <c r="G125" s="104"/>
      <c r="H125" s="104"/>
      <c r="I125" s="104"/>
      <c r="J125" s="104"/>
      <c r="K125" s="104"/>
      <c r="L125" s="104"/>
      <c r="M125" s="104"/>
      <c r="N125" s="104"/>
    </row>
    <row r="126" spans="1:14" x14ac:dyDescent="0.2">
      <c r="A126" s="104"/>
      <c r="B126" s="104"/>
      <c r="C126" s="104"/>
      <c r="D126" s="104"/>
      <c r="E126" s="104"/>
      <c r="F126" s="104"/>
      <c r="G126" s="104"/>
      <c r="H126" s="104"/>
      <c r="I126" s="104"/>
      <c r="J126" s="104"/>
      <c r="K126" s="104"/>
      <c r="L126" s="104"/>
      <c r="M126" s="104"/>
      <c r="N126" s="104"/>
    </row>
    <row r="127" spans="1:14" x14ac:dyDescent="0.2">
      <c r="A127" s="104"/>
      <c r="B127" s="104"/>
      <c r="C127" s="104"/>
      <c r="D127" s="104"/>
      <c r="E127" s="104"/>
      <c r="F127" s="104"/>
      <c r="G127" s="104"/>
      <c r="H127" s="104"/>
      <c r="I127" s="104"/>
      <c r="J127" s="104"/>
      <c r="K127" s="104"/>
      <c r="L127" s="104"/>
      <c r="M127" s="104"/>
      <c r="N127" s="104"/>
    </row>
    <row r="128" spans="1:14" x14ac:dyDescent="0.2">
      <c r="A128" s="104"/>
      <c r="B128" s="104"/>
      <c r="C128" s="104"/>
      <c r="D128" s="104"/>
      <c r="E128" s="104"/>
      <c r="F128" s="104"/>
      <c r="G128" s="104"/>
      <c r="H128" s="104"/>
      <c r="I128" s="104"/>
      <c r="J128" s="104"/>
      <c r="K128" s="104"/>
      <c r="L128" s="104"/>
      <c r="M128" s="104"/>
      <c r="N128" s="104"/>
    </row>
    <row r="129" spans="1:14" x14ac:dyDescent="0.2">
      <c r="A129" s="104"/>
      <c r="B129" s="104"/>
      <c r="C129" s="104"/>
      <c r="D129" s="104"/>
      <c r="E129" s="104"/>
      <c r="F129" s="104"/>
      <c r="G129" s="104"/>
      <c r="H129" s="104"/>
      <c r="I129" s="104"/>
      <c r="J129" s="104"/>
      <c r="K129" s="104"/>
      <c r="L129" s="104"/>
      <c r="M129" s="104"/>
      <c r="N129" s="104"/>
    </row>
    <row r="130" spans="1:14" x14ac:dyDescent="0.2">
      <c r="A130" s="104"/>
      <c r="B130" s="104"/>
      <c r="C130" s="104"/>
      <c r="D130" s="104"/>
      <c r="E130" s="104"/>
      <c r="F130" s="104"/>
      <c r="G130" s="104"/>
      <c r="H130" s="104"/>
      <c r="I130" s="104"/>
      <c r="J130" s="104"/>
      <c r="K130" s="104"/>
      <c r="L130" s="104"/>
      <c r="M130" s="104"/>
      <c r="N130" s="104"/>
    </row>
    <row r="131" spans="1:14" x14ac:dyDescent="0.2">
      <c r="A131" s="104"/>
      <c r="B131" s="104"/>
      <c r="C131" s="104"/>
      <c r="D131" s="104"/>
      <c r="E131" s="104"/>
      <c r="F131" s="104"/>
      <c r="G131" s="104"/>
      <c r="H131" s="104"/>
      <c r="I131" s="104"/>
      <c r="J131" s="104"/>
      <c r="K131" s="104"/>
      <c r="L131" s="104"/>
      <c r="M131" s="104"/>
      <c r="N131" s="104"/>
    </row>
    <row r="132" spans="1:14" x14ac:dyDescent="0.2">
      <c r="A132" s="104"/>
      <c r="B132" s="104"/>
      <c r="C132" s="104"/>
      <c r="D132" s="104"/>
      <c r="E132" s="104"/>
      <c r="F132" s="104"/>
      <c r="G132" s="104"/>
      <c r="H132" s="104"/>
      <c r="I132" s="104"/>
      <c r="J132" s="104"/>
      <c r="K132" s="104"/>
      <c r="L132" s="104"/>
      <c r="M132" s="104"/>
      <c r="N132" s="104"/>
    </row>
    <row r="133" spans="1:14" x14ac:dyDescent="0.2">
      <c r="A133" s="104"/>
      <c r="B133" s="104"/>
      <c r="C133" s="104"/>
      <c r="D133" s="104"/>
      <c r="E133" s="104"/>
      <c r="F133" s="104"/>
      <c r="G133" s="104"/>
      <c r="H133" s="104"/>
      <c r="I133" s="104"/>
      <c r="J133" s="104"/>
      <c r="K133" s="104"/>
      <c r="L133" s="104"/>
      <c r="M133" s="104"/>
      <c r="N133" s="104"/>
    </row>
    <row r="134" spans="1:14" x14ac:dyDescent="0.2">
      <c r="A134" s="104"/>
      <c r="B134" s="104"/>
      <c r="C134" s="104"/>
      <c r="D134" s="104"/>
      <c r="E134" s="104"/>
      <c r="F134" s="104"/>
      <c r="G134" s="104"/>
      <c r="H134" s="104"/>
      <c r="I134" s="104"/>
      <c r="J134" s="104"/>
      <c r="K134" s="104"/>
      <c r="L134" s="104"/>
      <c r="M134" s="104"/>
      <c r="N134" s="104"/>
    </row>
    <row r="135" spans="1:14" x14ac:dyDescent="0.2">
      <c r="A135" s="104"/>
      <c r="B135" s="104"/>
      <c r="C135" s="104"/>
      <c r="D135" s="104"/>
      <c r="E135" s="104"/>
      <c r="F135" s="104"/>
      <c r="G135" s="104"/>
      <c r="H135" s="104"/>
      <c r="I135" s="104"/>
      <c r="J135" s="104"/>
      <c r="K135" s="104"/>
      <c r="L135" s="104"/>
      <c r="M135" s="104"/>
      <c r="N135" s="104"/>
    </row>
    <row r="136" spans="1:14" x14ac:dyDescent="0.2">
      <c r="A136" s="104"/>
      <c r="B136" s="104"/>
      <c r="C136" s="104"/>
      <c r="D136" s="104"/>
      <c r="E136" s="104"/>
      <c r="F136" s="104"/>
      <c r="G136" s="104"/>
      <c r="H136" s="104"/>
      <c r="I136" s="104"/>
      <c r="J136" s="104"/>
      <c r="K136" s="104"/>
      <c r="L136" s="104"/>
      <c r="M136" s="104"/>
      <c r="N136" s="104"/>
    </row>
    <row r="137" spans="1:14" x14ac:dyDescent="0.2">
      <c r="A137" s="104"/>
      <c r="B137" s="104"/>
      <c r="C137" s="104"/>
      <c r="D137" s="104"/>
      <c r="E137" s="104"/>
      <c r="F137" s="104"/>
      <c r="G137" s="104"/>
      <c r="H137" s="104"/>
      <c r="I137" s="104"/>
      <c r="J137" s="104"/>
      <c r="K137" s="104"/>
      <c r="L137" s="104"/>
      <c r="M137" s="104"/>
      <c r="N137" s="104"/>
    </row>
    <row r="138" spans="1:14" x14ac:dyDescent="0.2">
      <c r="A138" s="104"/>
      <c r="B138" s="104"/>
      <c r="C138" s="104"/>
      <c r="D138" s="104"/>
      <c r="E138" s="104"/>
      <c r="F138" s="104"/>
      <c r="G138" s="104"/>
      <c r="H138" s="104"/>
      <c r="I138" s="104"/>
      <c r="J138" s="104"/>
      <c r="K138" s="104"/>
      <c r="L138" s="104"/>
      <c r="M138" s="104"/>
      <c r="N138" s="104"/>
    </row>
    <row r="139" spans="1:14" x14ac:dyDescent="0.2">
      <c r="A139" s="104"/>
      <c r="B139" s="104"/>
      <c r="C139" s="104"/>
      <c r="D139" s="104"/>
      <c r="E139" s="104"/>
      <c r="F139" s="104"/>
      <c r="G139" s="104"/>
      <c r="H139" s="104"/>
      <c r="I139" s="104"/>
      <c r="J139" s="104"/>
      <c r="K139" s="104"/>
      <c r="L139" s="104"/>
      <c r="M139" s="104"/>
      <c r="N139" s="104"/>
    </row>
    <row r="140" spans="1:14" x14ac:dyDescent="0.2">
      <c r="A140" s="104"/>
      <c r="B140" s="104"/>
      <c r="C140" s="104"/>
      <c r="D140" s="104"/>
      <c r="E140" s="104"/>
      <c r="F140" s="104"/>
      <c r="G140" s="104"/>
      <c r="H140" s="104"/>
      <c r="I140" s="104"/>
      <c r="J140" s="104"/>
      <c r="K140" s="104"/>
      <c r="L140" s="104"/>
      <c r="M140" s="104"/>
      <c r="N140" s="104"/>
    </row>
    <row r="141" spans="1:14" x14ac:dyDescent="0.2">
      <c r="A141" s="104"/>
      <c r="B141" s="104"/>
      <c r="C141" s="104"/>
      <c r="D141" s="104"/>
      <c r="E141" s="104"/>
      <c r="F141" s="104"/>
      <c r="G141" s="104"/>
      <c r="H141" s="104"/>
      <c r="I141" s="104"/>
      <c r="J141" s="104"/>
      <c r="K141" s="104"/>
      <c r="L141" s="104"/>
      <c r="M141" s="104"/>
      <c r="N141" s="104"/>
    </row>
    <row r="142" spans="1:14" x14ac:dyDescent="0.2">
      <c r="A142" s="104"/>
      <c r="B142" s="104"/>
      <c r="C142" s="104"/>
      <c r="D142" s="104"/>
      <c r="E142" s="104"/>
      <c r="F142" s="104"/>
      <c r="G142" s="104"/>
      <c r="H142" s="104"/>
      <c r="I142" s="104"/>
      <c r="J142" s="104"/>
      <c r="K142" s="104"/>
      <c r="L142" s="104"/>
      <c r="M142" s="104"/>
      <c r="N142" s="104"/>
    </row>
    <row r="143" spans="1:14" x14ac:dyDescent="0.2">
      <c r="A143" s="104"/>
      <c r="B143" s="104"/>
      <c r="C143" s="104"/>
      <c r="D143" s="104"/>
      <c r="E143" s="104"/>
      <c r="F143" s="104"/>
      <c r="G143" s="104"/>
      <c r="H143" s="104"/>
      <c r="I143" s="104"/>
      <c r="J143" s="104"/>
      <c r="K143" s="104"/>
      <c r="L143" s="104"/>
      <c r="M143" s="104"/>
      <c r="N143" s="104"/>
    </row>
    <row r="144" spans="1:14" x14ac:dyDescent="0.2">
      <c r="A144" s="104"/>
      <c r="B144" s="104"/>
      <c r="C144" s="104"/>
      <c r="D144" s="104"/>
      <c r="E144" s="104"/>
      <c r="F144" s="104"/>
      <c r="G144" s="104"/>
      <c r="H144" s="104"/>
      <c r="I144" s="104"/>
      <c r="J144" s="104"/>
      <c r="K144" s="104"/>
      <c r="L144" s="104"/>
      <c r="M144" s="104"/>
      <c r="N144" s="104"/>
    </row>
    <row r="145" spans="1:14" x14ac:dyDescent="0.2">
      <c r="A145" s="104"/>
      <c r="B145" s="104"/>
      <c r="C145" s="104"/>
      <c r="D145" s="104"/>
      <c r="E145" s="104"/>
      <c r="F145" s="104"/>
      <c r="G145" s="104"/>
      <c r="H145" s="104"/>
      <c r="I145" s="104"/>
      <c r="J145" s="104"/>
      <c r="K145" s="104"/>
      <c r="L145" s="104"/>
      <c r="M145" s="104"/>
      <c r="N145" s="104"/>
    </row>
    <row r="146" spans="1:14" x14ac:dyDescent="0.2">
      <c r="A146" s="104"/>
      <c r="B146" s="104"/>
      <c r="C146" s="104"/>
      <c r="D146" s="104"/>
      <c r="E146" s="104"/>
      <c r="F146" s="104"/>
      <c r="G146" s="104"/>
      <c r="H146" s="104"/>
      <c r="I146" s="104"/>
      <c r="J146" s="104"/>
      <c r="K146" s="104"/>
      <c r="L146" s="104"/>
      <c r="M146" s="104"/>
      <c r="N146" s="104"/>
    </row>
    <row r="147" spans="1:14" x14ac:dyDescent="0.2">
      <c r="A147" s="104"/>
      <c r="B147" s="104"/>
      <c r="C147" s="104"/>
      <c r="D147" s="104"/>
      <c r="E147" s="104"/>
      <c r="F147" s="104"/>
      <c r="G147" s="104"/>
      <c r="H147" s="104"/>
      <c r="I147" s="104"/>
      <c r="J147" s="104"/>
      <c r="K147" s="104"/>
      <c r="L147" s="104"/>
      <c r="M147" s="104"/>
      <c r="N147" s="104"/>
    </row>
    <row r="148" spans="1:14" x14ac:dyDescent="0.2">
      <c r="A148" s="104"/>
      <c r="B148" s="104"/>
      <c r="C148" s="104"/>
      <c r="D148" s="104"/>
      <c r="E148" s="104"/>
      <c r="F148" s="104"/>
      <c r="G148" s="104"/>
      <c r="H148" s="104"/>
      <c r="I148" s="104"/>
      <c r="J148" s="104"/>
      <c r="K148" s="104"/>
      <c r="L148" s="104"/>
      <c r="M148" s="104"/>
      <c r="N148" s="104"/>
    </row>
    <row r="149" spans="1:14" x14ac:dyDescent="0.2">
      <c r="A149" s="104"/>
      <c r="B149" s="104"/>
      <c r="C149" s="104"/>
      <c r="D149" s="104"/>
      <c r="E149" s="104"/>
      <c r="F149" s="104"/>
      <c r="G149" s="104"/>
      <c r="H149" s="104"/>
      <c r="I149" s="104"/>
      <c r="J149" s="104"/>
      <c r="K149" s="104"/>
      <c r="L149" s="104"/>
      <c r="M149" s="104"/>
      <c r="N149" s="104"/>
    </row>
    <row r="150" spans="1:14" x14ac:dyDescent="0.2">
      <c r="A150" s="104"/>
      <c r="B150" s="104"/>
      <c r="C150" s="104"/>
      <c r="D150" s="104"/>
      <c r="E150" s="104"/>
      <c r="F150" s="104"/>
      <c r="G150" s="104"/>
      <c r="H150" s="104"/>
      <c r="I150" s="104"/>
      <c r="J150" s="104"/>
      <c r="K150" s="104"/>
      <c r="L150" s="104"/>
      <c r="M150" s="104"/>
      <c r="N150" s="104"/>
    </row>
    <row r="151" spans="1:14" x14ac:dyDescent="0.2">
      <c r="A151" s="104"/>
      <c r="B151" s="104"/>
      <c r="C151" s="104"/>
      <c r="D151" s="104"/>
      <c r="E151" s="104"/>
      <c r="F151" s="104"/>
      <c r="G151" s="104"/>
      <c r="H151" s="104"/>
      <c r="I151" s="104"/>
      <c r="J151" s="104"/>
      <c r="K151" s="104"/>
      <c r="L151" s="104"/>
      <c r="M151" s="104"/>
      <c r="N151" s="104"/>
    </row>
    <row r="152" spans="1:14" x14ac:dyDescent="0.2">
      <c r="A152" s="104"/>
      <c r="B152" s="104"/>
      <c r="C152" s="104"/>
      <c r="D152" s="104"/>
      <c r="E152" s="104"/>
      <c r="F152" s="104"/>
      <c r="G152" s="104"/>
      <c r="H152" s="104"/>
      <c r="I152" s="104"/>
      <c r="J152" s="104"/>
      <c r="K152" s="104"/>
      <c r="L152" s="104"/>
      <c r="M152" s="104"/>
      <c r="N152" s="104"/>
    </row>
    <row r="153" spans="1:14" x14ac:dyDescent="0.2">
      <c r="A153" s="104"/>
      <c r="B153" s="104"/>
      <c r="C153" s="104"/>
      <c r="D153" s="104"/>
      <c r="E153" s="104"/>
      <c r="F153" s="104"/>
      <c r="G153" s="104"/>
      <c r="H153" s="104"/>
      <c r="I153" s="104"/>
      <c r="J153" s="104"/>
      <c r="K153" s="104"/>
      <c r="L153" s="104"/>
      <c r="M153" s="104"/>
      <c r="N153" s="104"/>
    </row>
    <row r="154" spans="1:14" x14ac:dyDescent="0.2">
      <c r="A154" s="104"/>
      <c r="B154" s="104"/>
      <c r="C154" s="104"/>
      <c r="D154" s="104"/>
      <c r="E154" s="104"/>
      <c r="F154" s="104"/>
      <c r="G154" s="104"/>
      <c r="H154" s="104"/>
      <c r="I154" s="104"/>
      <c r="J154" s="104"/>
      <c r="K154" s="104"/>
      <c r="L154" s="104"/>
      <c r="M154" s="104"/>
      <c r="N154" s="104"/>
    </row>
    <row r="155" spans="1:14" x14ac:dyDescent="0.2">
      <c r="A155" s="104"/>
      <c r="B155" s="104"/>
      <c r="C155" s="104"/>
      <c r="D155" s="104"/>
      <c r="E155" s="104"/>
      <c r="F155" s="104"/>
      <c r="G155" s="104"/>
      <c r="H155" s="104"/>
      <c r="I155" s="104"/>
      <c r="J155" s="104"/>
      <c r="K155" s="104"/>
      <c r="L155" s="104"/>
      <c r="M155" s="104"/>
      <c r="N155" s="104"/>
    </row>
    <row r="156" spans="1:14" x14ac:dyDescent="0.2">
      <c r="A156" s="104"/>
      <c r="B156" s="104"/>
      <c r="C156" s="104"/>
      <c r="D156" s="104"/>
      <c r="E156" s="104"/>
      <c r="F156" s="104"/>
      <c r="G156" s="104"/>
      <c r="H156" s="104"/>
      <c r="I156" s="104"/>
      <c r="J156" s="104"/>
      <c r="K156" s="104"/>
      <c r="L156" s="104"/>
      <c r="M156" s="104"/>
      <c r="N156" s="104"/>
    </row>
    <row r="157" spans="1:14" x14ac:dyDescent="0.2">
      <c r="A157" s="104"/>
      <c r="B157" s="104"/>
      <c r="C157" s="104"/>
      <c r="D157" s="104"/>
      <c r="E157" s="104"/>
      <c r="F157" s="104"/>
      <c r="G157" s="104"/>
      <c r="H157" s="104"/>
      <c r="I157" s="104"/>
      <c r="J157" s="104"/>
      <c r="K157" s="104"/>
      <c r="L157" s="104"/>
      <c r="M157" s="104"/>
      <c r="N157" s="104"/>
    </row>
    <row r="158" spans="1:14" x14ac:dyDescent="0.2">
      <c r="A158" s="104"/>
      <c r="B158" s="104"/>
      <c r="C158" s="104"/>
      <c r="D158" s="104"/>
      <c r="E158" s="104"/>
      <c r="F158" s="104"/>
      <c r="G158" s="104"/>
      <c r="H158" s="104"/>
      <c r="I158" s="104"/>
      <c r="J158" s="104"/>
      <c r="K158" s="104"/>
      <c r="L158" s="104"/>
      <c r="M158" s="104"/>
      <c r="N158" s="104"/>
    </row>
    <row r="159" spans="1:14" x14ac:dyDescent="0.2">
      <c r="A159" s="104"/>
      <c r="B159" s="104"/>
      <c r="C159" s="104"/>
      <c r="D159" s="104"/>
      <c r="E159" s="104"/>
      <c r="F159" s="104"/>
      <c r="G159" s="104"/>
      <c r="H159" s="104"/>
      <c r="I159" s="104"/>
      <c r="J159" s="104"/>
      <c r="K159" s="104"/>
      <c r="L159" s="104"/>
      <c r="M159" s="104"/>
      <c r="N159" s="104"/>
    </row>
    <row r="160" spans="1:14" x14ac:dyDescent="0.2">
      <c r="A160" s="104"/>
      <c r="B160" s="104"/>
      <c r="C160" s="104"/>
      <c r="D160" s="104"/>
      <c r="E160" s="104"/>
      <c r="F160" s="104"/>
      <c r="G160" s="104"/>
      <c r="H160" s="104"/>
      <c r="I160" s="104"/>
      <c r="J160" s="104"/>
      <c r="K160" s="104"/>
      <c r="L160" s="104"/>
      <c r="M160" s="104"/>
      <c r="N160" s="104"/>
    </row>
    <row r="161" spans="1:14" x14ac:dyDescent="0.2">
      <c r="A161" s="104"/>
      <c r="B161" s="104"/>
      <c r="C161" s="104"/>
      <c r="D161" s="104"/>
      <c r="E161" s="104"/>
      <c r="F161" s="104"/>
      <c r="G161" s="104"/>
      <c r="H161" s="104"/>
      <c r="I161" s="104"/>
      <c r="J161" s="104"/>
      <c r="K161" s="104"/>
      <c r="L161" s="104"/>
      <c r="M161" s="104"/>
      <c r="N161" s="104"/>
    </row>
    <row r="162" spans="1:14" x14ac:dyDescent="0.2">
      <c r="A162" s="104"/>
      <c r="B162" s="104"/>
      <c r="C162" s="104"/>
      <c r="D162" s="104"/>
      <c r="E162" s="104"/>
      <c r="F162" s="104"/>
      <c r="G162" s="104"/>
      <c r="H162" s="104"/>
      <c r="I162" s="104"/>
      <c r="J162" s="104"/>
      <c r="K162" s="104"/>
      <c r="L162" s="104"/>
      <c r="M162" s="104"/>
      <c r="N162" s="104"/>
    </row>
    <row r="163" spans="1:14" x14ac:dyDescent="0.2">
      <c r="A163" s="104"/>
      <c r="B163" s="104"/>
      <c r="C163" s="104"/>
      <c r="D163" s="104"/>
      <c r="E163" s="104"/>
      <c r="F163" s="104"/>
      <c r="G163" s="104"/>
      <c r="H163" s="104"/>
      <c r="I163" s="104"/>
      <c r="J163" s="104"/>
      <c r="K163" s="104"/>
      <c r="L163" s="104"/>
      <c r="M163" s="104"/>
      <c r="N163" s="104"/>
    </row>
    <row r="164" spans="1:14" x14ac:dyDescent="0.2">
      <c r="A164" s="104"/>
      <c r="B164" s="104"/>
      <c r="C164" s="104"/>
      <c r="D164" s="104"/>
      <c r="E164" s="104"/>
      <c r="F164" s="104"/>
      <c r="G164" s="104"/>
      <c r="H164" s="104"/>
      <c r="I164" s="104"/>
      <c r="J164" s="104"/>
      <c r="K164" s="104"/>
      <c r="L164" s="104"/>
      <c r="M164" s="104"/>
      <c r="N164" s="104"/>
    </row>
    <row r="165" spans="1:14" x14ac:dyDescent="0.2">
      <c r="A165" s="104"/>
      <c r="B165" s="104"/>
      <c r="C165" s="104"/>
      <c r="D165" s="104"/>
      <c r="E165" s="104"/>
      <c r="F165" s="104"/>
      <c r="G165" s="104"/>
      <c r="H165" s="104"/>
      <c r="I165" s="104"/>
      <c r="J165" s="104"/>
      <c r="K165" s="104"/>
      <c r="L165" s="104"/>
      <c r="M165" s="104"/>
      <c r="N165" s="104"/>
    </row>
    <row r="166" spans="1:14" x14ac:dyDescent="0.2">
      <c r="A166" s="104"/>
      <c r="B166" s="104"/>
      <c r="C166" s="104"/>
      <c r="D166" s="104"/>
      <c r="E166" s="104"/>
      <c r="F166" s="104"/>
      <c r="G166" s="104"/>
      <c r="H166" s="104"/>
      <c r="I166" s="104"/>
      <c r="J166" s="104"/>
      <c r="K166" s="104"/>
      <c r="L166" s="104"/>
      <c r="M166" s="104"/>
      <c r="N166" s="104"/>
    </row>
    <row r="167" spans="1:14" x14ac:dyDescent="0.2">
      <c r="A167" s="104"/>
      <c r="B167" s="104"/>
      <c r="C167" s="104"/>
      <c r="D167" s="104"/>
      <c r="E167" s="104"/>
      <c r="F167" s="104"/>
      <c r="G167" s="104"/>
      <c r="H167" s="104"/>
      <c r="I167" s="104"/>
      <c r="J167" s="104"/>
      <c r="K167" s="104"/>
      <c r="L167" s="104"/>
      <c r="M167" s="104"/>
      <c r="N167" s="104"/>
    </row>
    <row r="168" spans="1:14" x14ac:dyDescent="0.2">
      <c r="A168" s="104"/>
      <c r="B168" s="104"/>
      <c r="C168" s="104"/>
      <c r="D168" s="104"/>
      <c r="E168" s="104"/>
      <c r="F168" s="104"/>
      <c r="G168" s="104"/>
      <c r="H168" s="104"/>
      <c r="I168" s="104"/>
      <c r="J168" s="104"/>
      <c r="K168" s="104"/>
      <c r="L168" s="104"/>
      <c r="M168" s="104"/>
      <c r="N168" s="104"/>
    </row>
    <row r="169" spans="1:14" x14ac:dyDescent="0.2">
      <c r="A169" s="104"/>
      <c r="B169" s="104"/>
      <c r="C169" s="104"/>
      <c r="D169" s="104"/>
      <c r="E169" s="104"/>
      <c r="F169" s="104"/>
      <c r="G169" s="104"/>
      <c r="H169" s="104"/>
      <c r="I169" s="104"/>
      <c r="J169" s="104"/>
      <c r="K169" s="104"/>
      <c r="L169" s="104"/>
      <c r="M169" s="104"/>
      <c r="N169" s="104"/>
    </row>
    <row r="170" spans="1:14" x14ac:dyDescent="0.2">
      <c r="A170" s="104"/>
      <c r="B170" s="104"/>
      <c r="C170" s="104"/>
      <c r="D170" s="104"/>
      <c r="E170" s="104"/>
      <c r="F170" s="104"/>
      <c r="G170" s="104"/>
      <c r="H170" s="104"/>
      <c r="I170" s="104"/>
      <c r="J170" s="104"/>
      <c r="K170" s="104"/>
      <c r="L170" s="104"/>
      <c r="M170" s="104"/>
      <c r="N170" s="104"/>
    </row>
    <row r="171" spans="1:14" x14ac:dyDescent="0.2">
      <c r="A171" s="104"/>
      <c r="B171" s="104"/>
      <c r="C171" s="104"/>
      <c r="D171" s="104"/>
      <c r="E171" s="104"/>
      <c r="F171" s="104"/>
      <c r="G171" s="104"/>
      <c r="H171" s="104"/>
      <c r="I171" s="104"/>
      <c r="J171" s="104"/>
      <c r="K171" s="104"/>
      <c r="L171" s="104"/>
      <c r="M171" s="104"/>
      <c r="N171" s="104"/>
    </row>
    <row r="172" spans="1:14" x14ac:dyDescent="0.2">
      <c r="A172" s="104"/>
      <c r="B172" s="104"/>
      <c r="C172" s="104"/>
      <c r="D172" s="104"/>
      <c r="E172" s="104"/>
      <c r="F172" s="104"/>
      <c r="G172" s="104"/>
      <c r="H172" s="104"/>
      <c r="I172" s="104"/>
      <c r="J172" s="104"/>
      <c r="K172" s="104"/>
      <c r="L172" s="104"/>
      <c r="M172" s="104"/>
      <c r="N172" s="104"/>
    </row>
    <row r="173" spans="1:14" x14ac:dyDescent="0.2">
      <c r="A173" s="104"/>
      <c r="B173" s="104"/>
      <c r="C173" s="104"/>
      <c r="D173" s="104"/>
      <c r="E173" s="104"/>
      <c r="F173" s="104"/>
      <c r="G173" s="104"/>
      <c r="H173" s="104"/>
      <c r="I173" s="104"/>
      <c r="J173" s="104"/>
      <c r="K173" s="104"/>
      <c r="L173" s="104"/>
      <c r="M173" s="104"/>
      <c r="N173" s="104"/>
    </row>
    <row r="174" spans="1:14" x14ac:dyDescent="0.2">
      <c r="A174" s="104"/>
      <c r="B174" s="104"/>
      <c r="C174" s="104"/>
      <c r="D174" s="104"/>
      <c r="E174" s="104"/>
      <c r="F174" s="104"/>
      <c r="G174" s="104"/>
      <c r="H174" s="104"/>
      <c r="I174" s="104"/>
      <c r="J174" s="104"/>
      <c r="K174" s="104"/>
      <c r="L174" s="104"/>
      <c r="M174" s="104"/>
      <c r="N174" s="104"/>
    </row>
    <row r="175" spans="1:14" x14ac:dyDescent="0.2">
      <c r="A175" s="104"/>
      <c r="B175" s="104"/>
      <c r="C175" s="104"/>
      <c r="D175" s="104"/>
      <c r="E175" s="104"/>
      <c r="F175" s="104"/>
      <c r="G175" s="104"/>
      <c r="H175" s="104"/>
      <c r="I175" s="104"/>
      <c r="J175" s="104"/>
      <c r="K175" s="104"/>
      <c r="L175" s="104"/>
      <c r="M175" s="104"/>
      <c r="N175" s="104"/>
    </row>
    <row r="176" spans="1:14" x14ac:dyDescent="0.2">
      <c r="A176" s="104"/>
      <c r="B176" s="104"/>
      <c r="C176" s="104"/>
      <c r="D176" s="104"/>
      <c r="E176" s="104"/>
      <c r="F176" s="104"/>
      <c r="G176" s="104"/>
      <c r="H176" s="104"/>
      <c r="I176" s="104"/>
      <c r="J176" s="104"/>
      <c r="K176" s="104"/>
      <c r="L176" s="104"/>
      <c r="M176" s="104"/>
      <c r="N176" s="104"/>
    </row>
    <row r="177" spans="1:14" x14ac:dyDescent="0.2">
      <c r="A177" s="104"/>
      <c r="B177" s="104"/>
      <c r="C177" s="104"/>
      <c r="D177" s="104"/>
      <c r="E177" s="104"/>
      <c r="F177" s="104"/>
      <c r="G177" s="104"/>
      <c r="H177" s="104"/>
      <c r="I177" s="104"/>
      <c r="J177" s="104"/>
      <c r="K177" s="104"/>
      <c r="L177" s="104"/>
      <c r="M177" s="104"/>
      <c r="N177" s="104"/>
    </row>
    <row r="178" spans="1:14" x14ac:dyDescent="0.2">
      <c r="A178" s="104"/>
      <c r="B178" s="104"/>
      <c r="C178" s="104"/>
      <c r="D178" s="104"/>
      <c r="E178" s="104"/>
      <c r="F178" s="104"/>
      <c r="G178" s="104"/>
      <c r="H178" s="104"/>
      <c r="I178" s="104"/>
      <c r="J178" s="104"/>
      <c r="K178" s="104"/>
      <c r="L178" s="104"/>
      <c r="M178" s="104"/>
      <c r="N178" s="104"/>
    </row>
    <row r="179" spans="1:14" x14ac:dyDescent="0.2">
      <c r="A179" s="104"/>
      <c r="B179" s="104"/>
      <c r="C179" s="104"/>
      <c r="D179" s="104"/>
      <c r="E179" s="104"/>
      <c r="F179" s="104"/>
      <c r="G179" s="104"/>
      <c r="H179" s="104"/>
      <c r="I179" s="104"/>
      <c r="J179" s="104"/>
      <c r="K179" s="104"/>
      <c r="L179" s="104"/>
      <c r="M179" s="104"/>
      <c r="N179" s="104"/>
    </row>
    <row r="180" spans="1:14" x14ac:dyDescent="0.2">
      <c r="A180" s="104"/>
      <c r="B180" s="104"/>
      <c r="C180" s="104"/>
      <c r="D180" s="104"/>
      <c r="E180" s="104"/>
      <c r="F180" s="104"/>
      <c r="G180" s="104"/>
      <c r="H180" s="104"/>
      <c r="I180" s="104"/>
      <c r="J180" s="104"/>
      <c r="K180" s="104"/>
      <c r="L180" s="104"/>
      <c r="M180" s="104"/>
      <c r="N180" s="104"/>
    </row>
    <row r="181" spans="1:14" x14ac:dyDescent="0.2">
      <c r="A181" s="104"/>
      <c r="B181" s="104"/>
      <c r="C181" s="104"/>
      <c r="D181" s="104"/>
      <c r="E181" s="104"/>
      <c r="F181" s="104"/>
      <c r="G181" s="104"/>
      <c r="H181" s="104"/>
      <c r="I181" s="104"/>
      <c r="J181" s="104"/>
      <c r="K181" s="104"/>
      <c r="L181" s="104"/>
      <c r="M181" s="104"/>
      <c r="N181" s="104"/>
    </row>
    <row r="182" spans="1:14" x14ac:dyDescent="0.2">
      <c r="A182" s="104"/>
      <c r="B182" s="104"/>
      <c r="C182" s="104"/>
      <c r="D182" s="104"/>
      <c r="E182" s="104"/>
      <c r="F182" s="104"/>
      <c r="G182" s="104"/>
      <c r="H182" s="104"/>
      <c r="I182" s="104"/>
      <c r="J182" s="104"/>
      <c r="K182" s="104"/>
      <c r="L182" s="104"/>
      <c r="M182" s="104"/>
      <c r="N182" s="104"/>
    </row>
    <row r="183" spans="1:14" x14ac:dyDescent="0.2">
      <c r="A183" s="104"/>
      <c r="B183" s="104"/>
      <c r="C183" s="104"/>
      <c r="D183" s="104"/>
      <c r="E183" s="104"/>
      <c r="F183" s="104"/>
      <c r="G183" s="104"/>
      <c r="H183" s="104"/>
      <c r="I183" s="104"/>
      <c r="J183" s="104"/>
      <c r="K183" s="104"/>
      <c r="L183" s="104"/>
      <c r="M183" s="104"/>
      <c r="N183" s="104"/>
    </row>
    <row r="184" spans="1:14" x14ac:dyDescent="0.2">
      <c r="A184" s="104"/>
      <c r="B184" s="104"/>
      <c r="C184" s="104"/>
      <c r="D184" s="104"/>
      <c r="E184" s="104"/>
      <c r="F184" s="104"/>
      <c r="G184" s="104"/>
      <c r="H184" s="104"/>
      <c r="I184" s="104"/>
      <c r="J184" s="104"/>
      <c r="K184" s="104"/>
      <c r="L184" s="104"/>
      <c r="M184" s="104"/>
      <c r="N184" s="104"/>
    </row>
    <row r="185" spans="1:14" x14ac:dyDescent="0.2">
      <c r="A185" s="104"/>
      <c r="B185" s="104"/>
      <c r="C185" s="104"/>
      <c r="D185" s="104"/>
      <c r="E185" s="104"/>
      <c r="F185" s="104"/>
      <c r="G185" s="104"/>
      <c r="H185" s="104"/>
      <c r="I185" s="104"/>
      <c r="J185" s="104"/>
      <c r="K185" s="104"/>
      <c r="L185" s="104"/>
      <c r="M185" s="104"/>
      <c r="N185" s="104"/>
    </row>
    <row r="186" spans="1:14" x14ac:dyDescent="0.2">
      <c r="A186" s="104"/>
      <c r="B186" s="104"/>
      <c r="C186" s="104"/>
      <c r="D186" s="104"/>
      <c r="E186" s="104"/>
      <c r="F186" s="104"/>
      <c r="G186" s="104"/>
      <c r="H186" s="104"/>
      <c r="I186" s="104"/>
      <c r="J186" s="104"/>
      <c r="K186" s="104"/>
      <c r="L186" s="104"/>
      <c r="M186" s="104"/>
      <c r="N186" s="104"/>
    </row>
    <row r="187" spans="1:14" x14ac:dyDescent="0.2">
      <c r="A187" s="104"/>
      <c r="B187" s="104"/>
      <c r="C187" s="104"/>
      <c r="D187" s="104"/>
      <c r="E187" s="104"/>
      <c r="F187" s="104"/>
      <c r="G187" s="104"/>
      <c r="H187" s="104"/>
      <c r="I187" s="104"/>
      <c r="J187" s="104"/>
      <c r="K187" s="104"/>
      <c r="L187" s="104"/>
      <c r="M187" s="104"/>
      <c r="N187" s="104"/>
    </row>
    <row r="188" spans="1:14" x14ac:dyDescent="0.2">
      <c r="A188" s="104"/>
      <c r="B188" s="104"/>
      <c r="C188" s="104"/>
      <c r="D188" s="104"/>
      <c r="E188" s="104"/>
      <c r="F188" s="104"/>
      <c r="G188" s="104"/>
      <c r="H188" s="104"/>
      <c r="I188" s="104"/>
      <c r="J188" s="104"/>
      <c r="K188" s="104"/>
      <c r="L188" s="104"/>
      <c r="M188" s="104"/>
      <c r="N188" s="104"/>
    </row>
    <row r="189" spans="1:14" x14ac:dyDescent="0.2">
      <c r="A189" s="104"/>
      <c r="B189" s="104"/>
      <c r="C189" s="104"/>
      <c r="D189" s="104"/>
      <c r="E189" s="104"/>
      <c r="F189" s="104"/>
      <c r="G189" s="104"/>
      <c r="H189" s="104"/>
      <c r="I189" s="104"/>
      <c r="J189" s="104"/>
      <c r="K189" s="104"/>
      <c r="L189" s="104"/>
      <c r="M189" s="104"/>
      <c r="N189" s="104"/>
    </row>
    <row r="190" spans="1:14" x14ac:dyDescent="0.2">
      <c r="A190" s="104"/>
      <c r="B190" s="104"/>
      <c r="C190" s="104"/>
      <c r="D190" s="104"/>
      <c r="E190" s="104"/>
      <c r="F190" s="104"/>
      <c r="G190" s="104"/>
      <c r="H190" s="104"/>
      <c r="I190" s="104"/>
      <c r="J190" s="104"/>
      <c r="K190" s="104"/>
      <c r="L190" s="104"/>
      <c r="M190" s="104"/>
      <c r="N190" s="104"/>
    </row>
    <row r="191" spans="1:14" x14ac:dyDescent="0.2">
      <c r="A191" s="104"/>
      <c r="B191" s="104"/>
      <c r="C191" s="104"/>
      <c r="D191" s="104"/>
      <c r="E191" s="104"/>
      <c r="F191" s="104"/>
      <c r="G191" s="104"/>
      <c r="H191" s="104"/>
      <c r="I191" s="104"/>
      <c r="J191" s="104"/>
      <c r="K191" s="104"/>
      <c r="L191" s="104"/>
      <c r="M191" s="104"/>
      <c r="N191" s="104"/>
    </row>
    <row r="192" spans="1:14" x14ac:dyDescent="0.2">
      <c r="A192" s="104"/>
      <c r="B192" s="104"/>
      <c r="C192" s="104"/>
      <c r="D192" s="104"/>
      <c r="E192" s="104"/>
      <c r="F192" s="104"/>
      <c r="G192" s="104"/>
      <c r="H192" s="104"/>
      <c r="I192" s="104"/>
      <c r="J192" s="104"/>
      <c r="K192" s="104"/>
      <c r="L192" s="104"/>
      <c r="M192" s="104"/>
      <c r="N192" s="104"/>
    </row>
    <row r="193" spans="1:14" x14ac:dyDescent="0.2">
      <c r="A193" s="104"/>
      <c r="B193" s="104"/>
      <c r="C193" s="104"/>
      <c r="D193" s="104"/>
      <c r="E193" s="104"/>
      <c r="F193" s="104"/>
      <c r="G193" s="104"/>
      <c r="H193" s="104"/>
      <c r="I193" s="104"/>
      <c r="J193" s="104"/>
      <c r="K193" s="104"/>
      <c r="L193" s="104"/>
      <c r="M193" s="104"/>
      <c r="N193" s="104"/>
    </row>
    <row r="194" spans="1:14" x14ac:dyDescent="0.2">
      <c r="A194" s="104"/>
      <c r="B194" s="104"/>
      <c r="C194" s="104"/>
      <c r="D194" s="104"/>
      <c r="E194" s="104"/>
      <c r="F194" s="104"/>
      <c r="G194" s="104"/>
      <c r="H194" s="104"/>
      <c r="I194" s="104"/>
      <c r="J194" s="104"/>
      <c r="K194" s="104"/>
      <c r="L194" s="104"/>
      <c r="M194" s="104"/>
      <c r="N194" s="104"/>
    </row>
    <row r="195" spans="1:14" x14ac:dyDescent="0.2">
      <c r="A195" s="104"/>
      <c r="B195" s="104"/>
      <c r="C195" s="104"/>
      <c r="D195" s="104"/>
      <c r="E195" s="104"/>
      <c r="F195" s="104"/>
      <c r="G195" s="104"/>
      <c r="H195" s="104"/>
      <c r="I195" s="104"/>
      <c r="J195" s="104"/>
      <c r="K195" s="104"/>
      <c r="L195" s="104"/>
      <c r="M195" s="104"/>
      <c r="N195" s="104"/>
    </row>
    <row r="196" spans="1:14" x14ac:dyDescent="0.2">
      <c r="A196" s="104"/>
      <c r="B196" s="104"/>
      <c r="C196" s="104"/>
      <c r="D196" s="104"/>
      <c r="E196" s="104"/>
      <c r="F196" s="104"/>
      <c r="G196" s="104"/>
      <c r="H196" s="104"/>
      <c r="I196" s="104"/>
      <c r="J196" s="104"/>
      <c r="K196" s="104"/>
      <c r="L196" s="104"/>
      <c r="M196" s="104"/>
      <c r="N196" s="104"/>
    </row>
    <row r="197" spans="1:14" x14ac:dyDescent="0.2">
      <c r="A197" s="104"/>
      <c r="B197" s="104"/>
      <c r="C197" s="104"/>
      <c r="D197" s="104"/>
      <c r="E197" s="104"/>
      <c r="F197" s="104"/>
      <c r="G197" s="104"/>
      <c r="H197" s="104"/>
      <c r="I197" s="104"/>
      <c r="J197" s="104"/>
      <c r="K197" s="104"/>
      <c r="L197" s="104"/>
      <c r="M197" s="104"/>
      <c r="N197" s="104"/>
    </row>
    <row r="198" spans="1:14" x14ac:dyDescent="0.2">
      <c r="A198" s="104"/>
      <c r="B198" s="104"/>
      <c r="C198" s="104"/>
      <c r="D198" s="104"/>
      <c r="E198" s="104"/>
      <c r="F198" s="104"/>
      <c r="G198" s="104"/>
      <c r="H198" s="104"/>
      <c r="I198" s="104"/>
      <c r="J198" s="104"/>
      <c r="K198" s="104"/>
      <c r="L198" s="104"/>
      <c r="M198" s="104"/>
      <c r="N198" s="104"/>
    </row>
    <row r="199" spans="1:14" x14ac:dyDescent="0.2">
      <c r="A199" s="104"/>
      <c r="B199" s="104"/>
      <c r="C199" s="104"/>
      <c r="D199" s="104"/>
      <c r="E199" s="104"/>
      <c r="F199" s="104"/>
      <c r="G199" s="104"/>
      <c r="H199" s="104"/>
      <c r="I199" s="104"/>
      <c r="J199" s="104"/>
      <c r="K199" s="104"/>
      <c r="L199" s="104"/>
      <c r="M199" s="104"/>
      <c r="N199" s="104"/>
    </row>
    <row r="200" spans="1:14" x14ac:dyDescent="0.2">
      <c r="A200" s="104"/>
      <c r="B200" s="104"/>
      <c r="C200" s="104"/>
      <c r="D200" s="104"/>
      <c r="E200" s="104"/>
      <c r="F200" s="104"/>
      <c r="G200" s="104"/>
      <c r="H200" s="104"/>
      <c r="I200" s="104"/>
      <c r="J200" s="104"/>
      <c r="K200" s="104"/>
      <c r="L200" s="104"/>
      <c r="M200" s="104"/>
      <c r="N200" s="104"/>
    </row>
    <row r="201" spans="1:14" x14ac:dyDescent="0.2">
      <c r="A201" s="104"/>
      <c r="B201" s="104"/>
      <c r="C201" s="104"/>
      <c r="D201" s="104"/>
      <c r="E201" s="104"/>
      <c r="F201" s="104"/>
      <c r="G201" s="104"/>
      <c r="H201" s="104"/>
      <c r="I201" s="104"/>
      <c r="J201" s="104"/>
      <c r="K201" s="104"/>
      <c r="L201" s="104"/>
      <c r="M201" s="104"/>
      <c r="N201" s="104"/>
    </row>
    <row r="202" spans="1:14" x14ac:dyDescent="0.2">
      <c r="A202" s="104"/>
      <c r="B202" s="104"/>
      <c r="C202" s="104"/>
      <c r="D202" s="104"/>
      <c r="E202" s="104"/>
      <c r="F202" s="104"/>
      <c r="G202" s="104"/>
      <c r="H202" s="104"/>
      <c r="I202" s="104"/>
      <c r="J202" s="104"/>
      <c r="K202" s="104"/>
      <c r="L202" s="104"/>
      <c r="M202" s="104"/>
      <c r="N202" s="104"/>
    </row>
    <row r="203" spans="1:14" x14ac:dyDescent="0.2">
      <c r="A203" s="104"/>
      <c r="B203" s="104"/>
      <c r="C203" s="104"/>
      <c r="D203" s="104"/>
      <c r="E203" s="104"/>
      <c r="F203" s="104"/>
      <c r="G203" s="104"/>
      <c r="H203" s="104"/>
      <c r="I203" s="104"/>
      <c r="J203" s="104"/>
      <c r="K203" s="104"/>
      <c r="L203" s="104"/>
      <c r="M203" s="104"/>
      <c r="N203" s="104"/>
    </row>
    <row r="204" spans="1:14" x14ac:dyDescent="0.2">
      <c r="A204" s="104"/>
      <c r="B204" s="104"/>
      <c r="C204" s="104"/>
      <c r="D204" s="104"/>
      <c r="E204" s="104"/>
      <c r="F204" s="104"/>
      <c r="G204" s="104"/>
      <c r="H204" s="104"/>
      <c r="I204" s="104"/>
      <c r="J204" s="104"/>
      <c r="K204" s="104"/>
      <c r="L204" s="104"/>
      <c r="M204" s="104"/>
      <c r="N204" s="104"/>
    </row>
    <row r="205" spans="1:14" x14ac:dyDescent="0.2">
      <c r="A205" s="104"/>
      <c r="B205" s="104"/>
      <c r="C205" s="104"/>
      <c r="D205" s="104"/>
      <c r="E205" s="104"/>
      <c r="F205" s="104"/>
      <c r="G205" s="104"/>
      <c r="H205" s="104"/>
      <c r="I205" s="104"/>
      <c r="J205" s="104"/>
      <c r="K205" s="104"/>
      <c r="L205" s="104"/>
      <c r="M205" s="104"/>
      <c r="N205" s="104"/>
    </row>
    <row r="206" spans="1:14" x14ac:dyDescent="0.2">
      <c r="A206" s="104"/>
      <c r="B206" s="104"/>
      <c r="C206" s="104"/>
      <c r="D206" s="104"/>
      <c r="E206" s="104"/>
      <c r="F206" s="104"/>
      <c r="G206" s="104"/>
      <c r="H206" s="104"/>
      <c r="I206" s="104"/>
      <c r="J206" s="104"/>
      <c r="K206" s="104"/>
      <c r="L206" s="104"/>
      <c r="M206" s="104"/>
      <c r="N206" s="104"/>
    </row>
    <row r="207" spans="1:14" x14ac:dyDescent="0.2">
      <c r="A207" s="104"/>
      <c r="B207" s="104"/>
      <c r="C207" s="104"/>
      <c r="D207" s="104"/>
      <c r="E207" s="104"/>
      <c r="F207" s="104"/>
      <c r="G207" s="104"/>
      <c r="H207" s="104"/>
      <c r="I207" s="104"/>
      <c r="J207" s="104"/>
      <c r="K207" s="104"/>
      <c r="L207" s="104"/>
      <c r="M207" s="104"/>
      <c r="N207" s="104"/>
    </row>
    <row r="208" spans="1:14" x14ac:dyDescent="0.2">
      <c r="A208" s="104"/>
      <c r="B208" s="104"/>
      <c r="C208" s="104"/>
      <c r="D208" s="104"/>
      <c r="E208" s="104"/>
      <c r="F208" s="104"/>
      <c r="G208" s="104"/>
      <c r="H208" s="104"/>
      <c r="I208" s="104"/>
      <c r="J208" s="104"/>
      <c r="K208" s="104"/>
      <c r="L208" s="104"/>
      <c r="M208" s="104"/>
      <c r="N208" s="104"/>
    </row>
    <row r="209" spans="1:14" x14ac:dyDescent="0.2">
      <c r="A209" s="104"/>
      <c r="B209" s="104"/>
      <c r="C209" s="104"/>
      <c r="D209" s="104"/>
      <c r="E209" s="104"/>
      <c r="F209" s="104"/>
      <c r="G209" s="104"/>
      <c r="H209" s="104"/>
      <c r="I209" s="104"/>
      <c r="J209" s="104"/>
      <c r="K209" s="104"/>
      <c r="L209" s="104"/>
      <c r="M209" s="104"/>
      <c r="N209" s="104"/>
    </row>
    <row r="210" spans="1:14" x14ac:dyDescent="0.2">
      <c r="A210" s="104"/>
      <c r="B210" s="104"/>
      <c r="C210" s="104"/>
      <c r="D210" s="104"/>
      <c r="E210" s="104"/>
      <c r="F210" s="104"/>
      <c r="G210" s="104"/>
      <c r="H210" s="104"/>
      <c r="I210" s="104"/>
      <c r="J210" s="104"/>
      <c r="K210" s="104"/>
      <c r="L210" s="104"/>
      <c r="M210" s="104"/>
      <c r="N210" s="104"/>
    </row>
    <row r="211" spans="1:14" x14ac:dyDescent="0.2">
      <c r="A211" s="104"/>
      <c r="B211" s="104"/>
      <c r="C211" s="104"/>
      <c r="D211" s="104"/>
      <c r="E211" s="104"/>
      <c r="F211" s="104"/>
      <c r="G211" s="104"/>
      <c r="H211" s="104"/>
      <c r="I211" s="104"/>
      <c r="J211" s="104"/>
      <c r="K211" s="104"/>
      <c r="L211" s="104"/>
      <c r="M211" s="104"/>
      <c r="N211" s="104"/>
    </row>
    <row r="212" spans="1:14" x14ac:dyDescent="0.2">
      <c r="A212" s="104"/>
      <c r="B212" s="104"/>
      <c r="C212" s="104"/>
      <c r="D212" s="104"/>
      <c r="E212" s="104"/>
      <c r="F212" s="104"/>
      <c r="G212" s="104"/>
      <c r="H212" s="104"/>
      <c r="I212" s="104"/>
      <c r="J212" s="104"/>
      <c r="K212" s="104"/>
      <c r="L212" s="104"/>
      <c r="M212" s="104"/>
      <c r="N212" s="104"/>
    </row>
    <row r="213" spans="1:14" x14ac:dyDescent="0.2">
      <c r="A213" s="104"/>
      <c r="B213" s="104"/>
      <c r="C213" s="104"/>
      <c r="D213" s="104"/>
      <c r="E213" s="104"/>
      <c r="F213" s="104"/>
      <c r="G213" s="104"/>
      <c r="H213" s="104"/>
      <c r="I213" s="104"/>
      <c r="J213" s="104"/>
      <c r="K213" s="104"/>
      <c r="L213" s="104"/>
      <c r="M213" s="104"/>
      <c r="N213" s="104"/>
    </row>
    <row r="214" spans="1:14" x14ac:dyDescent="0.2">
      <c r="A214" s="104"/>
      <c r="B214" s="104"/>
      <c r="C214" s="104"/>
      <c r="D214" s="104"/>
      <c r="E214" s="104"/>
      <c r="F214" s="104"/>
      <c r="G214" s="104"/>
      <c r="H214" s="104"/>
      <c r="I214" s="104"/>
      <c r="J214" s="104"/>
      <c r="K214" s="104"/>
      <c r="L214" s="104"/>
      <c r="M214" s="104"/>
      <c r="N214" s="104"/>
    </row>
    <row r="215" spans="1:14" x14ac:dyDescent="0.2">
      <c r="A215" s="104"/>
      <c r="B215" s="104"/>
      <c r="C215" s="104"/>
      <c r="D215" s="104"/>
      <c r="E215" s="104"/>
      <c r="F215" s="104"/>
      <c r="G215" s="104"/>
      <c r="H215" s="104"/>
      <c r="I215" s="104"/>
      <c r="J215" s="104"/>
      <c r="K215" s="104"/>
      <c r="L215" s="104"/>
      <c r="M215" s="104"/>
      <c r="N215" s="104"/>
    </row>
    <row r="216" spans="1:14" x14ac:dyDescent="0.2">
      <c r="A216" s="104"/>
      <c r="B216" s="104"/>
      <c r="C216" s="104"/>
      <c r="D216" s="104"/>
      <c r="E216" s="104"/>
      <c r="F216" s="104"/>
      <c r="G216" s="104"/>
      <c r="H216" s="104"/>
      <c r="I216" s="104"/>
      <c r="J216" s="104"/>
      <c r="K216" s="104"/>
      <c r="L216" s="104"/>
      <c r="M216" s="104"/>
      <c r="N216" s="104"/>
    </row>
    <row r="217" spans="1:14" x14ac:dyDescent="0.2">
      <c r="A217" s="104"/>
      <c r="B217" s="104"/>
      <c r="C217" s="104"/>
      <c r="D217" s="104"/>
      <c r="E217" s="104"/>
      <c r="F217" s="104"/>
      <c r="G217" s="104"/>
      <c r="H217" s="104"/>
      <c r="I217" s="104"/>
      <c r="J217" s="104"/>
      <c r="K217" s="104"/>
      <c r="L217" s="104"/>
      <c r="M217" s="104"/>
      <c r="N217" s="104"/>
    </row>
    <row r="218" spans="1:14" x14ac:dyDescent="0.2">
      <c r="A218" s="104"/>
      <c r="B218" s="104"/>
      <c r="C218" s="104"/>
      <c r="D218" s="104"/>
      <c r="E218" s="104"/>
      <c r="F218" s="104"/>
      <c r="G218" s="104"/>
      <c r="H218" s="104"/>
      <c r="I218" s="104"/>
      <c r="J218" s="104"/>
      <c r="K218" s="104"/>
      <c r="L218" s="104"/>
      <c r="M218" s="104"/>
      <c r="N218" s="104"/>
    </row>
    <row r="219" spans="1:14" x14ac:dyDescent="0.2">
      <c r="A219" s="104"/>
      <c r="B219" s="104"/>
      <c r="C219" s="104"/>
      <c r="D219" s="104"/>
      <c r="E219" s="104"/>
      <c r="F219" s="104"/>
      <c r="G219" s="104"/>
      <c r="H219" s="104"/>
      <c r="I219" s="104"/>
      <c r="J219" s="104"/>
      <c r="K219" s="104"/>
      <c r="L219" s="104"/>
      <c r="M219" s="104"/>
      <c r="N219" s="104"/>
    </row>
    <row r="220" spans="1:14" x14ac:dyDescent="0.2">
      <c r="A220" s="104"/>
      <c r="B220" s="104"/>
      <c r="C220" s="104"/>
      <c r="D220" s="104"/>
      <c r="E220" s="104"/>
      <c r="F220" s="104"/>
      <c r="G220" s="104"/>
      <c r="H220" s="104"/>
      <c r="I220" s="104"/>
      <c r="J220" s="104"/>
      <c r="K220" s="104"/>
      <c r="L220" s="104"/>
      <c r="M220" s="104"/>
      <c r="N220" s="104"/>
    </row>
    <row r="221" spans="1:14" x14ac:dyDescent="0.2">
      <c r="A221" s="104"/>
      <c r="B221" s="104"/>
      <c r="C221" s="104"/>
      <c r="D221" s="104"/>
      <c r="E221" s="104"/>
      <c r="F221" s="104"/>
      <c r="G221" s="104"/>
      <c r="H221" s="104"/>
      <c r="I221" s="104"/>
      <c r="J221" s="104"/>
      <c r="K221" s="104"/>
      <c r="L221" s="104"/>
      <c r="M221" s="104"/>
      <c r="N221" s="104"/>
    </row>
    <row r="222" spans="1:14" x14ac:dyDescent="0.2">
      <c r="A222" s="104"/>
      <c r="B222" s="104"/>
      <c r="C222" s="104"/>
      <c r="D222" s="104"/>
      <c r="E222" s="104"/>
      <c r="F222" s="104"/>
      <c r="G222" s="104"/>
      <c r="H222" s="104"/>
      <c r="I222" s="104"/>
      <c r="J222" s="104"/>
      <c r="K222" s="104"/>
      <c r="L222" s="104"/>
      <c r="M222" s="104"/>
      <c r="N222" s="104"/>
    </row>
    <row r="223" spans="1:14" x14ac:dyDescent="0.2">
      <c r="A223" s="104"/>
      <c r="B223" s="104"/>
      <c r="C223" s="104"/>
      <c r="D223" s="104"/>
      <c r="E223" s="104"/>
      <c r="F223" s="104"/>
      <c r="G223" s="104"/>
      <c r="H223" s="104"/>
      <c r="I223" s="104"/>
      <c r="J223" s="104"/>
      <c r="K223" s="104"/>
      <c r="L223" s="104"/>
      <c r="M223" s="104"/>
      <c r="N223" s="104"/>
    </row>
    <row r="224" spans="1:14" x14ac:dyDescent="0.2">
      <c r="A224" s="104"/>
      <c r="B224" s="104"/>
      <c r="C224" s="104"/>
      <c r="D224" s="104"/>
      <c r="E224" s="104"/>
      <c r="F224" s="104"/>
      <c r="G224" s="104"/>
      <c r="H224" s="104"/>
      <c r="I224" s="104"/>
      <c r="J224" s="104"/>
      <c r="K224" s="104"/>
      <c r="L224" s="104"/>
      <c r="M224" s="104"/>
      <c r="N224" s="104"/>
    </row>
    <row r="225" spans="1:14" x14ac:dyDescent="0.2">
      <c r="A225" s="104"/>
      <c r="B225" s="104"/>
      <c r="C225" s="104"/>
      <c r="D225" s="104"/>
      <c r="E225" s="104"/>
      <c r="F225" s="104"/>
      <c r="G225" s="104"/>
      <c r="H225" s="104"/>
      <c r="I225" s="104"/>
      <c r="J225" s="104"/>
      <c r="K225" s="104"/>
      <c r="L225" s="104"/>
      <c r="M225" s="104"/>
      <c r="N225" s="104"/>
    </row>
    <row r="226" spans="1:14" x14ac:dyDescent="0.2">
      <c r="A226" s="104"/>
      <c r="B226" s="104"/>
      <c r="C226" s="104"/>
      <c r="D226" s="104"/>
      <c r="E226" s="104"/>
      <c r="F226" s="104"/>
      <c r="G226" s="104"/>
      <c r="H226" s="104"/>
      <c r="I226" s="104"/>
      <c r="J226" s="104"/>
      <c r="K226" s="104"/>
      <c r="L226" s="104"/>
      <c r="M226" s="104"/>
      <c r="N226" s="104"/>
    </row>
    <row r="227" spans="1:14" x14ac:dyDescent="0.2">
      <c r="A227" s="104"/>
      <c r="B227" s="104"/>
      <c r="C227" s="104"/>
      <c r="D227" s="104"/>
      <c r="E227" s="104"/>
      <c r="F227" s="104"/>
      <c r="G227" s="104"/>
      <c r="H227" s="104"/>
      <c r="I227" s="104"/>
      <c r="J227" s="104"/>
      <c r="K227" s="104"/>
      <c r="L227" s="104"/>
      <c r="M227" s="104"/>
      <c r="N227" s="104"/>
    </row>
    <row r="228" spans="1:14" x14ac:dyDescent="0.2">
      <c r="A228" s="104"/>
      <c r="B228" s="104"/>
      <c r="C228" s="104"/>
      <c r="D228" s="104"/>
      <c r="E228" s="104"/>
      <c r="F228" s="104"/>
      <c r="G228" s="104"/>
      <c r="H228" s="104"/>
      <c r="I228" s="104"/>
      <c r="J228" s="104"/>
      <c r="K228" s="104"/>
      <c r="L228" s="104"/>
      <c r="M228" s="104"/>
      <c r="N228" s="104"/>
    </row>
    <row r="229" spans="1:14" x14ac:dyDescent="0.2">
      <c r="A229" s="104"/>
      <c r="B229" s="104"/>
      <c r="C229" s="104"/>
      <c r="D229" s="104"/>
      <c r="E229" s="104"/>
      <c r="F229" s="104"/>
      <c r="G229" s="104"/>
      <c r="H229" s="104"/>
      <c r="I229" s="104"/>
      <c r="J229" s="104"/>
      <c r="K229" s="104"/>
      <c r="L229" s="104"/>
      <c r="M229" s="104"/>
      <c r="N229" s="104"/>
    </row>
    <row r="230" spans="1:14" x14ac:dyDescent="0.2">
      <c r="A230" s="104"/>
      <c r="B230" s="104"/>
      <c r="C230" s="104"/>
      <c r="D230" s="104"/>
      <c r="E230" s="104"/>
      <c r="F230" s="104"/>
      <c r="G230" s="104"/>
      <c r="H230" s="104"/>
      <c r="I230" s="104"/>
      <c r="J230" s="104"/>
      <c r="K230" s="104"/>
      <c r="L230" s="104"/>
      <c r="M230" s="104"/>
      <c r="N230" s="104"/>
    </row>
    <row r="231" spans="1:14" x14ac:dyDescent="0.2">
      <c r="A231" s="104"/>
      <c r="B231" s="104"/>
      <c r="C231" s="104"/>
      <c r="D231" s="104"/>
      <c r="E231" s="104"/>
      <c r="F231" s="104"/>
      <c r="G231" s="104"/>
      <c r="H231" s="104"/>
      <c r="I231" s="104"/>
      <c r="J231" s="104"/>
      <c r="K231" s="104"/>
      <c r="L231" s="104"/>
      <c r="M231" s="104"/>
      <c r="N231" s="104"/>
    </row>
    <row r="232" spans="1:14" x14ac:dyDescent="0.2">
      <c r="A232" s="104"/>
      <c r="B232" s="104"/>
      <c r="C232" s="104"/>
      <c r="D232" s="104"/>
      <c r="E232" s="104"/>
      <c r="F232" s="104"/>
      <c r="G232" s="104"/>
      <c r="H232" s="104"/>
      <c r="I232" s="104"/>
      <c r="J232" s="104"/>
      <c r="K232" s="104"/>
      <c r="L232" s="104"/>
      <c r="M232" s="104"/>
      <c r="N232" s="104"/>
    </row>
    <row r="233" spans="1:14" x14ac:dyDescent="0.2">
      <c r="A233" s="104"/>
      <c r="B233" s="104"/>
      <c r="C233" s="104"/>
      <c r="D233" s="104"/>
      <c r="E233" s="104"/>
      <c r="F233" s="104"/>
      <c r="G233" s="104"/>
      <c r="H233" s="104"/>
      <c r="I233" s="104"/>
      <c r="J233" s="104"/>
      <c r="K233" s="104"/>
      <c r="L233" s="104"/>
      <c r="M233" s="104"/>
      <c r="N233" s="104"/>
    </row>
    <row r="234" spans="1:14" x14ac:dyDescent="0.2">
      <c r="A234" s="104"/>
      <c r="B234" s="104"/>
      <c r="C234" s="104"/>
      <c r="D234" s="104"/>
      <c r="E234" s="104"/>
      <c r="F234" s="104"/>
      <c r="G234" s="104"/>
      <c r="H234" s="104"/>
      <c r="I234" s="104"/>
      <c r="J234" s="104"/>
      <c r="K234" s="104"/>
      <c r="L234" s="104"/>
      <c r="M234" s="104"/>
      <c r="N234" s="104"/>
    </row>
  </sheetData>
  <mergeCells count="14">
    <mergeCell ref="A33:N33"/>
    <mergeCell ref="L10:N12"/>
    <mergeCell ref="A1:J1"/>
    <mergeCell ref="A2:J3"/>
    <mergeCell ref="A4:J4"/>
    <mergeCell ref="A7:C7"/>
    <mergeCell ref="A5:C5"/>
    <mergeCell ref="D5:E5"/>
    <mergeCell ref="C6:J6"/>
    <mergeCell ref="D7:F7"/>
    <mergeCell ref="G7:I7"/>
    <mergeCell ref="L1:N1"/>
    <mergeCell ref="M2:N2"/>
    <mergeCell ref="M3:N3"/>
  </mergeCells>
  <phoneticPr fontId="0" type="noConversion"/>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Sheet4.reqAcctUpdate">
                <anchor moveWithCells="1">
                  <from>
                    <xdr:col>0</xdr:col>
                    <xdr:colOff>171450</xdr:colOff>
                    <xdr:row>1</xdr:row>
                    <xdr:rowOff>57150</xdr:rowOff>
                  </from>
                  <to>
                    <xdr:col>2</xdr:col>
                    <xdr:colOff>276225</xdr:colOff>
                    <xdr:row>2</xdr:row>
                    <xdr:rowOff>104775</xdr:rowOff>
                  </to>
                </anchor>
              </controlPr>
            </control>
          </mc:Choice>
        </mc:AlternateContent>
        <mc:AlternateContent xmlns:mc="http://schemas.openxmlformats.org/markup-compatibility/2006">
          <mc:Choice Requires="x14">
            <control shapeId="7176" r:id="rId5" name="Button 8">
              <controlPr defaultSize="0" print="0" autoFill="0" autoPict="0" macro="[0]!Sheet4.requestPortfolio">
                <anchor moveWithCells="1" sizeWithCells="1">
                  <from>
                    <xdr:col>3</xdr:col>
                    <xdr:colOff>47625</xdr:colOff>
                    <xdr:row>1</xdr:row>
                    <xdr:rowOff>47625</xdr:rowOff>
                  </from>
                  <to>
                    <xdr:col>5</xdr:col>
                    <xdr:colOff>247650</xdr:colOff>
                    <xdr:row>2</xdr:row>
                    <xdr:rowOff>95250</xdr:rowOff>
                  </to>
                </anchor>
              </controlPr>
            </control>
          </mc:Choice>
        </mc:AlternateContent>
        <mc:AlternateContent xmlns:mc="http://schemas.openxmlformats.org/markup-compatibility/2006">
          <mc:Choice Requires="x14">
            <control shapeId="7177" r:id="rId6" name="Button 9">
              <controlPr defaultSize="0" print="0" autoFill="0" autoPict="0" macro="[0]!Sheet4.requestManagedAccts">
                <anchor moveWithCells="1" sizeWithCells="1">
                  <from>
                    <xdr:col>6</xdr:col>
                    <xdr:colOff>9525</xdr:colOff>
                    <xdr:row>1</xdr:row>
                    <xdr:rowOff>47625</xdr:rowOff>
                  </from>
                  <to>
                    <xdr:col>7</xdr:col>
                    <xdr:colOff>590550</xdr:colOff>
                    <xdr:row>2</xdr:row>
                    <xdr:rowOff>104775</xdr:rowOff>
                  </to>
                </anchor>
              </controlPr>
            </control>
          </mc:Choice>
        </mc:AlternateContent>
        <mc:AlternateContent xmlns:mc="http://schemas.openxmlformats.org/markup-compatibility/2006">
          <mc:Choice Requires="x14">
            <control shapeId="7178" r:id="rId7" name="Button 10">
              <controlPr defaultSize="0" print="0" autoFill="0" autoPict="0" macro="[0]!Sheet4.onShowError">
                <anchor moveWithCells="1" sizeWithCells="1">
                  <from>
                    <xdr:col>8</xdr:col>
                    <xdr:colOff>228600</xdr:colOff>
                    <xdr:row>1</xdr:row>
                    <xdr:rowOff>38100</xdr:rowOff>
                  </from>
                  <to>
                    <xdr:col>9</xdr:col>
                    <xdr:colOff>514350</xdr:colOff>
                    <xdr:row>2</xdr:row>
                    <xdr:rowOff>114300</xdr:rowOff>
                  </to>
                </anchor>
              </controlPr>
            </control>
          </mc:Choice>
        </mc:AlternateContent>
        <mc:AlternateContent xmlns:mc="http://schemas.openxmlformats.org/markup-compatibility/2006">
          <mc:Choice Requires="x14">
            <control shapeId="7179" r:id="rId8" name="Button 11">
              <controlPr defaultSize="0" print="0" autoFill="0" autoPict="0" macro="[0]!Sheet4.reqAcctUpdate">
                <anchor moveWithCells="1">
                  <from>
                    <xdr:col>0</xdr:col>
                    <xdr:colOff>171450</xdr:colOff>
                    <xdr:row>1</xdr:row>
                    <xdr:rowOff>57150</xdr:rowOff>
                  </from>
                  <to>
                    <xdr:col>2</xdr:col>
                    <xdr:colOff>276225</xdr:colOff>
                    <xdr:row>2</xdr:row>
                    <xdr:rowOff>104775</xdr:rowOff>
                  </to>
                </anchor>
              </controlPr>
            </control>
          </mc:Choice>
        </mc:AlternateContent>
        <mc:AlternateContent xmlns:mc="http://schemas.openxmlformats.org/markup-compatibility/2006">
          <mc:Choice Requires="x14">
            <control shapeId="7180" r:id="rId9" name="Button 12">
              <controlPr defaultSize="0" print="0" autoFill="0" autoPict="0" macro="[0]!Sheet4.requestPortfolio">
                <anchor moveWithCells="1" sizeWithCells="1">
                  <from>
                    <xdr:col>3</xdr:col>
                    <xdr:colOff>47625</xdr:colOff>
                    <xdr:row>1</xdr:row>
                    <xdr:rowOff>47625</xdr:rowOff>
                  </from>
                  <to>
                    <xdr:col>5</xdr:col>
                    <xdr:colOff>247650</xdr:colOff>
                    <xdr:row>2</xdr:row>
                    <xdr:rowOff>95250</xdr:rowOff>
                  </to>
                </anchor>
              </controlPr>
            </control>
          </mc:Choice>
        </mc:AlternateContent>
        <mc:AlternateContent xmlns:mc="http://schemas.openxmlformats.org/markup-compatibility/2006">
          <mc:Choice Requires="x14">
            <control shapeId="7181" r:id="rId10" name="Button 13">
              <controlPr defaultSize="0" print="0" autoFill="0" autoPict="0" macro="[0]!Sheet4.requestManagedAccts">
                <anchor moveWithCells="1" sizeWithCells="1">
                  <from>
                    <xdr:col>6</xdr:col>
                    <xdr:colOff>9525</xdr:colOff>
                    <xdr:row>1</xdr:row>
                    <xdr:rowOff>47625</xdr:rowOff>
                  </from>
                  <to>
                    <xdr:col>7</xdr:col>
                    <xdr:colOff>590550</xdr:colOff>
                    <xdr:row>2</xdr:row>
                    <xdr:rowOff>104775</xdr:rowOff>
                  </to>
                </anchor>
              </controlPr>
            </control>
          </mc:Choice>
        </mc:AlternateContent>
        <mc:AlternateContent xmlns:mc="http://schemas.openxmlformats.org/markup-compatibility/2006">
          <mc:Choice Requires="x14">
            <control shapeId="7182" r:id="rId11" name="Button 14">
              <controlPr defaultSize="0" print="0" autoFill="0" autoPict="0" macro="[0]!Sheet4.onShowError">
                <anchor moveWithCells="1" sizeWithCells="1">
                  <from>
                    <xdr:col>8</xdr:col>
                    <xdr:colOff>228600</xdr:colOff>
                    <xdr:row>1</xdr:row>
                    <xdr:rowOff>38100</xdr:rowOff>
                  </from>
                  <to>
                    <xdr:col>9</xdr:col>
                    <xdr:colOff>514350</xdr:colOff>
                    <xdr:row>2</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109</vt:i4>
      </vt:variant>
    </vt:vector>
  </HeadingPairs>
  <TitlesOfParts>
    <vt:vector size="127" baseType="lpstr">
      <vt:lpstr>Tickers</vt:lpstr>
      <vt:lpstr>Basic Orders</vt:lpstr>
      <vt:lpstr>Extended Order Attributes</vt:lpstr>
      <vt:lpstr>Conditional Orders</vt:lpstr>
      <vt:lpstr>Advanced Orders</vt:lpstr>
      <vt:lpstr>Open Orders</vt:lpstr>
      <vt:lpstr>Executions</vt:lpstr>
      <vt:lpstr>Executions Reporting</vt:lpstr>
      <vt:lpstr>Account</vt:lpstr>
      <vt:lpstr>Portfolio</vt:lpstr>
      <vt:lpstr>Historical Data</vt:lpstr>
      <vt:lpstr>Market Scanner</vt:lpstr>
      <vt:lpstr>Contract Details</vt:lpstr>
      <vt:lpstr>Bond Contract Details</vt:lpstr>
      <vt:lpstr>Market Depth</vt:lpstr>
      <vt:lpstr>Advisors</vt:lpstr>
      <vt:lpstr>Old Style Executions</vt:lpstr>
      <vt:lpstr>Old Style Account-Portfolio</vt:lpstr>
      <vt:lpstr>accountValues</vt:lpstr>
      <vt:lpstr>acctCode</vt:lpstr>
      <vt:lpstr>acctErrorPosition</vt:lpstr>
      <vt:lpstr>acctsCode</vt:lpstr>
      <vt:lpstr>acctsControl</vt:lpstr>
      <vt:lpstr>acctsErrorPosition</vt:lpstr>
      <vt:lpstr>acctServer</vt:lpstr>
      <vt:lpstr>acctsServer</vt:lpstr>
      <vt:lpstr>acctsSubColumn1</vt:lpstr>
      <vt:lpstr>acctsSubColumn2</vt:lpstr>
      <vt:lpstr>acctsSubColumn3</vt:lpstr>
      <vt:lpstr>acctsSubColumn4</vt:lpstr>
      <vt:lpstr>acctsTime</vt:lpstr>
      <vt:lpstr>acctTime</vt:lpstr>
      <vt:lpstr>'Advanced Orders'!advancedOrdersCells</vt:lpstr>
      <vt:lpstr>Advisors!advisorsOrderCells</vt:lpstr>
      <vt:lpstr>bondContractDetails</vt:lpstr>
      <vt:lpstr>bondErrorPosition</vt:lpstr>
      <vt:lpstr>bondServer</vt:lpstr>
      <vt:lpstr>bulletinCell</vt:lpstr>
      <vt:lpstr>bulletinCtrl</vt:lpstr>
      <vt:lpstr>bulletinText</vt:lpstr>
      <vt:lpstr>bulletinTitle</vt:lpstr>
      <vt:lpstr>condErrorPosition</vt:lpstr>
      <vt:lpstr>conditionalOrderCells</vt:lpstr>
      <vt:lpstr>condServer</vt:lpstr>
      <vt:lpstr>contErrorPosition</vt:lpstr>
      <vt:lpstr>contractDetails</vt:lpstr>
      <vt:lpstr>contServer</vt:lpstr>
      <vt:lpstr>Currency</vt:lpstr>
      <vt:lpstr>errorMsg</vt:lpstr>
      <vt:lpstr>exec_filter_start</vt:lpstr>
      <vt:lpstr>execErrorPosition</vt:lpstr>
      <vt:lpstr>execReportKey</vt:lpstr>
      <vt:lpstr>execReportType</vt:lpstr>
      <vt:lpstr>execReportTypes</vt:lpstr>
      <vt:lpstr>execServer</vt:lpstr>
      <vt:lpstr>execSubContracts</vt:lpstr>
      <vt:lpstr>execSubControl</vt:lpstr>
      <vt:lpstr>execSubDetails</vt:lpstr>
      <vt:lpstr>execSubErrorPosition</vt:lpstr>
      <vt:lpstr>execSubServer</vt:lpstr>
      <vt:lpstr>executionContracts</vt:lpstr>
      <vt:lpstr>executionDetails</vt:lpstr>
      <vt:lpstr>faAcctCtrl</vt:lpstr>
      <vt:lpstr>faAcctValue</vt:lpstr>
      <vt:lpstr>firstHistRow</vt:lpstr>
      <vt:lpstr>firstMonitorRow</vt:lpstr>
      <vt:lpstr>firstScanRow</vt:lpstr>
      <vt:lpstr>histCtrl</vt:lpstr>
      <vt:lpstr>histErrorPosition</vt:lpstr>
      <vt:lpstr>histServer</vt:lpstr>
      <vt:lpstr>lastHistRow</vt:lpstr>
      <vt:lpstr>lastMonitorRow</vt:lpstr>
      <vt:lpstr>lastScanRow</vt:lpstr>
      <vt:lpstr>logLevel</vt:lpstr>
      <vt:lpstr>logLevelResult</vt:lpstr>
      <vt:lpstr>mktDepthAsk</vt:lpstr>
      <vt:lpstr>mktDepthBid</vt:lpstr>
      <vt:lpstr>mktdErrorPosition</vt:lpstr>
      <vt:lpstr>mktdRefreshLink</vt:lpstr>
      <vt:lpstr>mktdRefreshRate</vt:lpstr>
      <vt:lpstr>mktdServer</vt:lpstr>
      <vt:lpstr>'Advanced Orders'!Open_orders_can_be_downloaded_here.</vt:lpstr>
      <vt:lpstr>Advisors!Open_orders_can_be_downloaded_here.</vt:lpstr>
      <vt:lpstr>Open_orders_can_be_downloaded_here.</vt:lpstr>
      <vt:lpstr>'Advanced Orders'!openOrdContracts</vt:lpstr>
      <vt:lpstr>Advisors!openOrdContracts</vt:lpstr>
      <vt:lpstr>openOrdContracts</vt:lpstr>
      <vt:lpstr>'Advanced Orders'!openOrdOrders</vt:lpstr>
      <vt:lpstr>Advisors!openOrdOrders</vt:lpstr>
      <vt:lpstr>openOrdOrders</vt:lpstr>
      <vt:lpstr>'Advanced Orders'!openOrdStatuses</vt:lpstr>
      <vt:lpstr>Advisors!openOrdStatuses</vt:lpstr>
      <vt:lpstr>openOrdStatuses</vt:lpstr>
      <vt:lpstr>openSubContracts</vt:lpstr>
      <vt:lpstr>openSubExtended</vt:lpstr>
      <vt:lpstr>openSubOrders</vt:lpstr>
      <vt:lpstr>openSubRange</vt:lpstr>
      <vt:lpstr>openSubStatuses</vt:lpstr>
      <vt:lpstr>orderCells</vt:lpstr>
      <vt:lpstr>'Advanced Orders'!orderErrorPosition</vt:lpstr>
      <vt:lpstr>Advisors!orderErrorPosition</vt:lpstr>
      <vt:lpstr>orderErrorPosition</vt:lpstr>
      <vt:lpstr>ordersControl</vt:lpstr>
      <vt:lpstr>ordersErrorPosition</vt:lpstr>
      <vt:lpstr>'Advanced Orders'!orderServer</vt:lpstr>
      <vt:lpstr>Advisors!orderServer</vt:lpstr>
      <vt:lpstr>orderServer</vt:lpstr>
      <vt:lpstr>ordersServer</vt:lpstr>
      <vt:lpstr>portfolioValues</vt:lpstr>
      <vt:lpstr>portsCode</vt:lpstr>
      <vt:lpstr>portsControl</vt:lpstr>
      <vt:lpstr>portsErrorPosition</vt:lpstr>
      <vt:lpstr>portsServer</vt:lpstr>
      <vt:lpstr>portsSubColumn</vt:lpstr>
      <vt:lpstr>portsTime</vt:lpstr>
      <vt:lpstr>processingRate</vt:lpstr>
      <vt:lpstr>processingRateLink</vt:lpstr>
      <vt:lpstr>refreshRate</vt:lpstr>
      <vt:lpstr>refreshRateLink</vt:lpstr>
      <vt:lpstr>scanCtrl</vt:lpstr>
      <vt:lpstr>scanErrorPosition</vt:lpstr>
      <vt:lpstr>scanServer</vt:lpstr>
      <vt:lpstr>subFAAcctCtrl</vt:lpstr>
      <vt:lpstr>subFAAcctValue</vt:lpstr>
      <vt:lpstr>tickerCells</vt:lpstr>
      <vt:lpstr>tickerErrorPosition</vt:lpstr>
      <vt:lpstr>tickerServer</vt:lpstr>
    </vt:vector>
  </TitlesOfParts>
  <Company>Timber Hill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spiro</dc:creator>
  <cp:lastModifiedBy>Nipun</cp:lastModifiedBy>
  <cp:revision>1</cp:revision>
  <dcterms:created xsi:type="dcterms:W3CDTF">2001-11-14T17:13:30Z</dcterms:created>
  <dcterms:modified xsi:type="dcterms:W3CDTF">2020-11-17T17:17:27Z</dcterms:modified>
</cp:coreProperties>
</file>